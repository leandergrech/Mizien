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Candidates" sheetId="2" state="visible" r:id="rId4"/>
    <sheet name="Quick checks" sheetId="3" state="visible" r:id="rId5"/>
    <sheet name="Connections" sheetId="4" state="visible" r:id="rId6"/>
    <sheet name="Edges" sheetId="5" state="visible" r:id="rId7"/>
    <sheet name="Sources" sheetId="6" state="visible" r:id="rId8"/>
  </sheets>
  <definedNames>
    <definedName function="false" hidden="true" localSheetId="1" name="_xlnm._FilterDatabase" vbProcedure="false">Candidates!$A$1:$Q$12</definedName>
    <definedName function="false" hidden="true" localSheetId="4" name="_xlnm._FilterDatabase" vbProcedure="false">Edges!$A$1:$F$27</definedName>
    <definedName function="false" hidden="true" localSheetId="5" name="_xlnm._FilterDatabase" vbProcedure="false">Sources!$A$1:$H$38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<sst xmlns="http://schemas.openxmlformats.org/spreadsheetml/2006/main" count="779" uniqueCount="468">
  <si>
    <t xml:space="preserve">MiŻien: claim candidate tracker</t>
  </si>
  <si>
    <t xml:space="preserve">Top candidates for independent, science-first checks of public claims in Malta (environment and quality of life). Version 1.0, 2 October 2026.</t>
  </si>
  <si>
    <t xml:space="preserve">TABS</t>
  </si>
  <si>
    <t xml:space="preserve">Candidates</t>
  </si>
  <si>
    <t xml:space="preserve">One row per claim: who said it, what to test it against, why it is easy to check, wording status and workflow status. CC-001 is the finished Upper Barrakka check, kept as the root record.</t>
  </si>
  <si>
    <t xml:space="preserve">Quick checks</t>
  </si>
  <si>
    <t xml:space="preserve">Arithmetic on figures quoted publicly, done with formulas so the sheet recalculates when an input is corrected.</t>
  </si>
  <si>
    <t xml:space="preserve">Connections</t>
  </si>
  <si>
    <t xml:space="preserve">Themes that link several claims (shared mechanism, shared data, rhetorical pattern), plus which public bodies appear where.</t>
  </si>
  <si>
    <t xml:space="preserve">Edges</t>
  </si>
  <si>
    <t xml:space="preserve">Pairwise links generated from the themes, ready to feed the 3D mind map (From, To, Theme).</t>
  </si>
  <si>
    <t xml:space="preserve">Sources</t>
  </si>
  <si>
    <t xml:space="preserve">Every source used to find these leads, with type and reliability notes.</t>
  </si>
  <si>
    <t xml:space="preserve">COLOUR LEGEND</t>
  </si>
  <si>
    <t xml:space="preserve">Blue text</t>
  </si>
  <si>
    <t xml:space="preserve">A figure typed in from a source (an input). Correct it here and dependent formulas update.</t>
  </si>
  <si>
    <t xml:space="preserve">Black text</t>
  </si>
  <si>
    <t xml:space="preserve">Text or a formula.</t>
  </si>
  <si>
    <t xml:space="preserve">CLAIM WORDING STATUS</t>
  </si>
  <si>
    <t xml:space="preserve">Verbatim found</t>
  </si>
  <si>
    <t xml:space="preserve">We have the speaker's own words from a primary source. Safe to quote (under 15 words) and attribute.</t>
  </si>
  <si>
    <t xml:space="preserve">Paraphrase: locate quote</t>
  </si>
  <si>
    <t xml:space="preserve">We have a report or summary only. Find the primary-source wording before publishing anything.</t>
  </si>
  <si>
    <t xml:space="preserve">CHECK STATUS</t>
  </si>
  <si>
    <t xml:space="preserve">Not started / In progress / Drafted / Right of reply / Published</t>
  </si>
  <si>
    <t xml:space="preserve">Pick from the drop-down in the Candidates tab. Record the date a right of reply was sent in its own column.</t>
  </si>
  <si>
    <t xml:space="preserve">PATTERN TAGS (provisional)</t>
  </si>
  <si>
    <t xml:space="preserve">Selective metric</t>
  </si>
  <si>
    <t xml:space="preserve">The authority cites a favourable metric while the regulator-relevant metric looks worse.</t>
  </si>
  <si>
    <t xml:space="preserve">Input-as-outcome</t>
  </si>
  <si>
    <t xml:space="preserve">Effort counted (trees planted, kg separated) is presented as if it were the result (trees surviving, recycling rate).</t>
  </si>
  <si>
    <t xml:space="preserve">Compliance-not-health</t>
  </si>
  <si>
    <t xml:space="preserve">Meeting a legal limit is presented as if it meant a health-protective level.</t>
  </si>
  <si>
    <t xml:space="preserve">Conditional-turned-unconditional</t>
  </si>
  <si>
    <t xml:space="preserve">A statement with a stated condition is reported or repeated without it (as in the CC-001 headline).</t>
  </si>
  <si>
    <t xml:space="preserve">Promise-without-baseline</t>
  </si>
  <si>
    <t xml:space="preserve">A target or pledge with no stated starting point, scope or counting basis.</t>
  </si>
  <si>
    <t xml:space="preserve">CAVEATS</t>
  </si>
  <si>
    <t xml:space="preserve">Lead-finding only</t>
  </si>
  <si>
    <t xml:space="preserve">These leads come from news, government and EU pages. Underlying datasets have not yet been verified, and some figures (notably in CC-009) are older and need updating.</t>
  </si>
  <si>
    <t xml:space="preserve">Sub judice</t>
  </si>
  <si>
    <t xml:space="preserve">CC-002 (Comino) is before a planning tribunal. Keep to the science, not the legal merits.</t>
  </si>
  <si>
    <t xml:space="preserve">Right of reply</t>
  </si>
  <si>
    <t xml:space="preserve">Send each draft to the body concerned with a fixed deadline before wider circulation, and append the response.</t>
  </si>
  <si>
    <t xml:space="preserve">ID</t>
  </si>
  <si>
    <t xml:space="preserve">Category</t>
  </si>
  <si>
    <t xml:space="preserve">Short title</t>
  </si>
  <si>
    <t xml:space="preserve">Claim and who made it</t>
  </si>
  <si>
    <t xml:space="preserve">Counter-evidence or context</t>
  </si>
  <si>
    <t xml:space="preserve">Test it against</t>
  </si>
  <si>
    <t xml:space="preserve">Why it is low-hanging</t>
  </si>
  <si>
    <t xml:space="preserve">Pattern tag (provisional)</t>
  </si>
  <si>
    <t xml:space="preserve">Body / actor</t>
  </si>
  <si>
    <t xml:space="preserve">Claim wording status</t>
  </si>
  <si>
    <t xml:space="preserve">Data readiness</t>
  </si>
  <si>
    <t xml:space="preserve">Priority</t>
  </si>
  <si>
    <t xml:space="preserve">Caveats</t>
  </si>
  <si>
    <t xml:space="preserve">Check status</t>
  </si>
  <si>
    <t xml:space="preserve">Right of reply sent (date)</t>
  </si>
  <si>
    <t xml:space="preserve">Linked claims (count)</t>
  </si>
  <si>
    <t xml:space="preserve">Notes</t>
  </si>
  <si>
    <t xml:space="preserve">CC-001</t>
  </si>
  <si>
    <t xml:space="preserve">Land &amp; Trees</t>
  </si>
  <si>
    <t xml:space="preserve">Upper Barrakka concrete</t>
  </si>
  <si>
    <t xml:space="preserve">Ambjent Malta told the Times of Malta (1 Oct 2026) that because the concrete in the tree planters is temporary, it will not damage the tree.</t>
  </si>
  <si>
    <t xml:space="preserve">Ambjent itself says prolonged cover would be a concern. No duration for 'temporary' is given; soil removal and root exposure are not addressed; no tree-specific evidence published.</t>
  </si>
  <si>
    <t xml:space="preserve">Soil-sealing and construction-damage literature; guidance on exposed roots.</t>
  </si>
  <si>
    <t xml:space="preserve">Done: Claim Check 001 report and flyer.</t>
  </si>
  <si>
    <t xml:space="preserve">Ambjent Malta; Fondazzjoni Wirt Artna</t>
  </si>
  <si>
    <t xml:space="preserve">High</t>
  </si>
  <si>
    <t xml:space="preserve">Done (v1.1)</t>
  </si>
  <si>
    <t xml:space="preserve">Verdict: Not substantiated (plausible, not shown). Draft pending right of reply.</t>
  </si>
  <si>
    <t xml:space="preserve">Drafted</t>
  </si>
  <si>
    <t xml:space="preserve">CC-002</t>
  </si>
  <si>
    <t xml:space="preserve">Comino tree compensation</t>
  </si>
  <si>
    <t xml:space="preserve">ERA (11 Aug 2026): 54 protected trees will be removed, with 10 planted for each (540). Of 678 trees and shrubs removed, 92% are unprotected; 348 more will be transplanted.</t>
  </si>
  <si>
    <t xml:space="preserve">An NGO (Moviment Graffitti) says about 800 trees are at stake. A planning tribunal has temporarily suspended the uprooting (late Sept 2026).</t>
  </si>
  <si>
    <t xml:space="preserve">Tree-transplant survival and compensation-ratio literature; whether removing invasive species restores habitat; reconciling the two sides' counts.</t>
  </si>
  <si>
    <t xml:space="preserve">Direct sequel to CC-001; the two sides' numbers conflict; live issue.</t>
  </si>
  <si>
    <t xml:space="preserve">Input-as-outcome; Selective metric</t>
  </si>
  <si>
    <t xml:space="preserve">ERA; HV Hospitality (Hili Group); Moviment Graffitti</t>
  </si>
  <si>
    <t xml:space="preserve">Medium</t>
  </si>
  <si>
    <t xml:space="preserve">Queue</t>
  </si>
  <si>
    <t xml:space="preserve">Sub judice: keep to the science, not the legal merits.</t>
  </si>
  <si>
    <t xml:space="preserve">Not started</t>
  </si>
  <si>
    <t xml:space="preserve">CC-003</t>
  </si>
  <si>
    <t xml:space="preserve">Climate &amp; Energy</t>
  </si>
  <si>
    <t xml:space="preserve">Per-capita emissions vs 2030 projection</t>
  </si>
  <si>
    <t xml:space="preserve">Climate Action Authority: per-capita emissions are down 44% since 2005, versus 34% for the EU.</t>
  </si>
  <si>
    <t xml:space="preserve">The same Commission report projects Malta's emissions 30% above 2005 by 2030, against a 19% cut target: the largest shortfall in the EU. Renewables remain roughly 10-11% of electricity.</t>
  </si>
  <si>
    <t xml:space="preserve">Eurostat and EEA inventories; per-capita versus absolute; population growth; renewables data.</t>
  </si>
  <si>
    <t xml:space="preserve">Both numbers come from one report.</t>
  </si>
  <si>
    <t xml:space="preserve">Climate Action Authority; Ministry for the Environment</t>
  </si>
  <si>
    <t xml:space="preserve">Start first</t>
  </si>
  <si>
    <t xml:space="preserve">CC-004</t>
  </si>
  <si>
    <t xml:space="preserve">Waste</t>
  </si>
  <si>
    <t xml:space="preserve">'Strong progress' in waste separation</t>
  </si>
  <si>
    <t xml:space="preserve">Ministry (Jan 2026): mixed waste is down over 30% (to 95.5 million kg) and about 412 million kg has been diverted from landfill over five years.</t>
  </si>
  <si>
    <t xml:space="preserve">The EU Environmental Implementation Review 2025 says Malta missed the 2020 recycling target by a wide margin and is on course to miss 2025. ERA's '68% recycled' figure covers mostly inert construction material.</t>
  </si>
  <si>
    <t xml:space="preserve">NSO and Eurostat recycling rates (kg separated is not a recycling rate); composition of the 68% figure.</t>
  </si>
  <si>
    <t xml:space="preserve">Different metrics under the same word.</t>
  </si>
  <si>
    <t xml:space="preserve">Ministry for the Environment; WasteServ; ERA</t>
  </si>
  <si>
    <t xml:space="preserve">CC-005</t>
  </si>
  <si>
    <t xml:space="preserve">Water</t>
  </si>
  <si>
    <t xml:space="preserve">'92% excellent' bathing water</t>
  </si>
  <si>
    <t xml:space="preserve">92% of Malta's bathing waters are rated excellent (government, repeated by the EU review).</t>
  </si>
  <si>
    <t xml:space="preserve">The EU Court of Justice found sewage-treatment capacity insufficient. Bays have been closed, including one hours after receiving a Blue Flag.</t>
  </si>
  <si>
    <t xml:space="preserve">What the EEA classification does and does not measure; closure logs; sewage-discharge data.</t>
  </si>
  <si>
    <t xml:space="preserve">Both statements are true; the gap between them is the finding.</t>
  </si>
  <si>
    <t xml:space="preserve">Ministry; WSC; ERA</t>
  </si>
  <si>
    <t xml:space="preserve">Closure reports come partly via a travel-news relay of a Malta Independent story. Confirm in primary sources.</t>
  </si>
  <si>
    <t xml:space="preserve">CC-006</t>
  </si>
  <si>
    <t xml:space="preserve">Nature &amp; Wildlife</t>
  </si>
  <si>
    <t xml:space="preserve">Spring hunting derogation</t>
  </si>
  <si>
    <t xml:space="preserve">The Ornis committee recommended a 2026 spring season (quail 13 Apr-3 May; turtle dove 20 Apr-3 May) with bag limits of 1,500 turtle doves and 2,400 quail. Hunters describe it as strictly supervised and very small.</t>
  </si>
  <si>
    <t xml:space="preserve">A peer-reviewed analysis finds more birds are taken in autumn than spring, and the spring take equals about 2.4-4.4% of Europe's turtle doves. EU Court rulings (2018, 2024) concern illegal trapping and hunting.</t>
  </si>
  <si>
    <t xml:space="preserve">The legal 'no satisfactory alternative' and 'small numbers' tests against IUCN and population data.</t>
  </si>
  <si>
    <t xml:space="preserve">Rich peer-reviewed literature; recurs every spring. Publish before the 2027 decision.</t>
  </si>
  <si>
    <t xml:space="preserve">Ornis Committee; WBRU; FKNK; BirdLife Malta</t>
  </si>
  <si>
    <t xml:space="preserve">The study uses hunter-provided figures with wide error margins. Seasonal dates and limits come from a campaign-group summary: confirm in WBRU documents.</t>
  </si>
  <si>
    <t xml:space="preserve">CC-007</t>
  </si>
  <si>
    <t xml:space="preserve">Air</t>
  </si>
  <si>
    <t xml:space="preserve">Within EU limits vs WHO guideline</t>
  </si>
  <si>
    <t xml:space="preserve">Figures given to Parliament by the Environment Minister show all five monitoring stations within EU PM2.5 limits (2020-2024).</t>
  </si>
  <si>
    <t xml:space="preserve">All stations exceed the WHO annual PM2.5 guideline (5 ug/m3). The EU limit falls to 10 ug/m3 by 2030.</t>
  </si>
  <si>
    <t xml:space="preserve">ERA station data and arja.mt; WHO 2021 guideline; health-impact estimates.</t>
  </si>
  <si>
    <t xml:space="preserve">'Compliant' is not 'healthy'. Data is open.</t>
  </si>
  <si>
    <t xml:space="preserve">Ministry for the Environment; ERA</t>
  </si>
  <si>
    <t xml:space="preserve">Locate the exact parliamentary reply for the quote.</t>
  </si>
  <si>
    <t xml:space="preserve">CC-008</t>
  </si>
  <si>
    <t xml:space="preserve">Transport</t>
  </si>
  <si>
    <t xml:space="preserve">Flyovers and congestion</t>
  </si>
  <si>
    <t xml:space="preserve">Infrastructure Malta says junction flyovers (Msida, Marsa) cut congestion, noise and air pollution.</t>
  </si>
  <si>
    <t xml:space="preserve">Msida involves removal of 430 trees and shrubs (313 replanted). The licensed fleet grew by 3,086 in Q2 2026, about 34 a day.</t>
  </si>
  <si>
    <t xml:space="preserve">Induced-demand research; before-and-after traffic counts; air data near Marsa and Msida.</t>
  </si>
  <si>
    <t xml:space="preserve">Before-and-after data exists.</t>
  </si>
  <si>
    <t xml:space="preserve">Infrastructure Malta; Transport Malta; ERA</t>
  </si>
  <si>
    <t xml:space="preserve">IM statements found are from earlier years; locate current wording.</t>
  </si>
  <si>
    <t xml:space="preserve">CC-009</t>
  </si>
  <si>
    <t xml:space="preserve">Reverse osmosis and groundwater</t>
  </si>
  <si>
    <t xml:space="preserve">WSC: reverse osmosis supplies about 64% of tap water, reducing reliance on groundwater. A new Għar Lapsi plant was tendered in Aug 2026.</t>
  </si>
  <si>
    <t xml:space="preserve">Studies report all groundwater bodies fail good status on nitrates, and private extraction is unquantified.</t>
  </si>
  <si>
    <t xml:space="preserve">Total abstraction (including private boreholes) versus recharge; current river-basin plan data.</t>
  </si>
  <si>
    <t xml:space="preserve">Cutting public extraction does not mean the aquifer recovers.</t>
  </si>
  <si>
    <t xml:space="preserve">Water Services Corporation; Ministry; ERA</t>
  </si>
  <si>
    <t xml:space="preserve">Several figures are older (2022 or earlier) and need updating.</t>
  </si>
  <si>
    <t xml:space="preserve">CC-010</t>
  </si>
  <si>
    <t xml:space="preserve">Tree-planting counts</t>
  </si>
  <si>
    <t xml:space="preserve">Government: over 8,000 trees and 25,000 shrubs planted in 2024. A 2022 Labour manifesto pledged 100,000 trees in five years.</t>
  </si>
  <si>
    <t xml:space="preserve">Planted is an input, not an outcome. Survival rates, removals (Msida, Comino) and net canopy are not reported.</t>
  </si>
  <si>
    <t xml:space="preserve">MapMyTree register; survival rates; removals; satellite canopy change.</t>
  </si>
  <si>
    <t xml:space="preserve">Satellite imagery does the heavy lifting.</t>
  </si>
  <si>
    <t xml:space="preserve">Input-as-outcome; Promise-without-baseline</t>
  </si>
  <si>
    <t xml:space="preserve">Project Green; Ambjent Malta; Ministry; Labour Party</t>
  </si>
  <si>
    <t xml:space="preserve">Pledge scope and counting basis need confirming before comparing.</t>
  </si>
  <si>
    <t xml:space="preserve">CC-011</t>
  </si>
  <si>
    <t xml:space="preserve">Governance &amp; Promises</t>
  </si>
  <si>
    <t xml:space="preserve">2026 manifesto pledges</t>
  </si>
  <si>
    <t xml:space="preserve">Labour: every citizen within a 10-minute walk of a green space. PN: a net-zero Gozo through afforestation.</t>
  </si>
  <si>
    <t xml:space="preserve">Election held 30 May 2026; Labour won.</t>
  </si>
  <si>
    <t xml:space="preserve">Walkability analysis on open map data; carbon arithmetic for Gozo's 67 km2.</t>
  </si>
  <si>
    <t xml:space="preserve">One claim per main party, both computable.</t>
  </si>
  <si>
    <t xml:space="preserve">Labour Party; Nationalist Party</t>
  </si>
  <si>
    <t xml:space="preserve">Define 'green space' and the walking-speed assumption up front, for both claims.</t>
  </si>
  <si>
    <t xml:space="preserve">Check</t>
  </si>
  <si>
    <t xml:space="preserve">Input 1</t>
  </si>
  <si>
    <t xml:space="preserve">Value 1</t>
  </si>
  <si>
    <t xml:space="preserve">Input 2</t>
  </si>
  <si>
    <t xml:space="preserve">Value 2</t>
  </si>
  <si>
    <t xml:space="preserve">Calculated</t>
  </si>
  <si>
    <t xml:space="preserve">Figure as stated publicly</t>
  </si>
  <si>
    <t xml:space="preserve">Consistent?</t>
  </si>
  <si>
    <t xml:space="preserve">Note and source</t>
  </si>
  <si>
    <t xml:space="preserve">Comino: replacement trees owed</t>
  </si>
  <si>
    <t xml:space="preserve">Protected trees removed</t>
  </si>
  <si>
    <t xml:space="preserve">Replacement ratio (per tree)</t>
  </si>
  <si>
    <t xml:space="preserve">ERA statement, 11 Aug 2026. Transplant failures carry a further 10-for-1 duty on top of this.</t>
  </si>
  <si>
    <t xml:space="preserve">Comino: non-protected specimens removed</t>
  </si>
  <si>
    <t xml:space="preserve">Trees and shrubs removed</t>
  </si>
  <si>
    <t xml:space="preserve">Share not protected</t>
  </si>
  <si>
    <t xml:space="preserve">ERA says 92% of the 678 are not protected; its later statement gives 624 non-protected specimens.</t>
  </si>
  <si>
    <t xml:space="preserve">Comino: protected + non-protected = total</t>
  </si>
  <si>
    <t xml:space="preserve">Protected removed</t>
  </si>
  <si>
    <t xml:space="preserve">Non-protected removed</t>
  </si>
  <si>
    <t xml:space="preserve">Internal consistency check on ERA's figures. The NGO's 'about 800' is a different count: reconcile scope (shrubs, transplants).</t>
  </si>
  <si>
    <t xml:space="preserve">Msida flyover: net trees and shrubs</t>
  </si>
  <si>
    <t xml:space="preserve">Removed</t>
  </si>
  <si>
    <t xml:space="preserve">Replanted</t>
  </si>
  <si>
    <t xml:space="preserve">ERA screening. 26 of the 430 were proposed for transplanting, so the true net loss may be smaller. Count compensation by survival, not planting.</t>
  </si>
  <si>
    <t xml:space="preserve">Climate: gap to 2030 target (percentage points)</t>
  </si>
  <si>
    <t xml:space="preserve">Projected change vs 2005 (%)</t>
  </si>
  <si>
    <t xml:space="preserve">ESR target vs 2005 (%)</t>
  </si>
  <si>
    <t xml:space="preserve">European Commission 2025 Climate Action Progress Report, as reported. A positive projection against a negative target gives a 49-point gap.</t>
  </si>
  <si>
    <t xml:space="preserve">Climate: per-capita advantage over EU (points)</t>
  </si>
  <si>
    <t xml:space="preserve">Malta per-capita fall since 2005 (%)</t>
  </si>
  <si>
    <t xml:space="preserve">EU average fall (%)</t>
  </si>
  <si>
    <t xml:space="preserve">Climate Action Authority framing. Per-capita falls can coexist with rising absolute emissions when population grows.</t>
  </si>
  <si>
    <t xml:space="preserve">Waste: change in mixed waste</t>
  </si>
  <si>
    <t xml:space="preserve">Mixed waste, earlier (million kg)</t>
  </si>
  <si>
    <t xml:space="preserve">Mixed waste, 2025 (million kg)</t>
  </si>
  <si>
    <t xml:space="preserve">Ministry press release, Jan 2026. A fall in black-bag kg is not the EU recycling rate.</t>
  </si>
  <si>
    <t xml:space="preserve">Vehicles added per day, Q2 2026</t>
  </si>
  <si>
    <t xml:space="preserve">Net increase in licensed vehicles</t>
  </si>
  <si>
    <t xml:space="preserve">Days in Q2 (30+31+30)</t>
  </si>
  <si>
    <t xml:space="preserve">NSO via MaltaToday. Licensed stock reached 460,648 at end of Q1 2026 per a secondary source.</t>
  </si>
  <si>
    <t xml:space="preserve">Tree pledge: implied pace per year</t>
  </si>
  <si>
    <t xml:space="preserve">Pledged trees (2022 manifesto)</t>
  </si>
  <si>
    <t xml:space="preserve">Years</t>
  </si>
  <si>
    <t xml:space="preserve">Labour 2022 manifesto pledge, as reported by the Malta Independent.</t>
  </si>
  <si>
    <t xml:space="preserve">2024 trees planted vs implied pace</t>
  </si>
  <si>
    <t xml:space="preserve">Trees planted in 2024 (reported)</t>
  </si>
  <si>
    <t xml:space="preserve">Implied pace per year (above)</t>
  </si>
  <si>
    <t xml:space="preserve">INDICATIVE ONLY. The 8,000 are trees (25,000 shrubs reported separately); pledge scope and counting basis are unconfirmed. Do not publish this ratio until both are confirmed.</t>
  </si>
  <si>
    <t xml:space="preserve">Gozo land area in hectares</t>
  </si>
  <si>
    <t xml:space="preserve">Gozo area (km2)</t>
  </si>
  <si>
    <t xml:space="preserve">Hectares per km2</t>
  </si>
  <si>
    <t xml:space="preserve">Ingredient for the net-zero arithmetic. Area from the EC Clean Energy for EU Islands page. This is all land, not plantable land.</t>
  </si>
  <si>
    <t xml:space="preserve">Blue = figure typed from a source. Black = formula. 'Figure as stated publicly' is blank where no public figure exists to compare against.</t>
  </si>
  <si>
    <t xml:space="preserve">Theme ID</t>
  </si>
  <si>
    <t xml:space="preserve">Theme</t>
  </si>
  <si>
    <t xml:space="preserve">Linked claim IDs</t>
  </si>
  <si>
    <t xml:space="preserve">Link type</t>
  </si>
  <si>
    <t xml:space="preserve">Strength</t>
  </si>
  <si>
    <t xml:space="preserve">What connects them</t>
  </si>
  <si>
    <t xml:space="preserve">Edges generated</t>
  </si>
  <si>
    <t xml:space="preserve">T1</t>
  </si>
  <si>
    <t xml:space="preserve">Sealed soil and concrete</t>
  </si>
  <si>
    <t xml:space="preserve">CC-001, CC-002, CC-008</t>
  </si>
  <si>
    <t xml:space="preserve">Shared mechanism</t>
  </si>
  <si>
    <t xml:space="preserve">Strong</t>
  </si>
  <si>
    <t xml:space="preserve">Excavation, concrete and sealed surfaces around trees. The EU review notes sealed or degraded soil keeps increasing in Malta.</t>
  </si>
  <si>
    <t xml:space="preserve">T2</t>
  </si>
  <si>
    <t xml:space="preserve">Replanting as currency</t>
  </si>
  <si>
    <t xml:space="preserve">CC-001, CC-002, CC-008, CC-010</t>
  </si>
  <si>
    <t xml:space="preserve">Tree losses are justified by promised replacement or transplanting. Test survival and net canopy, not planting counts.</t>
  </si>
  <si>
    <t xml:space="preserve">T3</t>
  </si>
  <si>
    <t xml:space="preserve">Water chain: farm waste, sewage, sea, aquifer</t>
  </si>
  <si>
    <t xml:space="preserve">CC-005, CC-009</t>
  </si>
  <si>
    <t xml:space="preserve">Shared cause</t>
  </si>
  <si>
    <t xml:space="preserve">The Commission blames farm waste in the sewers for poor treatment; agricultural nitrates are behind groundwater failure. Treated water also feeds 'new water' irrigation.</t>
  </si>
  <si>
    <t xml:space="preserve">T4</t>
  </si>
  <si>
    <t xml:space="preserve">Transport, air and climate</t>
  </si>
  <si>
    <t xml:space="preserve">CC-003, CC-007, CC-008</t>
  </si>
  <si>
    <t xml:space="preserve">Shared driver</t>
  </si>
  <si>
    <t xml:space="preserve">Fleet growth links traffic claims, air quality and emissions. The climate report names transport and buildings as the lagging sectors.</t>
  </si>
  <si>
    <t xml:space="preserve">T5</t>
  </si>
  <si>
    <t xml:space="preserve">Waste and construction</t>
  </si>
  <si>
    <t xml:space="preserve">CC-004, CC-002, CC-008</t>
  </si>
  <si>
    <t xml:space="preserve">Shared material flow</t>
  </si>
  <si>
    <t xml:space="preserve">Weak (indicative)</t>
  </si>
  <si>
    <t xml:space="preserve">Inert mineral waste dominates Malta's recycling statistics, which ties waste claims to development projects. Confirm with NSO breakdowns before relying on this link.</t>
  </si>
  <si>
    <t xml:space="preserve">T6</t>
  </si>
  <si>
    <t xml:space="preserve">Selective-metric pattern</t>
  </si>
  <si>
    <t xml:space="preserve">CC-003, CC-004, CC-005, CC-007, CC-010</t>
  </si>
  <si>
    <t xml:space="preserve">Rhetorical pattern</t>
  </si>
  <si>
    <t xml:space="preserve">Pattern, not causal</t>
  </si>
  <si>
    <t xml:space="preserve">A favourable metric is cited while the regulator-relevant metric looks worse. Useful for tagging, not for implying a common cause.</t>
  </si>
  <si>
    <t xml:space="preserve">WHO APPEARS WHERE</t>
  </si>
  <si>
    <t xml:space="preserve">Claim IDs</t>
  </si>
  <si>
    <t xml:space="preserve">Type</t>
  </si>
  <si>
    <t xml:space="preserve">Note</t>
  </si>
  <si>
    <t xml:space="preserve">Claims (count)</t>
  </si>
  <si>
    <t xml:space="preserve">Ministry for the Environment (Minister Dalli)</t>
  </si>
  <si>
    <t xml:space="preserve">CC-003, CC-004, CC-007, CC-009</t>
  </si>
  <si>
    <t xml:space="preserve">Government</t>
  </si>
  <si>
    <t xml:space="preserve">ERA</t>
  </si>
  <si>
    <t xml:space="preserve">CC-002, CC-005, CC-007</t>
  </si>
  <si>
    <t xml:space="preserve">Regulator</t>
  </si>
  <si>
    <t xml:space="preserve">Ambjent Malta</t>
  </si>
  <si>
    <t xml:space="preserve">CC-001, CC-010</t>
  </si>
  <si>
    <t xml:space="preserve">Government agency</t>
  </si>
  <si>
    <t xml:space="preserve">Infrastructure Malta</t>
  </si>
  <si>
    <t xml:space="preserve">Water Services Corporation</t>
  </si>
  <si>
    <t xml:space="preserve">Government corporation</t>
  </si>
  <si>
    <t xml:space="preserve">Political parties (Labour, PN)</t>
  </si>
  <si>
    <t xml:space="preserve">Parties</t>
  </si>
  <si>
    <t xml:space="preserve">NGOs (Moviment Graffitti, BirdLife Malta)</t>
  </si>
  <si>
    <t xml:space="preserve">CC-002, CC-006</t>
  </si>
  <si>
    <t xml:space="preserve">NGO</t>
  </si>
  <si>
    <t xml:space="preserve">NGO claims are included on purpose: the series checks every side, including the numbers NGOs and developers dispute.</t>
  </si>
  <si>
    <t xml:space="preserve">From</t>
  </si>
  <si>
    <t xml:space="preserve">To</t>
  </si>
  <si>
    <t xml:space="preserve">Ref</t>
  </si>
  <si>
    <t xml:space="preserve">Source</t>
  </si>
  <si>
    <t xml:space="preserve">Publisher</t>
  </si>
  <si>
    <t xml:space="preserve">Date</t>
  </si>
  <si>
    <t xml:space="preserve">Reliability note</t>
  </si>
  <si>
    <t xml:space="preserve">URL</t>
  </si>
  <si>
    <t xml:space="preserve">Concrete layer won't damage Upper Barrakka trees, Ambjent Malta says (N. Meilak)</t>
  </si>
  <si>
    <t xml:space="preserve">Times of Malta</t>
  </si>
  <si>
    <t xml:space="preserve">1 Oct 2026</t>
  </si>
  <si>
    <t xml:space="preserve">News (full text read)</t>
  </si>
  <si>
    <t xml:space="preserve">Primary for the claim. Supplied as PDF.</t>
  </si>
  <si>
    <t xml:space="preserve">Supplied by user (PDF)</t>
  </si>
  <si>
    <t xml:space="preserve">Wirt Artna explains concrete around Upper Barrakka tree</t>
  </si>
  <si>
    <t xml:space="preserve">Newsbook</t>
  </si>
  <si>
    <t xml:space="preserve">News (excerpt only)</t>
  </si>
  <si>
    <t xml:space="preserve">Page blocks automated access.</t>
  </si>
  <si>
    <t xml:space="preserve">https://newsbook.com.mt/en/wirt-artna-explains-concrete-around-upper-barrakka-tree-it-is-protecting-historic-tunnels/</t>
  </si>
  <si>
    <t xml:space="preserve">Parts of Upper Barrakka have been cemented over, but don't panic just yet...</t>
  </si>
  <si>
    <t xml:space="preserve">MaltaToday</t>
  </si>
  <si>
    <t xml:space="preserve">c. Dec 2025</t>
  </si>
  <si>
    <t xml:space="preserve">Earlier phase of works; quotes the executive chairman of Fondazzjoni Wirt Artna.</t>
  </si>
  <si>
    <t xml:space="preserve">https://www.maltatoday.com.mt/environment/environment/138909/parts_of_upper_barrakka_have_been_cemented_over_but_dont_panic_just_yet</t>
  </si>
  <si>
    <t xml:space="preserve">ERA clarifies environmental measures linked to the Comino Hotel project</t>
  </si>
  <si>
    <t xml:space="preserve">ERA press releases</t>
  </si>
  <si>
    <t xml:space="preserve">11 Aug 2026</t>
  </si>
  <si>
    <t xml:space="preserve">Regulator statement</t>
  </si>
  <si>
    <t xml:space="preserve">Primary. Source of the 54 / 540 / 678 / 92% / 348 figures.</t>
  </si>
  <si>
    <t xml:space="preserve">https://era.org.mt/press-releases/</t>
  </si>
  <si>
    <t xml:space="preserve">Comino trees: ERA says its decisions based on expert advice, Maltese law</t>
  </si>
  <si>
    <t xml:space="preserve">News</t>
  </si>
  <si>
    <t xml:space="preserve">Gives the 624 non-protected figure.</t>
  </si>
  <si>
    <t xml:space="preserve">https://newsbook.com.mt/en/comino-trees-era-says-its-decisions-based-on-expert-advice-maltese-law/</t>
  </si>
  <si>
    <t xml:space="preserve">ERA urged to refuse permit for removal of 800 trees from Comino</t>
  </si>
  <si>
    <t xml:space="preserve">5 Aug 2026</t>
  </si>
  <si>
    <t xml:space="preserve">NGO's count and developer's counter-figures.</t>
  </si>
  <si>
    <t xml:space="preserve">https://newsbook.com.mt/en/era-urged-to-refuse-permit-for-removal-of-800-trees-from-comino/</t>
  </si>
  <si>
    <t xml:space="preserve">ERA approves preliminary works for proposed Comino hotel</t>
  </si>
  <si>
    <t xml:space="preserve">Aug 2026</t>
  </si>
  <si>
    <t xml:space="preserve">Reports ERA board vote and NGO position.</t>
  </si>
  <si>
    <t xml:space="preserve">https://www.maltatoday.com.mt/environment/planning/143667/era_approves_preliminary_works_for_proposed_comino_hotel</t>
  </si>
  <si>
    <t xml:space="preserve">Excavation and tree uprooting on Comino suspended following crowdfunded NGO appeal</t>
  </si>
  <si>
    <t xml:space="preserve">Moviment Graffitti</t>
  </si>
  <si>
    <t xml:space="preserve">30 Sep 2026</t>
  </si>
  <si>
    <t xml:space="preserve">NGO statement</t>
  </si>
  <si>
    <t xml:space="preserve">Advocacy source. Use for the tribunal suspension; confirm with tribunal record.</t>
  </si>
  <si>
    <t xml:space="preserve">https://mail.movimentgraffitti.org/2026/09/30/excavation-and-tree-uprooting-on-comino-suspended-following-crowdfunded-ngo-appeal-but-the-fight-to-save-comino-continues/</t>
  </si>
  <si>
    <t xml:space="preserve">Malta set to increase emissions as EU cuts carbon output (citing EC 2025 Climate Action Progress Report)</t>
  </si>
  <si>
    <t xml:space="preserve">Italpress / MNA</t>
  </si>
  <si>
    <t xml:space="preserve">Nov 2025</t>
  </si>
  <si>
    <t xml:space="preserve">News relay of EU report</t>
  </si>
  <si>
    <t xml:space="preserve">Find the EU report itself for the 30% projection and 49-point shortfall.</t>
  </si>
  <si>
    <t xml:space="preserve">https://www.italpress.com/?p=605399</t>
  </si>
  <si>
    <t xml:space="preserve">Malta cuts emissions faster than EU average, report shows</t>
  </si>
  <si>
    <t xml:space="preserve">Carries the Climate Action Authority framing.</t>
  </si>
  <si>
    <t xml:space="preserve">https://www.maltatoday.com.mt/news/national/138271/malta_cuts_emissions_faster_than_eu_average_report_shows</t>
  </si>
  <si>
    <t xml:space="preserve">Facts: emissions (June 2026)</t>
  </si>
  <si>
    <t xml:space="preserve">Climate Action Authority</t>
  </si>
  <si>
    <t xml:space="preserve">Jun 2026</t>
  </si>
  <si>
    <t xml:space="preserve">Government factsheet</t>
  </si>
  <si>
    <t xml:space="preserve">Primary for the authority's framing.</t>
  </si>
  <si>
    <t xml:space="preserve">https://climateaction.gov.mt/wp-content/uploads/2026/06/FACTS-EMISSIONS-JUNE-26.pdf</t>
  </si>
  <si>
    <t xml:space="preserve">Renewable Energy 2026: Malta</t>
  </si>
  <si>
    <t xml:space="preserve">Chambers Practice Guides</t>
  </si>
  <si>
    <t xml:space="preserve">11 Sep 2026</t>
  </si>
  <si>
    <t xml:space="preserve">Legal practice guide</t>
  </si>
  <si>
    <t xml:space="preserve">Secondary. Source of the 10-11% renewable share.</t>
  </si>
  <si>
    <t xml:space="preserve">https://practiceguides.chambers.com/practice-guides/renewable-energy-2026/malta</t>
  </si>
  <si>
    <t xml:space="preserve">Malta records strong progress in waste separation</t>
  </si>
  <si>
    <t xml:space="preserve">gov.mt press release</t>
  </si>
  <si>
    <t xml:space="preserve">19 Jan 2026</t>
  </si>
  <si>
    <t xml:space="preserve">Government statement</t>
  </si>
  <si>
    <t xml:space="preserve">Primary. Source of 412 million kg diverted.</t>
  </si>
  <si>
    <t xml:space="preserve">https://www.gov.mt/en/Government/DOI/Press%20Releases/Pages/2026/01/19/PR260072en.aspx</t>
  </si>
  <si>
    <t xml:space="preserve">Malta records strong progress in waste separation (Public Service)</t>
  </si>
  <si>
    <t xml:space="preserve">publicservice.gov.mt</t>
  </si>
  <si>
    <t xml:space="preserve">23 Jan 2026</t>
  </si>
  <si>
    <t xml:space="preserve">Primary. Source of the mixed-waste figures.</t>
  </si>
  <si>
    <t xml:space="preserve">https://publicservice.gov.mt/en/news/malta-records-strong-progress-in-waste-separation</t>
  </si>
  <si>
    <t xml:space="preserve">CC-004 / 005 / 006</t>
  </si>
  <si>
    <t xml:space="preserve">Environmental Implementation Review 2025: Malta</t>
  </si>
  <si>
    <t xml:space="preserve">European Commission (OP)</t>
  </si>
  <si>
    <t xml:space="preserve">2025</t>
  </si>
  <si>
    <t xml:space="preserve">EU report</t>
  </si>
  <si>
    <t xml:space="preserve">Independent anchor: recycling, bathing water, wastewater, trapping, sealed soil.</t>
  </si>
  <si>
    <t xml:space="preserve">https://op.europa.eu/webpub/env/eir-country-reports-summaries/en/malta.html</t>
  </si>
  <si>
    <t xml:space="preserve">ERA welcomes progress in recycling (2023 NSO data)</t>
  </si>
  <si>
    <t xml:space="preserve">19 Feb 2025</t>
  </si>
  <si>
    <t xml:space="preserve">Source of the '68% recycled' figure (mostly inert waste).</t>
  </si>
  <si>
    <t xml:space="preserve">https://era.org.mt/?p=53057</t>
  </si>
  <si>
    <t xml:space="preserve">Solid Waste Management 2024</t>
  </si>
  <si>
    <t xml:space="preserve">NSO</t>
  </si>
  <si>
    <t xml:space="preserve">17 Feb 2026</t>
  </si>
  <si>
    <t xml:space="preserve">Official statistics</t>
  </si>
  <si>
    <t xml:space="preserve">Primary data for the recycling-rate test.</t>
  </si>
  <si>
    <t xml:space="preserve">https://nso.gov.mt/solid-waste-management-2024/</t>
  </si>
  <si>
    <t xml:space="preserve">EU Court finds Malta in breach of its wastewater treatment obligations</t>
  </si>
  <si>
    <t xml:space="preserve">n/d</t>
  </si>
  <si>
    <t xml:space="preserve">Reports the ECJ finding on treatment capacity.</t>
  </si>
  <si>
    <t xml:space="preserve">https://maltatoday.com.mt/news/europe/131800/eu_court_finds_malta_in_breach_of_its_wastewater_treatment_obligations</t>
  </si>
  <si>
    <t xml:space="preserve">Malta beaches waters (relaying Malta Independent)</t>
  </si>
  <si>
    <t xml:space="preserve">TravelMole</t>
  </si>
  <si>
    <t xml:space="preserve">Travel news relay</t>
  </si>
  <si>
    <t xml:space="preserve">Lower reliability. Lead only; confirm closures in primary sources.</t>
  </si>
  <si>
    <t xml:space="preserve">https://travelmole.com/news/malta-beaches-waters/</t>
  </si>
  <si>
    <t xml:space="preserve">Malta greenlights 2026 spring hunting season</t>
  </si>
  <si>
    <t xml:space="preserve">CABS (Committee Against Bird Slaughter)</t>
  </si>
  <si>
    <t xml:space="preserve">1 Apr 2026</t>
  </si>
  <si>
    <t xml:space="preserve">Campaign group</t>
  </si>
  <si>
    <t xml:space="preserve">Advocacy source. Confirm dates and limits in WBRU documents.</t>
  </si>
  <si>
    <t xml:space="preserve">https://www.komitee.de/en/latest-news/news/malta-green-light-spring-hunting/</t>
  </si>
  <si>
    <t xml:space="preserve">Spring hunting for turtle dove set to return after Ornis votes in favour</t>
  </si>
  <si>
    <t xml:space="preserve">Reports the Ornis vote and FKNK position.</t>
  </si>
  <si>
    <t xml:space="preserve">https://www.maltatoday.com.mt/environment/environment/115708/spring_hunting_for_turtle_dove_set_to_return_after_ornis_votes_in_favour</t>
  </si>
  <si>
    <t xml:space="preserve">The importance of spring hunting in Malta on European Turtle-Dove and Common Quail populations</t>
  </si>
  <si>
    <t xml:space="preserve">Humboldt-Universität zu Berlin (edoc)</t>
  </si>
  <si>
    <t xml:space="preserve">Peer-reviewed</t>
  </si>
  <si>
    <t xml:space="preserve">Uses hunter-provided figures; wide error margins stated by the authors.</t>
  </si>
  <si>
    <t xml:space="preserve">https://edoc.hu-berlin.de/18452/26405</t>
  </si>
  <si>
    <t xml:space="preserve">Air pollution exceeds WHO guidelines throughout Maltese islands</t>
  </si>
  <si>
    <t xml:space="preserve">Reports the Minister's parliamentary figures (2020-2024).</t>
  </si>
  <si>
    <t xml:space="preserve">https://newsbook.com.mt/en/air-pollution-exceeds-who-guidelines-throughout-maltese-islands/</t>
  </si>
  <si>
    <t xml:space="preserve">arja.mt: real-time air quality for Malta</t>
  </si>
  <si>
    <t xml:space="preserve">arja.mt</t>
  </si>
  <si>
    <t xml:space="preserve">Live</t>
  </si>
  <si>
    <t xml:space="preserve">Open data portal</t>
  </si>
  <si>
    <t xml:space="preserve">Built on ERA station data.</t>
  </si>
  <si>
    <t xml:space="preserve">https://arja.mt/</t>
  </si>
  <si>
    <t xml:space="preserve">No social impact assessment yet for Msida flyovers</t>
  </si>
  <si>
    <t xml:space="preserve">Earlier years</t>
  </si>
  <si>
    <t xml:space="preserve">Records Infrastructure Malta's congestion and air-quality claims.</t>
  </si>
  <si>
    <t xml:space="preserve">https://www.maltatoday.com.mt/environment/townscapes/107316/no_social_impact_assessment_yet_for_msida_flyovers</t>
  </si>
  <si>
    <t xml:space="preserve">No EIA needed for Msida flyover project, ERA says</t>
  </si>
  <si>
    <t xml:space="preserve">Source of 430 removed / 313 planted.</t>
  </si>
  <si>
    <t xml:space="preserve">https://www.maltatoday.com.mt/environment/planning/108072/no_eia_needed_for_msida_flyover_project_era_says</t>
  </si>
  <si>
    <t xml:space="preserve">All Marsa Junction Project flyovers now open</t>
  </si>
  <si>
    <t xml:space="preserve">Records the Marsa emissions claim.</t>
  </si>
  <si>
    <t xml:space="preserve">https://www.maltatoday.com.mt/news/national/105894/all_marsa_junction_project_flyovers_now_open</t>
  </si>
  <si>
    <t xml:space="preserve">Over 3,000 vehicles added to Malta's roads in three months</t>
  </si>
  <si>
    <t xml:space="preserve">MaltaToday (NSO figures)</t>
  </si>
  <si>
    <t xml:space="preserve">Q2 2026</t>
  </si>
  <si>
    <t xml:space="preserve">News relay of NSO</t>
  </si>
  <si>
    <t xml:space="preserve">Find the NSO release for the primary figure.</t>
  </si>
  <si>
    <t xml:space="preserve">https://www.maltatoday.com.mt/news/national/143850/over_3000_vehicles_added_to_maltas_roads_in_three_months</t>
  </si>
  <si>
    <t xml:space="preserve">Nearly two-thirds of your tap water comes from the sea</t>
  </si>
  <si>
    <t xml:space="preserve">2022 data</t>
  </si>
  <si>
    <t xml:space="preserve">News (WSC annual report)</t>
  </si>
  <si>
    <t xml:space="preserve">Figures are for 2022; update.</t>
  </si>
  <si>
    <t xml:space="preserve">https://www.maltatoday.com.mt/news/national/123510/nearly_twothirds_of_your_tap_water_comes_from_the_sea_</t>
  </si>
  <si>
    <t xml:space="preserve">Malta water table 'fails' test due to high nitrates</t>
  </si>
  <si>
    <t xml:space="preserve">Reports river-basin status; find the plan itself.</t>
  </si>
  <si>
    <t xml:space="preserve">https://www.maltatoday.com.mt/news/national/125093/malta_water_table_fails_test_due_to_high_nitrates</t>
  </si>
  <si>
    <t xml:space="preserve">35 million tender launched: new Għar Lapsi reverse osmosis plant</t>
  </si>
  <si>
    <t xml:space="preserve">Chambers (WH Partners)</t>
  </si>
  <si>
    <t xml:space="preserve">Legal article</t>
  </si>
  <si>
    <t xml:space="preserve">Source of the Aug 2026 tender facts.</t>
  </si>
  <si>
    <t xml:space="preserve">https://chambers.com/articles/35-million-tender-launched-new-għar-lapsi-reverse-osmosis-plant</t>
  </si>
  <si>
    <t xml:space="preserve">Project Green: 2024 tree planting</t>
  </si>
  <si>
    <t xml:space="preserve">projectgreen.mt</t>
  </si>
  <si>
    <t xml:space="preserve">2024</t>
  </si>
  <si>
    <t xml:space="preserve">Government project site</t>
  </si>
  <si>
    <t xml:space="preserve">Primary for the 8,000 trees / 25,000 shrubs claim.</t>
  </si>
  <si>
    <t xml:space="preserve">https://projectgreen.mt/?p=952</t>
  </si>
  <si>
    <t xml:space="preserve">PL manifesto: new mechanism to replace COLA, raft of planning reforms, new green areas</t>
  </si>
  <si>
    <t xml:space="preserve">The Malta Independent</t>
  </si>
  <si>
    <t xml:space="preserve">11 Mar 2022</t>
  </si>
  <si>
    <t xml:space="preserve">Source of the 100,000-trees-in-five-years pledge.</t>
  </si>
  <si>
    <t xml:space="preserve">https://www.independent.com.mt/articles/2022-03-11/local-news/PL-manifesto-new-mechanism-to-replace-COLA-raft-of-planning-reforms-new-green-areas-6736241368</t>
  </si>
  <si>
    <t xml:space="preserve">Labour publishes its manifesto: here is a breakdown</t>
  </si>
  <si>
    <t xml:space="preserve">May 2026</t>
  </si>
  <si>
    <t xml:space="preserve">Source of the 10-minute-walk pledge. Find the manifesto text.</t>
  </si>
  <si>
    <t xml:space="preserve">https://www.maltatoday.com.mt/news/election-2026/141840/labour_publishes_its_manifesto_here_is_a_breakdown</t>
  </si>
  <si>
    <t xml:space="preserve">PN approves its electoral manifesto</t>
  </si>
  <si>
    <t xml:space="preserve">Source of the net-zero Gozo statement.</t>
  </si>
  <si>
    <t xml:space="preserve">https://www.maltatoday.com.mt/news/election-2026/141891/pn_approves_its_electoral_manifesto</t>
  </si>
  <si>
    <t xml:space="preserve">Clean energy for EU islands: Malta</t>
  </si>
  <si>
    <t xml:space="preserve">European Commission</t>
  </si>
  <si>
    <t xml:space="preserve">EU portal</t>
  </si>
  <si>
    <t xml:space="preserve">Source of Gozo's 67 km2 area.</t>
  </si>
  <si>
    <t xml:space="preserve">https://clean-energy-islands.ec.europa.eu/countries/malta</t>
  </si>
  <si>
    <t xml:space="preserve">Context</t>
  </si>
  <si>
    <t xml:space="preserve">Fact-check Malta: misleading claims around PN's environmental bill</t>
  </si>
  <si>
    <t xml:space="preserve">MEDDMO</t>
  </si>
  <si>
    <t xml:space="preserve">Oct 2025</t>
  </si>
  <si>
    <t xml:space="preserve">Fact-checking hub</t>
  </si>
  <si>
    <t xml:space="preserve">Existing fact-checking effort; this series differs by being science-first.</t>
  </si>
  <si>
    <t xml:space="preserve">https://meddmo.eu/fact-checking-claims-around-pns-environmental-bill/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</si>
</sst>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 mmm\ yyyy"/>
    <numFmt numFmtId="166" formatCode="General"/>
    <numFmt numFmtId="167" formatCode="#0"/>
    <numFmt numFmtId="168" formatCode="0%"/>
    <numFmt numFmtId="169" formatCode="#,##0;\-#,##0"/>
    <numFmt numFmtId="170" formatCode="0.0"/>
    <numFmt numFmtId="171" formatCode="0.0%"/>
    <numFmt numFmtId="172" formatCode="#,##0"/>
    <numFmt numFmtId="173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452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4452F"/>
      <name val="Arial"/>
      <family val="0"/>
      <charset val="1"/>
    </font>
    <font>
      <u val="single"/>
      <sz val="10"/>
      <color rgb="FF3C6E8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452F"/>
        <bgColor rgb="FF003300"/>
      </patternFill>
    </fill>
    <fill>
      <patternFill patternType="solid">
        <fgColor rgb="FFF6F4EE"/>
        <bgColor rgb="FFFBF1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D7"/>
      </left>
      <right style="thin">
        <color rgb="FFD5DBD7"/>
      </right>
      <top style="thin">
        <color rgb="FFD5DBD7"/>
      </top>
      <bottom style="thin">
        <color rgb="FFD5DBD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4452F"/>
          <bgColor rgb="FF000000"/>
        </patternFill>
      </fill>
    </dxf>
    <dxf>
      <fill>
        <patternFill patternType="solid">
          <fgColor rgb="FFF6F4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EFE8"/>
          <bgColor rgb="FF000000"/>
        </patternFill>
      </fill>
    </dxf>
    <dxf>
      <fill>
        <patternFill patternType="solid">
          <fgColor rgb="FFFBF1D9"/>
          <bgColor rgb="FF000000"/>
        </patternFill>
      </fill>
    </dxf>
    <dxf>
      <fill>
        <patternFill patternType="solid">
          <fgColor rgb="FFCFE5D5"/>
          <bgColor rgb="FF000000"/>
        </patternFill>
      </fill>
    </dxf>
    <dxf>
      <fill>
        <patternFill>
          <bgColor rgb="FFE6EFE8"/>
        </patternFill>
      </fill>
    </dxf>
    <dxf>
      <fill>
        <patternFill>
          <bgColor rgb="FFFBF1D9"/>
        </patternFill>
      </fill>
    </dxf>
    <dxf>
      <fill>
        <patternFill>
          <bgColor rgb="FFCFE5D5"/>
        </patternFill>
      </fill>
    </dxf>
    <dxf>
      <fill>
        <patternFill>
          <bgColor rgb="FFF7E4E0"/>
        </patternFill>
      </fill>
    </dxf>
    <dxf>
      <fill>
        <patternFill patternType="solid">
          <fgColor rgb="FF3C6E8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F1D9"/>
      <rgbColor rgb="FFE6EFE8"/>
      <rgbColor rgb="FF660066"/>
      <rgbColor rgb="FFFF8080"/>
      <rgbColor rgb="FF0066CC"/>
      <rgbColor rgb="FFD5DB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4EE"/>
      <rgbColor rgb="FFCFE5D5"/>
      <rgbColor rgb="FFFFFF99"/>
      <rgbColor rgb="FF99CCFF"/>
      <rgbColor rgb="FFFF99CC"/>
      <rgbColor rgb="FFCC99FF"/>
      <rgbColor rgb="FFF7E4E0"/>
      <rgbColor rgb="FF3366FF"/>
      <rgbColor rgb="FF33CCCC"/>
      <rgbColor rgb="FF99CC00"/>
      <rgbColor rgb="FFFFCC00"/>
      <rgbColor rgb="FFFF9900"/>
      <rgbColor rgb="FFFF6600"/>
      <rgbColor rgb="FF3C6E8F"/>
      <rgbColor rgb="FF7FA88B"/>
      <rgbColor rgb="FF003366"/>
      <rgbColor rgb="FF339966"/>
      <rgbColor rgb="FF003300"/>
      <rgbColor rgb="FF333300"/>
      <rgbColor rgb="FF993300"/>
      <rgbColor rgb="FF993366"/>
      <rgbColor rgb="FF333399"/>
      <rgbColor rgb="FF144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newsbook.com.mt/en/wirt-artna-explains-concrete-around-upper-barrakka-tree-it-is-protecting-historic-tunnels/" TargetMode="External"/><Relationship Id="rId2" Type="http://schemas.openxmlformats.org/officeDocument/2006/relationships/hyperlink" Target="https://www.maltatoday.com.mt/environment/environment/138909/parts_of_upper_barrakka_have_been_cemented_over_but_dont_panic_just_yet" TargetMode="External"/><Relationship Id="rId3" Type="http://schemas.openxmlformats.org/officeDocument/2006/relationships/hyperlink" Target="https://era.org.mt/press-releases/" TargetMode="External"/><Relationship Id="rId4" Type="http://schemas.openxmlformats.org/officeDocument/2006/relationships/hyperlink" Target="https://newsbook.com.mt/en/comino-trees-era-says-its-decisions-based-on-expert-advice-maltese-law/" TargetMode="External"/><Relationship Id="rId5" Type="http://schemas.openxmlformats.org/officeDocument/2006/relationships/hyperlink" Target="https://newsbook.com.mt/en/era-urged-to-refuse-permit-for-removal-of-800-trees-from-comino/" TargetMode="External"/><Relationship Id="rId6" Type="http://schemas.openxmlformats.org/officeDocument/2006/relationships/hyperlink" Target="https://www.maltatoday.com.mt/environment/planning/143667/era_approves_preliminary_works_for_proposed_comino_hotel" TargetMode="External"/><Relationship Id="rId7" Type="http://schemas.openxmlformats.org/officeDocument/2006/relationships/hyperlink" Target="https://mail.movimentgraffitti.org/2026/09/30/excavation-and-tree-uprooting-on-comino-suspended-following-crowdfunded-ngo-appeal-but-the-fight-to-save-comino-continues/" TargetMode="External"/><Relationship Id="rId8" Type="http://schemas.openxmlformats.org/officeDocument/2006/relationships/hyperlink" Target="https://www.italpress.com/?p=605399" TargetMode="External"/><Relationship Id="rId9" Type="http://schemas.openxmlformats.org/officeDocument/2006/relationships/hyperlink" Target="https://www.maltatoday.com.mt/news/national/138271/malta_cuts_emissions_faster_than_eu_average_report_shows" TargetMode="External"/><Relationship Id="rId10" Type="http://schemas.openxmlformats.org/officeDocument/2006/relationships/hyperlink" Target="https://climateaction.gov.mt/wp-content/uploads/2026/06/FACTS-EMISSIONS-JUNE-26.pdf" TargetMode="External"/><Relationship Id="rId11" Type="http://schemas.openxmlformats.org/officeDocument/2006/relationships/hyperlink" Target="https://practiceguides.chambers.com/practice-guides/renewable-energy-2026/malta" TargetMode="External"/><Relationship Id="rId12" Type="http://schemas.openxmlformats.org/officeDocument/2006/relationships/hyperlink" Target="https://www.gov.mt/en/Government/DOI/Press%20Releases/Pages/2026/01/19/PR260072en.aspx" TargetMode="External"/><Relationship Id="rId13" Type="http://schemas.openxmlformats.org/officeDocument/2006/relationships/hyperlink" Target="https://publicservice.gov.mt/en/news/malta-records-strong-progress-in-waste-separation" TargetMode="External"/><Relationship Id="rId14" Type="http://schemas.openxmlformats.org/officeDocument/2006/relationships/hyperlink" Target="https://op.europa.eu/webpub/env/eir-country-reports-summaries/en/malta.html" TargetMode="External"/><Relationship Id="rId15" Type="http://schemas.openxmlformats.org/officeDocument/2006/relationships/hyperlink" Target="https://era.org.mt/?p=53057" TargetMode="External"/><Relationship Id="rId16" Type="http://schemas.openxmlformats.org/officeDocument/2006/relationships/hyperlink" Target="https://nso.gov.mt/solid-waste-management-2024/" TargetMode="External"/><Relationship Id="rId17" Type="http://schemas.openxmlformats.org/officeDocument/2006/relationships/hyperlink" Target="https://maltatoday.com.mt/news/europe/131800/eu_court_finds_malta_in_breach_of_its_wastewater_treatment_obligations" TargetMode="External"/><Relationship Id="rId18" Type="http://schemas.openxmlformats.org/officeDocument/2006/relationships/hyperlink" Target="https://travelmole.com/news/malta-beaches-waters/" TargetMode="External"/><Relationship Id="rId19" Type="http://schemas.openxmlformats.org/officeDocument/2006/relationships/hyperlink" Target="https://www.komitee.de/en/latest-news/news/malta-green-light-spring-hunting/" TargetMode="External"/><Relationship Id="rId20" Type="http://schemas.openxmlformats.org/officeDocument/2006/relationships/hyperlink" Target="https://www.maltatoday.com.mt/environment/environment/115708/spring_hunting_for_turtle_dove_set_to_return_after_ornis_votes_in_favour" TargetMode="External"/><Relationship Id="rId21" Type="http://schemas.openxmlformats.org/officeDocument/2006/relationships/hyperlink" Target="https://edoc.hu-berlin.de/18452/26405" TargetMode="External"/><Relationship Id="rId22" Type="http://schemas.openxmlformats.org/officeDocument/2006/relationships/hyperlink" Target="https://newsbook.com.mt/en/air-pollution-exceeds-who-guidelines-throughout-maltese-islands/" TargetMode="External"/><Relationship Id="rId23" Type="http://schemas.openxmlformats.org/officeDocument/2006/relationships/hyperlink" Target="https://arja.mt/" TargetMode="External"/><Relationship Id="rId24" Type="http://schemas.openxmlformats.org/officeDocument/2006/relationships/hyperlink" Target="https://www.maltatoday.com.mt/environment/townscapes/107316/no_social_impact_assessment_yet_for_msida_flyovers" TargetMode="External"/><Relationship Id="rId25" Type="http://schemas.openxmlformats.org/officeDocument/2006/relationships/hyperlink" Target="https://www.maltatoday.com.mt/environment/planning/108072/no_eia_needed_for_msida_flyover_project_era_says" TargetMode="External"/><Relationship Id="rId26" Type="http://schemas.openxmlformats.org/officeDocument/2006/relationships/hyperlink" Target="https://www.maltatoday.com.mt/news/national/105894/all_marsa_junction_project_flyovers_now_open" TargetMode="External"/><Relationship Id="rId27" Type="http://schemas.openxmlformats.org/officeDocument/2006/relationships/hyperlink" Target="https://www.maltatoday.com.mt/news/national/143850/over_3000_vehicles_added_to_maltas_roads_in_three_months" TargetMode="External"/><Relationship Id="rId28" Type="http://schemas.openxmlformats.org/officeDocument/2006/relationships/hyperlink" Target="https://www.maltatoday.com.mt/news/national/123510/nearly_twothirds_of_your_tap_water_comes_from_the_sea_" TargetMode="External"/><Relationship Id="rId29" Type="http://schemas.openxmlformats.org/officeDocument/2006/relationships/hyperlink" Target="https://www.maltatoday.com.mt/news/national/125093/malta_water_table_fails_test_due_to_high_nitrates" TargetMode="External"/><Relationship Id="rId30" Type="http://schemas.openxmlformats.org/officeDocument/2006/relationships/hyperlink" Target="https://chambers.com/articles/35-million-tender-launched-new-g&#295;ar-lapsi-reverse-osmosis-plant" TargetMode="External"/><Relationship Id="rId31" Type="http://schemas.openxmlformats.org/officeDocument/2006/relationships/hyperlink" Target="https://projectgreen.mt/?p=952" TargetMode="External"/><Relationship Id="rId32" Type="http://schemas.openxmlformats.org/officeDocument/2006/relationships/hyperlink" Target="https://www.independent.com.mt/articles/2022-03-11/local-news/PL-manifesto-new-mechanism-to-replace-COLA-raft-of-planning-reforms-new-green-areas-6736241368" TargetMode="External"/><Relationship Id="rId33" Type="http://schemas.openxmlformats.org/officeDocument/2006/relationships/hyperlink" Target="https://www.maltatoday.com.mt/news/election-2026/141840/labour_publishes_its_manifesto_here_is_a_breakdown" TargetMode="External"/><Relationship Id="rId34" Type="http://schemas.openxmlformats.org/officeDocument/2006/relationships/hyperlink" Target="https://www.maltatoday.com.mt/news/election-2026/141891/pn_approves_its_electoral_manifesto" TargetMode="External"/><Relationship Id="rId35" Type="http://schemas.openxmlformats.org/officeDocument/2006/relationships/hyperlink" Target="https://clean-energy-islands.ec.europa.eu/countries/malta" TargetMode="External"/><Relationship Id="rId36" Type="http://schemas.openxmlformats.org/officeDocument/2006/relationships/hyperlink" Target="https://meddmo.eu/fact-checking-claims-around-pns-environmental-bill/" TargetMode="External"/><Relationship Id="rId37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2F"/>
    <pageSetUpPr fitToPage="false"/>
  </sheetPr>
  <dimension ref="B2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/>
    </row>
    <row r="6" customFormat="false" ht="23.85" hidden="false" customHeight="false" outlineLevel="0" collapsed="false">
      <c r="B6" s="5" t="s">
        <v>3</v>
      </c>
      <c r="C6" s="6" t="s">
        <v>4</v>
      </c>
    </row>
    <row r="7" customFormat="false" ht="15" hidden="false" customHeight="false" outlineLevel="0" collapsed="false">
      <c r="B7" s="5" t="s">
        <v>5</v>
      </c>
      <c r="C7" s="6" t="s">
        <v>6</v>
      </c>
    </row>
    <row r="8" customFormat="false" ht="23.85" hidden="false" customHeight="false" outlineLevel="0" collapsed="false">
      <c r="B8" s="5" t="s">
        <v>7</v>
      </c>
      <c r="C8" s="6" t="s">
        <v>8</v>
      </c>
    </row>
    <row r="9" customFormat="false" ht="15" hidden="false" customHeight="false" outlineLevel="0" collapsed="false">
      <c r="B9" s="5" t="s">
        <v>9</v>
      </c>
      <c r="C9" s="6" t="s">
        <v>10</v>
      </c>
    </row>
    <row r="10" customFormat="false" ht="15" hidden="false" customHeight="false" outlineLevel="0" collapsed="false">
      <c r="B10" s="5" t="s">
        <v>11</v>
      </c>
      <c r="C10" s="6" t="s">
        <v>12</v>
      </c>
    </row>
    <row r="12" customFormat="false" ht="15" hidden="false" customHeight="false" outlineLevel="0" collapsed="false">
      <c r="B12" s="3" t="s">
        <v>13</v>
      </c>
      <c r="C12" s="4"/>
    </row>
    <row r="13" customFormat="false" ht="15" hidden="false" customHeight="false" outlineLevel="0" collapsed="false">
      <c r="B13" s="7" t="s">
        <v>14</v>
      </c>
      <c r="C13" s="6" t="s">
        <v>15</v>
      </c>
    </row>
    <row r="14" customFormat="false" ht="15" hidden="false" customHeight="false" outlineLevel="0" collapsed="false">
      <c r="B14" s="5" t="s">
        <v>16</v>
      </c>
      <c r="C14" s="6" t="s">
        <v>17</v>
      </c>
    </row>
    <row r="16" customFormat="false" ht="15" hidden="false" customHeight="false" outlineLevel="0" collapsed="false">
      <c r="B16" s="3" t="s">
        <v>18</v>
      </c>
      <c r="C16" s="4"/>
    </row>
    <row r="17" customFormat="false" ht="15" hidden="false" customHeight="false" outlineLevel="0" collapsed="false">
      <c r="B17" s="5" t="s">
        <v>19</v>
      </c>
      <c r="C17" s="6" t="s">
        <v>20</v>
      </c>
    </row>
    <row r="18" customFormat="false" ht="15" hidden="false" customHeight="false" outlineLevel="0" collapsed="false">
      <c r="B18" s="5" t="s">
        <v>21</v>
      </c>
      <c r="C18" s="6" t="s">
        <v>22</v>
      </c>
    </row>
    <row r="20" customFormat="false" ht="15" hidden="false" customHeight="false" outlineLevel="0" collapsed="false">
      <c r="B20" s="3" t="s">
        <v>23</v>
      </c>
      <c r="C20" s="4"/>
    </row>
    <row r="21" customFormat="false" ht="35.05" hidden="false" customHeight="false" outlineLevel="0" collapsed="false">
      <c r="B21" s="5" t="s">
        <v>24</v>
      </c>
      <c r="C21" s="6" t="s">
        <v>25</v>
      </c>
    </row>
    <row r="23" customFormat="false" ht="15" hidden="false" customHeight="false" outlineLevel="0" collapsed="false">
      <c r="B23" s="3" t="s">
        <v>26</v>
      </c>
      <c r="C23" s="4"/>
    </row>
    <row r="24" customFormat="false" ht="15" hidden="false" customHeight="false" outlineLevel="0" collapsed="false">
      <c r="B24" s="5" t="s">
        <v>27</v>
      </c>
      <c r="C24" s="6" t="s">
        <v>28</v>
      </c>
    </row>
    <row r="25" customFormat="false" ht="15" hidden="false" customHeight="false" outlineLevel="0" collapsed="false">
      <c r="B25" s="5" t="s">
        <v>29</v>
      </c>
      <c r="C25" s="6" t="s">
        <v>30</v>
      </c>
    </row>
    <row r="26" customFormat="false" ht="15" hidden="false" customHeight="false" outlineLevel="0" collapsed="false">
      <c r="B26" s="5" t="s">
        <v>31</v>
      </c>
      <c r="C26" s="6" t="s">
        <v>32</v>
      </c>
    </row>
    <row r="27" customFormat="false" ht="15" hidden="false" customHeight="false" outlineLevel="0" collapsed="false">
      <c r="B27" s="5" t="s">
        <v>33</v>
      </c>
      <c r="C27" s="6" t="s">
        <v>34</v>
      </c>
    </row>
    <row r="28" customFormat="false" ht="15" hidden="false" customHeight="false" outlineLevel="0" collapsed="false">
      <c r="B28" s="5" t="s">
        <v>35</v>
      </c>
      <c r="C28" s="6" t="s">
        <v>36</v>
      </c>
    </row>
    <row r="30" customFormat="false" ht="15" hidden="false" customHeight="false" outlineLevel="0" collapsed="false">
      <c r="B30" s="3" t="s">
        <v>37</v>
      </c>
      <c r="C30" s="4"/>
    </row>
    <row r="31" customFormat="false" ht="23.85" hidden="false" customHeight="false" outlineLevel="0" collapsed="false">
      <c r="B31" s="5" t="s">
        <v>38</v>
      </c>
      <c r="C31" s="6" t="s">
        <v>39</v>
      </c>
    </row>
    <row r="32" customFormat="false" ht="15" hidden="false" customHeight="false" outlineLevel="0" collapsed="false">
      <c r="B32" s="5" t="s">
        <v>40</v>
      </c>
      <c r="C32" s="6" t="s">
        <v>41</v>
      </c>
    </row>
    <row r="33" customFormat="false" ht="15" hidden="false" customHeight="false" outlineLevel="0" collapsed="false">
      <c r="B33" s="5" t="s">
        <v>42</v>
      </c>
      <c r="C33" s="6" t="s">
        <v>43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452F"/>
    <pageSetUpPr fitToPage="false"/>
  </sheetPr>
  <dimension ref="A1:Q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48"/>
    <col collapsed="false" customWidth="true" hidden="false" outlineLevel="0" max="6" min="6" style="0" width="42"/>
    <col collapsed="false" customWidth="true" hidden="false" outlineLevel="0" max="7" min="7" style="0" width="3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2" min="11" style="0" width="12"/>
    <col collapsed="false" customWidth="true" hidden="false" outlineLevel="0" max="13" min="13" style="0" width="34"/>
    <col collapsed="false" customWidth="true" hidden="false" outlineLevel="0" max="15" min="14" style="0" width="14"/>
    <col collapsed="false" customWidth="true" hidden="false" outlineLevel="0" max="16" min="16" style="0" width="11"/>
    <col collapsed="false" customWidth="true" hidden="false" outlineLevel="0" max="17" min="17" style="0" width="28"/>
  </cols>
  <sheetData>
    <row r="1" customFormat="false" ht="31.5" hidden="false" customHeight="true" outlineLevel="0" collapsed="false">
      <c r="A1" s="8" t="s">
        <v>44</v>
      </c>
      <c r="B1" s="8" t="s">
        <v>45</v>
      </c>
      <c r="C1" s="8" t="s">
        <v>46</v>
      </c>
      <c r="D1" s="8" t="s">
        <v>47</v>
      </c>
      <c r="E1" s="8" t="s">
        <v>48</v>
      </c>
      <c r="F1" s="8" t="s">
        <v>49</v>
      </c>
      <c r="G1" s="8" t="s">
        <v>50</v>
      </c>
      <c r="H1" s="8" t="s">
        <v>51</v>
      </c>
      <c r="I1" s="8" t="s">
        <v>52</v>
      </c>
      <c r="J1" s="8" t="s">
        <v>53</v>
      </c>
      <c r="K1" s="8" t="s">
        <v>54</v>
      </c>
      <c r="L1" s="8" t="s">
        <v>55</v>
      </c>
      <c r="M1" s="8" t="s">
        <v>56</v>
      </c>
      <c r="N1" s="8" t="s">
        <v>57</v>
      </c>
      <c r="O1" s="8" t="s">
        <v>58</v>
      </c>
      <c r="P1" s="8" t="s">
        <v>59</v>
      </c>
      <c r="Q1" s="8" t="s">
        <v>60</v>
      </c>
    </row>
    <row r="2" customFormat="false" ht="117.75" hidden="false" customHeight="true" outlineLevel="0" collapsed="false">
      <c r="A2" s="9" t="s">
        <v>61</v>
      </c>
      <c r="B2" s="10" t="s">
        <v>62</v>
      </c>
      <c r="C2" s="11" t="s">
        <v>63</v>
      </c>
      <c r="D2" s="10" t="s">
        <v>64</v>
      </c>
      <c r="E2" s="10" t="s">
        <v>65</v>
      </c>
      <c r="F2" s="10" t="s">
        <v>66</v>
      </c>
      <c r="G2" s="10" t="s">
        <v>67</v>
      </c>
      <c r="H2" s="10" t="s">
        <v>33</v>
      </c>
      <c r="I2" s="10" t="s">
        <v>68</v>
      </c>
      <c r="J2" s="10" t="s">
        <v>19</v>
      </c>
      <c r="K2" s="12" t="s">
        <v>69</v>
      </c>
      <c r="L2" s="12" t="s">
        <v>70</v>
      </c>
      <c r="M2" s="10" t="s">
        <v>71</v>
      </c>
      <c r="N2" s="12" t="s">
        <v>72</v>
      </c>
      <c r="O2" s="13"/>
      <c r="P2" s="14" t="n">
        <f aca="false">COUNTIF(Edges!$A:$A,A2)+COUNTIF(Edges!$B:$B,A2)</f>
        <v>5</v>
      </c>
      <c r="Q2" s="10"/>
    </row>
    <row r="3" customFormat="false" ht="117.75" hidden="false" customHeight="true" outlineLevel="0" collapsed="false">
      <c r="A3" s="15" t="s">
        <v>73</v>
      </c>
      <c r="B3" s="16" t="s">
        <v>62</v>
      </c>
      <c r="C3" s="17" t="s">
        <v>74</v>
      </c>
      <c r="D3" s="16" t="s">
        <v>75</v>
      </c>
      <c r="E3" s="16" t="s">
        <v>76</v>
      </c>
      <c r="F3" s="16" t="s">
        <v>77</v>
      </c>
      <c r="G3" s="16" t="s">
        <v>78</v>
      </c>
      <c r="H3" s="16" t="s">
        <v>79</v>
      </c>
      <c r="I3" s="16" t="s">
        <v>80</v>
      </c>
      <c r="J3" s="16" t="s">
        <v>19</v>
      </c>
      <c r="K3" s="18" t="s">
        <v>81</v>
      </c>
      <c r="L3" s="18" t="s">
        <v>82</v>
      </c>
      <c r="M3" s="16" t="s">
        <v>83</v>
      </c>
      <c r="N3" s="18" t="s">
        <v>84</v>
      </c>
      <c r="O3" s="19"/>
      <c r="P3" s="20" t="n">
        <f aca="false">COUNTIF(Edges!$A:$A,A3)+COUNTIF(Edges!$B:$B,A3)</f>
        <v>7</v>
      </c>
      <c r="Q3" s="16"/>
    </row>
    <row r="4" customFormat="false" ht="117.75" hidden="false" customHeight="true" outlineLevel="0" collapsed="false">
      <c r="A4" s="9" t="s">
        <v>85</v>
      </c>
      <c r="B4" s="10" t="s">
        <v>86</v>
      </c>
      <c r="C4" s="11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27</v>
      </c>
      <c r="I4" s="10" t="s">
        <v>92</v>
      </c>
      <c r="J4" s="10" t="s">
        <v>19</v>
      </c>
      <c r="K4" s="12" t="s">
        <v>69</v>
      </c>
      <c r="L4" s="12" t="s">
        <v>93</v>
      </c>
      <c r="M4" s="10"/>
      <c r="N4" s="12" t="s">
        <v>84</v>
      </c>
      <c r="O4" s="13"/>
      <c r="P4" s="14" t="n">
        <f aca="false">COUNTIF(Edges!$A:$A,A4)+COUNTIF(Edges!$B:$B,A4)</f>
        <v>6</v>
      </c>
      <c r="Q4" s="10"/>
    </row>
    <row r="5" customFormat="false" ht="117.75" hidden="false" customHeight="true" outlineLevel="0" collapsed="false">
      <c r="A5" s="15" t="s">
        <v>94</v>
      </c>
      <c r="B5" s="16" t="s">
        <v>95</v>
      </c>
      <c r="C5" s="17" t="s">
        <v>96</v>
      </c>
      <c r="D5" s="16" t="s">
        <v>97</v>
      </c>
      <c r="E5" s="16" t="s">
        <v>98</v>
      </c>
      <c r="F5" s="16" t="s">
        <v>99</v>
      </c>
      <c r="G5" s="16" t="s">
        <v>100</v>
      </c>
      <c r="H5" s="16" t="s">
        <v>27</v>
      </c>
      <c r="I5" s="16" t="s">
        <v>101</v>
      </c>
      <c r="J5" s="16" t="s">
        <v>19</v>
      </c>
      <c r="K5" s="18" t="s">
        <v>69</v>
      </c>
      <c r="L5" s="18" t="s">
        <v>93</v>
      </c>
      <c r="M5" s="16"/>
      <c r="N5" s="18" t="s">
        <v>84</v>
      </c>
      <c r="O5" s="19"/>
      <c r="P5" s="20" t="n">
        <f aca="false">COUNTIF(Edges!$A:$A,A5)+COUNTIF(Edges!$B:$B,A5)</f>
        <v>6</v>
      </c>
      <c r="Q5" s="16"/>
    </row>
    <row r="6" customFormat="false" ht="117.75" hidden="false" customHeight="true" outlineLevel="0" collapsed="false">
      <c r="A6" s="9" t="s">
        <v>102</v>
      </c>
      <c r="B6" s="10" t="s">
        <v>103</v>
      </c>
      <c r="C6" s="11" t="s">
        <v>104</v>
      </c>
      <c r="D6" s="10" t="s">
        <v>105</v>
      </c>
      <c r="E6" s="10" t="s">
        <v>106</v>
      </c>
      <c r="F6" s="10" t="s">
        <v>107</v>
      </c>
      <c r="G6" s="10" t="s">
        <v>108</v>
      </c>
      <c r="H6" s="10" t="s">
        <v>27</v>
      </c>
      <c r="I6" s="10" t="s">
        <v>109</v>
      </c>
      <c r="J6" s="10" t="s">
        <v>21</v>
      </c>
      <c r="K6" s="12" t="s">
        <v>81</v>
      </c>
      <c r="L6" s="12" t="s">
        <v>82</v>
      </c>
      <c r="M6" s="10" t="s">
        <v>110</v>
      </c>
      <c r="N6" s="12" t="s">
        <v>84</v>
      </c>
      <c r="O6" s="13"/>
      <c r="P6" s="14" t="n">
        <f aca="false">COUNTIF(Edges!$A:$A,A6)+COUNTIF(Edges!$B:$B,A6)</f>
        <v>5</v>
      </c>
      <c r="Q6" s="10"/>
    </row>
    <row r="7" customFormat="false" ht="117.75" hidden="false" customHeight="true" outlineLevel="0" collapsed="false">
      <c r="A7" s="15" t="s">
        <v>111</v>
      </c>
      <c r="B7" s="16" t="s">
        <v>112</v>
      </c>
      <c r="C7" s="17" t="s">
        <v>113</v>
      </c>
      <c r="D7" s="16" t="s">
        <v>114</v>
      </c>
      <c r="E7" s="16" t="s">
        <v>115</v>
      </c>
      <c r="F7" s="16" t="s">
        <v>116</v>
      </c>
      <c r="G7" s="16" t="s">
        <v>117</v>
      </c>
      <c r="H7" s="16" t="s">
        <v>27</v>
      </c>
      <c r="I7" s="16" t="s">
        <v>118</v>
      </c>
      <c r="J7" s="16" t="s">
        <v>21</v>
      </c>
      <c r="K7" s="18" t="s">
        <v>81</v>
      </c>
      <c r="L7" s="18" t="s">
        <v>82</v>
      </c>
      <c r="M7" s="16" t="s">
        <v>119</v>
      </c>
      <c r="N7" s="18" t="s">
        <v>84</v>
      </c>
      <c r="O7" s="19"/>
      <c r="P7" s="20" t="n">
        <f aca="false">COUNTIF(Edges!$A:$A,A7)+COUNTIF(Edges!$B:$B,A7)</f>
        <v>0</v>
      </c>
      <c r="Q7" s="16"/>
    </row>
    <row r="8" customFormat="false" ht="117.75" hidden="false" customHeight="true" outlineLevel="0" collapsed="false">
      <c r="A8" s="9" t="s">
        <v>120</v>
      </c>
      <c r="B8" s="10" t="s">
        <v>121</v>
      </c>
      <c r="C8" s="11" t="s">
        <v>122</v>
      </c>
      <c r="D8" s="10" t="s">
        <v>123</v>
      </c>
      <c r="E8" s="10" t="s">
        <v>124</v>
      </c>
      <c r="F8" s="10" t="s">
        <v>125</v>
      </c>
      <c r="G8" s="10" t="s">
        <v>126</v>
      </c>
      <c r="H8" s="10" t="s">
        <v>31</v>
      </c>
      <c r="I8" s="10" t="s">
        <v>127</v>
      </c>
      <c r="J8" s="10" t="s">
        <v>21</v>
      </c>
      <c r="K8" s="12" t="s">
        <v>69</v>
      </c>
      <c r="L8" s="12" t="s">
        <v>82</v>
      </c>
      <c r="M8" s="10" t="s">
        <v>128</v>
      </c>
      <c r="N8" s="12" t="s">
        <v>84</v>
      </c>
      <c r="O8" s="13"/>
      <c r="P8" s="14" t="n">
        <f aca="false">COUNTIF(Edges!$A:$A,A8)+COUNTIF(Edges!$B:$B,A8)</f>
        <v>6</v>
      </c>
      <c r="Q8" s="10"/>
    </row>
    <row r="9" customFormat="false" ht="117.75" hidden="false" customHeight="true" outlineLevel="0" collapsed="false">
      <c r="A9" s="15" t="s">
        <v>129</v>
      </c>
      <c r="B9" s="16" t="s">
        <v>130</v>
      </c>
      <c r="C9" s="17" t="s">
        <v>131</v>
      </c>
      <c r="D9" s="16" t="s">
        <v>132</v>
      </c>
      <c r="E9" s="16" t="s">
        <v>133</v>
      </c>
      <c r="F9" s="16" t="s">
        <v>134</v>
      </c>
      <c r="G9" s="16" t="s">
        <v>135</v>
      </c>
      <c r="H9" s="16" t="s">
        <v>35</v>
      </c>
      <c r="I9" s="16" t="s">
        <v>136</v>
      </c>
      <c r="J9" s="16" t="s">
        <v>21</v>
      </c>
      <c r="K9" s="18" t="s">
        <v>81</v>
      </c>
      <c r="L9" s="18" t="s">
        <v>82</v>
      </c>
      <c r="M9" s="16" t="s">
        <v>137</v>
      </c>
      <c r="N9" s="18" t="s">
        <v>84</v>
      </c>
      <c r="O9" s="19"/>
      <c r="P9" s="20" t="n">
        <f aca="false">COUNTIF(Edges!$A:$A,A9)+COUNTIF(Edges!$B:$B,A9)</f>
        <v>9</v>
      </c>
      <c r="Q9" s="16"/>
    </row>
    <row r="10" customFormat="false" ht="117.75" hidden="false" customHeight="true" outlineLevel="0" collapsed="false">
      <c r="A10" s="9" t="s">
        <v>138</v>
      </c>
      <c r="B10" s="10" t="s">
        <v>103</v>
      </c>
      <c r="C10" s="11" t="s">
        <v>139</v>
      </c>
      <c r="D10" s="10" t="s">
        <v>140</v>
      </c>
      <c r="E10" s="10" t="s">
        <v>141</v>
      </c>
      <c r="F10" s="10" t="s">
        <v>142</v>
      </c>
      <c r="G10" s="10" t="s">
        <v>143</v>
      </c>
      <c r="H10" s="10" t="s">
        <v>27</v>
      </c>
      <c r="I10" s="10" t="s">
        <v>144</v>
      </c>
      <c r="J10" s="10" t="s">
        <v>21</v>
      </c>
      <c r="K10" s="12" t="s">
        <v>81</v>
      </c>
      <c r="L10" s="12" t="s">
        <v>82</v>
      </c>
      <c r="M10" s="10" t="s">
        <v>145</v>
      </c>
      <c r="N10" s="12" t="s">
        <v>84</v>
      </c>
      <c r="O10" s="13"/>
      <c r="P10" s="14" t="n">
        <f aca="false">COUNTIF(Edges!$A:$A,A10)+COUNTIF(Edges!$B:$B,A10)</f>
        <v>1</v>
      </c>
      <c r="Q10" s="10"/>
    </row>
    <row r="11" customFormat="false" ht="117.75" hidden="false" customHeight="true" outlineLevel="0" collapsed="false">
      <c r="A11" s="15" t="s">
        <v>146</v>
      </c>
      <c r="B11" s="16" t="s">
        <v>62</v>
      </c>
      <c r="C11" s="17" t="s">
        <v>147</v>
      </c>
      <c r="D11" s="16" t="s">
        <v>148</v>
      </c>
      <c r="E11" s="16" t="s">
        <v>149</v>
      </c>
      <c r="F11" s="16" t="s">
        <v>150</v>
      </c>
      <c r="G11" s="16" t="s">
        <v>151</v>
      </c>
      <c r="H11" s="16" t="s">
        <v>152</v>
      </c>
      <c r="I11" s="16" t="s">
        <v>153</v>
      </c>
      <c r="J11" s="16" t="s">
        <v>21</v>
      </c>
      <c r="K11" s="18" t="s">
        <v>81</v>
      </c>
      <c r="L11" s="18" t="s">
        <v>82</v>
      </c>
      <c r="M11" s="16" t="s">
        <v>154</v>
      </c>
      <c r="N11" s="18" t="s">
        <v>84</v>
      </c>
      <c r="O11" s="19"/>
      <c r="P11" s="20" t="n">
        <f aca="false">COUNTIF(Edges!$A:$A,A11)+COUNTIF(Edges!$B:$B,A11)</f>
        <v>7</v>
      </c>
      <c r="Q11" s="16"/>
    </row>
    <row r="12" customFormat="false" ht="117.75" hidden="false" customHeight="true" outlineLevel="0" collapsed="false">
      <c r="A12" s="9" t="s">
        <v>155</v>
      </c>
      <c r="B12" s="10" t="s">
        <v>156</v>
      </c>
      <c r="C12" s="11" t="s">
        <v>157</v>
      </c>
      <c r="D12" s="10" t="s">
        <v>158</v>
      </c>
      <c r="E12" s="10" t="s">
        <v>159</v>
      </c>
      <c r="F12" s="10" t="s">
        <v>160</v>
      </c>
      <c r="G12" s="10" t="s">
        <v>161</v>
      </c>
      <c r="H12" s="10" t="s">
        <v>35</v>
      </c>
      <c r="I12" s="10" t="s">
        <v>162</v>
      </c>
      <c r="J12" s="10" t="s">
        <v>19</v>
      </c>
      <c r="K12" s="12" t="s">
        <v>69</v>
      </c>
      <c r="L12" s="12" t="s">
        <v>82</v>
      </c>
      <c r="M12" s="10" t="s">
        <v>163</v>
      </c>
      <c r="N12" s="12" t="s">
        <v>84</v>
      </c>
      <c r="O12" s="13"/>
      <c r="P12" s="14" t="n">
        <f aca="false">COUNTIF(Edges!$A:$A,A12)+COUNTIF(Edges!$B:$B,A12)</f>
        <v>0</v>
      </c>
      <c r="Q12" s="10"/>
    </row>
  </sheetData>
  <autoFilter ref="A1:Q12"/>
  <conditionalFormatting sqref="J2:J52">
    <cfRule type="cellIs" priority="2" operator="equal" aboveAverage="0" equalAverage="0" bottom="0" percent="0" rank="0" text="" dxfId="7">
      <formula>"Verbatim found"</formula>
    </cfRule>
    <cfRule type="cellIs" priority="3" operator="equal" aboveAverage="0" equalAverage="0" bottom="0" percent="0" rank="0" text="" dxfId="8">
      <formula>"Paraphrase: locate quote"</formula>
    </cfRule>
  </conditionalFormatting>
  <conditionalFormatting sqref="L2:L52">
    <cfRule type="cellIs" priority="4" operator="equal" aboveAverage="0" equalAverage="0" bottom="0" percent="0" rank="0" text="" dxfId="9">
      <formula>"Start first"</formula>
    </cfRule>
  </conditionalFormatting>
  <dataValidations count="3">
    <dataValidation allowBlank="false" errorStyle="stop" operator="between" showDropDown="false" showErrorMessage="false" showInputMessage="false" sqref="N2:N52" type="list">
      <formula1>"Not started,In progress,Drafted,Right of reply,Published"</formula1>
      <formula2>0</formula2>
    </dataValidation>
    <dataValidation allowBlank="false" errorStyle="stop" operator="between" showDropDown="false" showErrorMessage="false" showInputMessage="false" sqref="J2:J52" type="list">
      <formula1>"Verbatim found,Paraphrase: locate quote"</formula1>
      <formula2>0</formula2>
    </dataValidation>
    <dataValidation allowBlank="false" errorStyle="stop" operator="between" showDropDown="false" showErrorMessage="false" showInputMessage="false" sqref="K2:K52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88B"/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24"/>
    <col collapsed="false" customWidth="true" hidden="false" outlineLevel="0" max="10" min="10" style="0" width="62"/>
  </cols>
  <sheetData>
    <row r="1" customFormat="false" ht="31.5" hidden="false" customHeight="true" outlineLevel="0" collapsed="false">
      <c r="A1" s="8" t="s">
        <v>164</v>
      </c>
      <c r="B1" s="8" t="s">
        <v>44</v>
      </c>
      <c r="C1" s="8" t="s">
        <v>165</v>
      </c>
      <c r="D1" s="8" t="s">
        <v>166</v>
      </c>
      <c r="E1" s="8" t="s">
        <v>167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172</v>
      </c>
    </row>
    <row r="2" customFormat="false" ht="49.5" hidden="false" customHeight="true" outlineLevel="0" collapsed="false">
      <c r="A2" s="11" t="s">
        <v>173</v>
      </c>
      <c r="B2" s="14" t="s">
        <v>73</v>
      </c>
      <c r="C2" s="10" t="s">
        <v>174</v>
      </c>
      <c r="D2" s="21" t="n">
        <v>54</v>
      </c>
      <c r="E2" s="10" t="s">
        <v>175</v>
      </c>
      <c r="F2" s="21" t="n">
        <v>10</v>
      </c>
      <c r="G2" s="22" t="n">
        <f aca="false">D2*F2</f>
        <v>540</v>
      </c>
      <c r="H2" s="21" t="n">
        <v>540</v>
      </c>
      <c r="I2" s="12" t="str">
        <f aca="false">IF(G2=H2,"Matches","Check")</f>
        <v>Matches</v>
      </c>
      <c r="J2" s="10" t="s">
        <v>176</v>
      </c>
    </row>
    <row r="3" customFormat="false" ht="49.5" hidden="false" customHeight="true" outlineLevel="0" collapsed="false">
      <c r="A3" s="17" t="s">
        <v>177</v>
      </c>
      <c r="B3" s="20" t="s">
        <v>73</v>
      </c>
      <c r="C3" s="16" t="s">
        <v>178</v>
      </c>
      <c r="D3" s="23" t="n">
        <v>678</v>
      </c>
      <c r="E3" s="16" t="s">
        <v>179</v>
      </c>
      <c r="F3" s="24" t="n">
        <v>0.92</v>
      </c>
      <c r="G3" s="25" t="n">
        <f aca="false">ROUND(D3*F3,0)</f>
        <v>624</v>
      </c>
      <c r="H3" s="26" t="n">
        <v>624</v>
      </c>
      <c r="I3" s="18" t="str">
        <f aca="false">IF(G3=H3,"Matches","Check")</f>
        <v>Matches</v>
      </c>
      <c r="J3" s="16" t="s">
        <v>180</v>
      </c>
    </row>
    <row r="4" customFormat="false" ht="49.5" hidden="false" customHeight="true" outlineLevel="0" collapsed="false">
      <c r="A4" s="11" t="s">
        <v>181</v>
      </c>
      <c r="B4" s="14" t="s">
        <v>73</v>
      </c>
      <c r="C4" s="10" t="s">
        <v>182</v>
      </c>
      <c r="D4" s="21" t="n">
        <v>54</v>
      </c>
      <c r="E4" s="10" t="s">
        <v>183</v>
      </c>
      <c r="F4" s="21" t="n">
        <v>624</v>
      </c>
      <c r="G4" s="22" t="n">
        <f aca="false">D4+F4</f>
        <v>678</v>
      </c>
      <c r="H4" s="21" t="n">
        <v>678</v>
      </c>
      <c r="I4" s="12" t="str">
        <f aca="false">IF(G4=H4,"Matches","Check")</f>
        <v>Matches</v>
      </c>
      <c r="J4" s="10" t="s">
        <v>184</v>
      </c>
    </row>
    <row r="5" customFormat="false" ht="49.5" hidden="false" customHeight="true" outlineLevel="0" collapsed="false">
      <c r="A5" s="17" t="s">
        <v>185</v>
      </c>
      <c r="B5" s="20" t="s">
        <v>129</v>
      </c>
      <c r="C5" s="16" t="s">
        <v>186</v>
      </c>
      <c r="D5" s="23" t="n">
        <v>430</v>
      </c>
      <c r="E5" s="16" t="s">
        <v>187</v>
      </c>
      <c r="F5" s="23" t="n">
        <v>313</v>
      </c>
      <c r="G5" s="27" t="n">
        <f aca="false">F5-D5</f>
        <v>-117</v>
      </c>
      <c r="H5" s="23"/>
      <c r="I5" s="18" t="str">
        <f aca="false">IF(H5="","n/a",IF(G5=H5,"Matches","Check"))</f>
        <v>n/a</v>
      </c>
      <c r="J5" s="16" t="s">
        <v>188</v>
      </c>
    </row>
    <row r="6" customFormat="false" ht="49.5" hidden="false" customHeight="true" outlineLevel="0" collapsed="false">
      <c r="A6" s="11" t="s">
        <v>189</v>
      </c>
      <c r="B6" s="14" t="s">
        <v>85</v>
      </c>
      <c r="C6" s="10" t="s">
        <v>190</v>
      </c>
      <c r="D6" s="21" t="n">
        <v>30</v>
      </c>
      <c r="E6" s="10" t="s">
        <v>191</v>
      </c>
      <c r="F6" s="21" t="n">
        <v>-19</v>
      </c>
      <c r="G6" s="22" t="n">
        <f aca="false">D6-F6</f>
        <v>49</v>
      </c>
      <c r="H6" s="21" t="n">
        <v>49</v>
      </c>
      <c r="I6" s="12" t="str">
        <f aca="false">IF(G6=H6,"Matches","Check")</f>
        <v>Matches</v>
      </c>
      <c r="J6" s="10" t="s">
        <v>192</v>
      </c>
    </row>
    <row r="7" customFormat="false" ht="49.5" hidden="false" customHeight="true" outlineLevel="0" collapsed="false">
      <c r="A7" s="17" t="s">
        <v>193</v>
      </c>
      <c r="B7" s="20" t="s">
        <v>85</v>
      </c>
      <c r="C7" s="16" t="s">
        <v>194</v>
      </c>
      <c r="D7" s="23" t="n">
        <v>44</v>
      </c>
      <c r="E7" s="16" t="s">
        <v>195</v>
      </c>
      <c r="F7" s="23" t="n">
        <v>34</v>
      </c>
      <c r="G7" s="25" t="n">
        <f aca="false">D7-F7</f>
        <v>10</v>
      </c>
      <c r="H7" s="23"/>
      <c r="I7" s="18" t="str">
        <f aca="false">IF(H7="","n/a",IF(G7=H7,"Matches","Check"))</f>
        <v>n/a</v>
      </c>
      <c r="J7" s="16" t="s">
        <v>196</v>
      </c>
    </row>
    <row r="8" customFormat="false" ht="49.5" hidden="false" customHeight="true" outlineLevel="0" collapsed="false">
      <c r="A8" s="11" t="s">
        <v>197</v>
      </c>
      <c r="B8" s="14" t="s">
        <v>94</v>
      </c>
      <c r="C8" s="10" t="s">
        <v>198</v>
      </c>
      <c r="D8" s="28" t="n">
        <v>141</v>
      </c>
      <c r="E8" s="10" t="s">
        <v>199</v>
      </c>
      <c r="F8" s="28" t="n">
        <v>95.5</v>
      </c>
      <c r="G8" s="29" t="n">
        <f aca="false">(F8-D8)/D8</f>
        <v>-0.322695035460993</v>
      </c>
      <c r="H8" s="30" t="n">
        <v>-0.3</v>
      </c>
      <c r="I8" s="12" t="str">
        <f aca="false">IF(G8&lt;=H8,"Consistent with 'over 30%'","Check")</f>
        <v>Consistent with 'over 30%'</v>
      </c>
      <c r="J8" s="10" t="s">
        <v>200</v>
      </c>
    </row>
    <row r="9" customFormat="false" ht="49.5" hidden="false" customHeight="true" outlineLevel="0" collapsed="false">
      <c r="A9" s="17" t="s">
        <v>201</v>
      </c>
      <c r="B9" s="20" t="s">
        <v>129</v>
      </c>
      <c r="C9" s="16" t="s">
        <v>202</v>
      </c>
      <c r="D9" s="31" t="n">
        <v>3086</v>
      </c>
      <c r="E9" s="16" t="s">
        <v>203</v>
      </c>
      <c r="F9" s="23" t="n">
        <v>91</v>
      </c>
      <c r="G9" s="32" t="n">
        <f aca="false">D9/F9</f>
        <v>33.9120879120879</v>
      </c>
      <c r="H9" s="33" t="n">
        <v>34</v>
      </c>
      <c r="I9" s="18" t="str">
        <f aca="false">IF(ROUND(G9,0)=H9,"Matches","Check")</f>
        <v>Matches</v>
      </c>
      <c r="J9" s="16" t="s">
        <v>204</v>
      </c>
    </row>
    <row r="10" customFormat="false" ht="49.5" hidden="false" customHeight="true" outlineLevel="0" collapsed="false">
      <c r="A10" s="11" t="s">
        <v>205</v>
      </c>
      <c r="B10" s="14" t="s">
        <v>146</v>
      </c>
      <c r="C10" s="10" t="s">
        <v>206</v>
      </c>
      <c r="D10" s="34" t="n">
        <v>100000</v>
      </c>
      <c r="E10" s="10" t="s">
        <v>207</v>
      </c>
      <c r="F10" s="21" t="n">
        <v>5</v>
      </c>
      <c r="G10" s="35" t="n">
        <f aca="false">D10/F10</f>
        <v>20000</v>
      </c>
      <c r="H10" s="21"/>
      <c r="I10" s="12" t="str">
        <f aca="false">IF(H10="","n/a",IF(G10=H10,"Matches","Check"))</f>
        <v>n/a</v>
      </c>
      <c r="J10" s="10" t="s">
        <v>208</v>
      </c>
    </row>
    <row r="11" customFormat="false" ht="49.5" hidden="false" customHeight="true" outlineLevel="0" collapsed="false">
      <c r="A11" s="17" t="s">
        <v>209</v>
      </c>
      <c r="B11" s="20" t="s">
        <v>146</v>
      </c>
      <c r="C11" s="16" t="s">
        <v>210</v>
      </c>
      <c r="D11" s="31" t="n">
        <v>8000</v>
      </c>
      <c r="E11" s="16" t="s">
        <v>211</v>
      </c>
      <c r="F11" s="36" t="n">
        <f aca="false">G10</f>
        <v>20000</v>
      </c>
      <c r="G11" s="37" t="n">
        <f aca="false">D11/F11</f>
        <v>0.4</v>
      </c>
      <c r="H11" s="23"/>
      <c r="I11" s="18" t="str">
        <f aca="false">IF(H11="","n/a",IF(G11=H11,"Matches","Check"))</f>
        <v>n/a</v>
      </c>
      <c r="J11" s="16" t="s">
        <v>212</v>
      </c>
    </row>
    <row r="12" customFormat="false" ht="49.5" hidden="false" customHeight="true" outlineLevel="0" collapsed="false">
      <c r="A12" s="11" t="s">
        <v>213</v>
      </c>
      <c r="B12" s="14" t="s">
        <v>155</v>
      </c>
      <c r="C12" s="10" t="s">
        <v>214</v>
      </c>
      <c r="D12" s="21" t="n">
        <v>67</v>
      </c>
      <c r="E12" s="10" t="s">
        <v>215</v>
      </c>
      <c r="F12" s="21" t="n">
        <v>100</v>
      </c>
      <c r="G12" s="35" t="n">
        <f aca="false">D12*F12</f>
        <v>6700</v>
      </c>
      <c r="H12" s="21"/>
      <c r="I12" s="12" t="str">
        <f aca="false">IF(H12="","n/a",IF(G12=H12,"Matches","Check"))</f>
        <v>n/a</v>
      </c>
      <c r="J12" s="10" t="s">
        <v>216</v>
      </c>
    </row>
    <row r="14" customFormat="false" ht="15" hidden="false" customHeight="false" outlineLevel="0" collapsed="false">
      <c r="A14" s="38" t="s">
        <v>217</v>
      </c>
    </row>
  </sheetData>
  <conditionalFormatting sqref="I2:I12">
    <cfRule type="expression" priority="2" aboveAverage="0" equalAverage="0" bottom="0" percent="0" rank="0" text="" dxfId="10">
      <formula>I2="Check"</formula>
    </cfRule>
    <cfRule type="expression" priority="3" aboveAverage="0" equalAverage="0" bottom="0" percent="0" rank="0" text="" dxfId="7">
      <formula>OR(I2="Matches",LEFT(I2,10)="Consistent")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88B"/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0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8" t="s">
        <v>218</v>
      </c>
      <c r="B1" s="8" t="s">
        <v>219</v>
      </c>
      <c r="C1" s="8" t="s">
        <v>220</v>
      </c>
      <c r="D1" s="8" t="s">
        <v>221</v>
      </c>
      <c r="E1" s="8" t="s">
        <v>222</v>
      </c>
      <c r="F1" s="8" t="s">
        <v>223</v>
      </c>
      <c r="G1" s="8" t="s">
        <v>224</v>
      </c>
    </row>
    <row r="2" customFormat="false" ht="48" hidden="false" customHeight="true" outlineLevel="0" collapsed="false">
      <c r="A2" s="10" t="s">
        <v>225</v>
      </c>
      <c r="B2" s="11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4" t="n">
        <f aca="false">COUNTIF(Edges!$C:$C,A2)</f>
        <v>3</v>
      </c>
    </row>
    <row r="3" customFormat="false" ht="48" hidden="false" customHeight="true" outlineLevel="0" collapsed="false">
      <c r="A3" s="16" t="s">
        <v>231</v>
      </c>
      <c r="B3" s="17" t="s">
        <v>232</v>
      </c>
      <c r="C3" s="16" t="s">
        <v>233</v>
      </c>
      <c r="D3" s="16" t="s">
        <v>228</v>
      </c>
      <c r="E3" s="16" t="s">
        <v>229</v>
      </c>
      <c r="F3" s="16" t="s">
        <v>234</v>
      </c>
      <c r="G3" s="20" t="n">
        <f aca="false">COUNTIF(Edges!$C:$C,A3)</f>
        <v>6</v>
      </c>
    </row>
    <row r="4" customFormat="false" ht="48" hidden="false" customHeight="true" outlineLevel="0" collapsed="false">
      <c r="A4" s="10" t="s">
        <v>235</v>
      </c>
      <c r="B4" s="11" t="s">
        <v>236</v>
      </c>
      <c r="C4" s="10" t="s">
        <v>237</v>
      </c>
      <c r="D4" s="10" t="s">
        <v>238</v>
      </c>
      <c r="E4" s="10" t="s">
        <v>229</v>
      </c>
      <c r="F4" s="10" t="s">
        <v>239</v>
      </c>
      <c r="G4" s="14" t="n">
        <f aca="false">COUNTIF(Edges!$C:$C,A4)</f>
        <v>1</v>
      </c>
    </row>
    <row r="5" customFormat="false" ht="48" hidden="false" customHeight="true" outlineLevel="0" collapsed="false">
      <c r="A5" s="16" t="s">
        <v>240</v>
      </c>
      <c r="B5" s="17" t="s">
        <v>241</v>
      </c>
      <c r="C5" s="16" t="s">
        <v>242</v>
      </c>
      <c r="D5" s="16" t="s">
        <v>243</v>
      </c>
      <c r="E5" s="16" t="s">
        <v>229</v>
      </c>
      <c r="F5" s="16" t="s">
        <v>244</v>
      </c>
      <c r="G5" s="20" t="n">
        <f aca="false">COUNTIF(Edges!$C:$C,A5)</f>
        <v>3</v>
      </c>
    </row>
    <row r="6" customFormat="false" ht="48" hidden="false" customHeight="true" outlineLevel="0" collapsed="false">
      <c r="A6" s="10" t="s">
        <v>245</v>
      </c>
      <c r="B6" s="11" t="s">
        <v>246</v>
      </c>
      <c r="C6" s="10" t="s">
        <v>247</v>
      </c>
      <c r="D6" s="10" t="s">
        <v>248</v>
      </c>
      <c r="E6" s="10" t="s">
        <v>249</v>
      </c>
      <c r="F6" s="10" t="s">
        <v>250</v>
      </c>
      <c r="G6" s="14" t="n">
        <f aca="false">COUNTIF(Edges!$C:$C,A6)</f>
        <v>3</v>
      </c>
    </row>
    <row r="7" customFormat="false" ht="48" hidden="false" customHeight="true" outlineLevel="0" collapsed="false">
      <c r="A7" s="16" t="s">
        <v>251</v>
      </c>
      <c r="B7" s="17" t="s">
        <v>252</v>
      </c>
      <c r="C7" s="16" t="s">
        <v>253</v>
      </c>
      <c r="D7" s="16" t="s">
        <v>254</v>
      </c>
      <c r="E7" s="16" t="s">
        <v>255</v>
      </c>
      <c r="F7" s="16" t="s">
        <v>256</v>
      </c>
      <c r="G7" s="20" t="n">
        <f aca="false">COUNTIF(Edges!$C:$C,A7)</f>
        <v>10</v>
      </c>
    </row>
    <row r="9" customFormat="false" ht="15" hidden="false" customHeight="false" outlineLevel="0" collapsed="false">
      <c r="A9" s="39" t="s">
        <v>257</v>
      </c>
    </row>
    <row r="10" customFormat="false" ht="31.5" hidden="false" customHeight="true" outlineLevel="0" collapsed="false">
      <c r="A10" s="8"/>
      <c r="B10" s="8" t="s">
        <v>52</v>
      </c>
      <c r="C10" s="8" t="s">
        <v>258</v>
      </c>
      <c r="D10" s="8" t="s">
        <v>259</v>
      </c>
      <c r="E10" s="8"/>
      <c r="F10" s="8" t="s">
        <v>260</v>
      </c>
      <c r="G10" s="8" t="s">
        <v>261</v>
      </c>
    </row>
    <row r="11" customFormat="false" ht="23.85" hidden="false" customHeight="false" outlineLevel="0" collapsed="false">
      <c r="A11" s="10"/>
      <c r="B11" s="11" t="s">
        <v>262</v>
      </c>
      <c r="C11" s="10" t="s">
        <v>263</v>
      </c>
      <c r="D11" s="10" t="s">
        <v>264</v>
      </c>
      <c r="E11" s="10"/>
      <c r="F11" s="10"/>
      <c r="G11" s="21" t="n">
        <v>4</v>
      </c>
    </row>
    <row r="12" customFormat="false" ht="15" hidden="false" customHeight="false" outlineLevel="0" collapsed="false">
      <c r="A12" s="16"/>
      <c r="B12" s="17" t="s">
        <v>265</v>
      </c>
      <c r="C12" s="16" t="s">
        <v>266</v>
      </c>
      <c r="D12" s="16" t="s">
        <v>267</v>
      </c>
      <c r="E12" s="16"/>
      <c r="F12" s="16"/>
      <c r="G12" s="23" t="n">
        <v>3</v>
      </c>
    </row>
    <row r="13" customFormat="false" ht="15" hidden="false" customHeight="false" outlineLevel="0" collapsed="false">
      <c r="A13" s="10"/>
      <c r="B13" s="11" t="s">
        <v>268</v>
      </c>
      <c r="C13" s="10" t="s">
        <v>269</v>
      </c>
      <c r="D13" s="10" t="s">
        <v>270</v>
      </c>
      <c r="E13" s="10"/>
      <c r="F13" s="10"/>
      <c r="G13" s="21" t="n">
        <v>2</v>
      </c>
    </row>
    <row r="14" customFormat="false" ht="15" hidden="false" customHeight="false" outlineLevel="0" collapsed="false">
      <c r="A14" s="16"/>
      <c r="B14" s="17" t="s">
        <v>271</v>
      </c>
      <c r="C14" s="16" t="s">
        <v>129</v>
      </c>
      <c r="D14" s="16" t="s">
        <v>270</v>
      </c>
      <c r="E14" s="16"/>
      <c r="F14" s="16"/>
      <c r="G14" s="23" t="n">
        <v>1</v>
      </c>
    </row>
    <row r="15" customFormat="false" ht="23.85" hidden="false" customHeight="false" outlineLevel="0" collapsed="false">
      <c r="A15" s="10"/>
      <c r="B15" s="11" t="s">
        <v>272</v>
      </c>
      <c r="C15" s="10" t="s">
        <v>237</v>
      </c>
      <c r="D15" s="10" t="s">
        <v>273</v>
      </c>
      <c r="E15" s="10"/>
      <c r="F15" s="10"/>
      <c r="G15" s="21" t="n">
        <v>2</v>
      </c>
    </row>
    <row r="16" customFormat="false" ht="15" hidden="false" customHeight="false" outlineLevel="0" collapsed="false">
      <c r="A16" s="16"/>
      <c r="B16" s="17" t="s">
        <v>274</v>
      </c>
      <c r="C16" s="16" t="s">
        <v>155</v>
      </c>
      <c r="D16" s="16" t="s">
        <v>275</v>
      </c>
      <c r="E16" s="16"/>
      <c r="F16" s="16"/>
      <c r="G16" s="23" t="n">
        <v>1</v>
      </c>
    </row>
    <row r="17" customFormat="false" ht="23.85" hidden="false" customHeight="false" outlineLevel="0" collapsed="false">
      <c r="A17" s="10"/>
      <c r="B17" s="11" t="s">
        <v>276</v>
      </c>
      <c r="C17" s="10" t="s">
        <v>277</v>
      </c>
      <c r="D17" s="10" t="s">
        <v>278</v>
      </c>
      <c r="E17" s="10"/>
      <c r="F17" s="10"/>
      <c r="G17" s="21" t="n">
        <v>2</v>
      </c>
    </row>
    <row r="19" customFormat="false" ht="15" hidden="false" customHeight="false" outlineLevel="0" collapsed="false">
      <c r="B19" s="38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88B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0"/>
  </cols>
  <sheetData>
    <row r="1" customFormat="false" ht="31.5" hidden="false" customHeight="true" outlineLevel="0" collapsed="false">
      <c r="A1" s="8" t="s">
        <v>280</v>
      </c>
      <c r="B1" s="8" t="s">
        <v>281</v>
      </c>
      <c r="C1" s="8" t="s">
        <v>218</v>
      </c>
      <c r="D1" s="8" t="s">
        <v>219</v>
      </c>
      <c r="E1" s="8" t="s">
        <v>221</v>
      </c>
      <c r="F1" s="8" t="s">
        <v>222</v>
      </c>
    </row>
    <row r="2" customFormat="false" ht="18" hidden="false" customHeight="true" outlineLevel="0" collapsed="false">
      <c r="A2" s="14" t="s">
        <v>61</v>
      </c>
      <c r="B2" s="14" t="s">
        <v>73</v>
      </c>
      <c r="C2" s="14" t="s">
        <v>225</v>
      </c>
      <c r="D2" s="10" t="s">
        <v>226</v>
      </c>
      <c r="E2" s="10" t="s">
        <v>228</v>
      </c>
      <c r="F2" s="10" t="s">
        <v>229</v>
      </c>
    </row>
    <row r="3" customFormat="false" ht="18" hidden="false" customHeight="true" outlineLevel="0" collapsed="false">
      <c r="A3" s="20" t="s">
        <v>61</v>
      </c>
      <c r="B3" s="20" t="s">
        <v>129</v>
      </c>
      <c r="C3" s="20" t="s">
        <v>225</v>
      </c>
      <c r="D3" s="16" t="s">
        <v>226</v>
      </c>
      <c r="E3" s="16" t="s">
        <v>228</v>
      </c>
      <c r="F3" s="16" t="s">
        <v>229</v>
      </c>
    </row>
    <row r="4" customFormat="false" ht="18" hidden="false" customHeight="true" outlineLevel="0" collapsed="false">
      <c r="A4" s="14" t="s">
        <v>73</v>
      </c>
      <c r="B4" s="14" t="s">
        <v>129</v>
      </c>
      <c r="C4" s="14" t="s">
        <v>225</v>
      </c>
      <c r="D4" s="10" t="s">
        <v>226</v>
      </c>
      <c r="E4" s="10" t="s">
        <v>228</v>
      </c>
      <c r="F4" s="10" t="s">
        <v>229</v>
      </c>
    </row>
    <row r="5" customFormat="false" ht="18" hidden="false" customHeight="true" outlineLevel="0" collapsed="false">
      <c r="A5" s="20" t="s">
        <v>61</v>
      </c>
      <c r="B5" s="20" t="s">
        <v>73</v>
      </c>
      <c r="C5" s="20" t="s">
        <v>231</v>
      </c>
      <c r="D5" s="16" t="s">
        <v>232</v>
      </c>
      <c r="E5" s="16" t="s">
        <v>228</v>
      </c>
      <c r="F5" s="16" t="s">
        <v>229</v>
      </c>
    </row>
    <row r="6" customFormat="false" ht="18" hidden="false" customHeight="true" outlineLevel="0" collapsed="false">
      <c r="A6" s="14" t="s">
        <v>61</v>
      </c>
      <c r="B6" s="14" t="s">
        <v>129</v>
      </c>
      <c r="C6" s="14" t="s">
        <v>231</v>
      </c>
      <c r="D6" s="10" t="s">
        <v>232</v>
      </c>
      <c r="E6" s="10" t="s">
        <v>228</v>
      </c>
      <c r="F6" s="10" t="s">
        <v>229</v>
      </c>
    </row>
    <row r="7" customFormat="false" ht="18" hidden="false" customHeight="true" outlineLevel="0" collapsed="false">
      <c r="A7" s="20" t="s">
        <v>61</v>
      </c>
      <c r="B7" s="20" t="s">
        <v>146</v>
      </c>
      <c r="C7" s="20" t="s">
        <v>231</v>
      </c>
      <c r="D7" s="16" t="s">
        <v>232</v>
      </c>
      <c r="E7" s="16" t="s">
        <v>228</v>
      </c>
      <c r="F7" s="16" t="s">
        <v>229</v>
      </c>
    </row>
    <row r="8" customFormat="false" ht="18" hidden="false" customHeight="true" outlineLevel="0" collapsed="false">
      <c r="A8" s="14" t="s">
        <v>73</v>
      </c>
      <c r="B8" s="14" t="s">
        <v>129</v>
      </c>
      <c r="C8" s="14" t="s">
        <v>231</v>
      </c>
      <c r="D8" s="10" t="s">
        <v>232</v>
      </c>
      <c r="E8" s="10" t="s">
        <v>228</v>
      </c>
      <c r="F8" s="10" t="s">
        <v>229</v>
      </c>
    </row>
    <row r="9" customFormat="false" ht="18" hidden="false" customHeight="true" outlineLevel="0" collapsed="false">
      <c r="A9" s="20" t="s">
        <v>73</v>
      </c>
      <c r="B9" s="20" t="s">
        <v>146</v>
      </c>
      <c r="C9" s="20" t="s">
        <v>231</v>
      </c>
      <c r="D9" s="16" t="s">
        <v>232</v>
      </c>
      <c r="E9" s="16" t="s">
        <v>228</v>
      </c>
      <c r="F9" s="16" t="s">
        <v>229</v>
      </c>
    </row>
    <row r="10" customFormat="false" ht="18" hidden="false" customHeight="true" outlineLevel="0" collapsed="false">
      <c r="A10" s="14" t="s">
        <v>129</v>
      </c>
      <c r="B10" s="14" t="s">
        <v>146</v>
      </c>
      <c r="C10" s="14" t="s">
        <v>231</v>
      </c>
      <c r="D10" s="10" t="s">
        <v>232</v>
      </c>
      <c r="E10" s="10" t="s">
        <v>228</v>
      </c>
      <c r="F10" s="10" t="s">
        <v>229</v>
      </c>
    </row>
    <row r="11" customFormat="false" ht="18" hidden="false" customHeight="true" outlineLevel="0" collapsed="false">
      <c r="A11" s="20" t="s">
        <v>102</v>
      </c>
      <c r="B11" s="20" t="s">
        <v>138</v>
      </c>
      <c r="C11" s="20" t="s">
        <v>235</v>
      </c>
      <c r="D11" s="16" t="s">
        <v>236</v>
      </c>
      <c r="E11" s="16" t="s">
        <v>238</v>
      </c>
      <c r="F11" s="16" t="s">
        <v>229</v>
      </c>
    </row>
    <row r="12" customFormat="false" ht="18" hidden="false" customHeight="true" outlineLevel="0" collapsed="false">
      <c r="A12" s="14" t="s">
        <v>85</v>
      </c>
      <c r="B12" s="14" t="s">
        <v>120</v>
      </c>
      <c r="C12" s="14" t="s">
        <v>240</v>
      </c>
      <c r="D12" s="10" t="s">
        <v>241</v>
      </c>
      <c r="E12" s="10" t="s">
        <v>243</v>
      </c>
      <c r="F12" s="10" t="s">
        <v>229</v>
      </c>
    </row>
    <row r="13" customFormat="false" ht="18" hidden="false" customHeight="true" outlineLevel="0" collapsed="false">
      <c r="A13" s="20" t="s">
        <v>85</v>
      </c>
      <c r="B13" s="20" t="s">
        <v>129</v>
      </c>
      <c r="C13" s="20" t="s">
        <v>240</v>
      </c>
      <c r="D13" s="16" t="s">
        <v>241</v>
      </c>
      <c r="E13" s="16" t="s">
        <v>243</v>
      </c>
      <c r="F13" s="16" t="s">
        <v>229</v>
      </c>
    </row>
    <row r="14" customFormat="false" ht="18" hidden="false" customHeight="true" outlineLevel="0" collapsed="false">
      <c r="A14" s="14" t="s">
        <v>120</v>
      </c>
      <c r="B14" s="14" t="s">
        <v>129</v>
      </c>
      <c r="C14" s="14" t="s">
        <v>240</v>
      </c>
      <c r="D14" s="10" t="s">
        <v>241</v>
      </c>
      <c r="E14" s="10" t="s">
        <v>243</v>
      </c>
      <c r="F14" s="10" t="s">
        <v>229</v>
      </c>
    </row>
    <row r="15" customFormat="false" ht="18" hidden="false" customHeight="true" outlineLevel="0" collapsed="false">
      <c r="A15" s="20" t="s">
        <v>94</v>
      </c>
      <c r="B15" s="20" t="s">
        <v>73</v>
      </c>
      <c r="C15" s="20" t="s">
        <v>245</v>
      </c>
      <c r="D15" s="16" t="s">
        <v>246</v>
      </c>
      <c r="E15" s="16" t="s">
        <v>248</v>
      </c>
      <c r="F15" s="16" t="s">
        <v>249</v>
      </c>
    </row>
    <row r="16" customFormat="false" ht="18" hidden="false" customHeight="true" outlineLevel="0" collapsed="false">
      <c r="A16" s="14" t="s">
        <v>94</v>
      </c>
      <c r="B16" s="14" t="s">
        <v>129</v>
      </c>
      <c r="C16" s="14" t="s">
        <v>245</v>
      </c>
      <c r="D16" s="10" t="s">
        <v>246</v>
      </c>
      <c r="E16" s="10" t="s">
        <v>248</v>
      </c>
      <c r="F16" s="10" t="s">
        <v>249</v>
      </c>
    </row>
    <row r="17" customFormat="false" ht="18" hidden="false" customHeight="true" outlineLevel="0" collapsed="false">
      <c r="A17" s="20" t="s">
        <v>73</v>
      </c>
      <c r="B17" s="20" t="s">
        <v>129</v>
      </c>
      <c r="C17" s="20" t="s">
        <v>245</v>
      </c>
      <c r="D17" s="16" t="s">
        <v>246</v>
      </c>
      <c r="E17" s="16" t="s">
        <v>248</v>
      </c>
      <c r="F17" s="16" t="s">
        <v>249</v>
      </c>
    </row>
    <row r="18" customFormat="false" ht="18" hidden="false" customHeight="true" outlineLevel="0" collapsed="false">
      <c r="A18" s="14" t="s">
        <v>85</v>
      </c>
      <c r="B18" s="14" t="s">
        <v>94</v>
      </c>
      <c r="C18" s="14" t="s">
        <v>251</v>
      </c>
      <c r="D18" s="10" t="s">
        <v>252</v>
      </c>
      <c r="E18" s="10" t="s">
        <v>254</v>
      </c>
      <c r="F18" s="10" t="s">
        <v>255</v>
      </c>
    </row>
    <row r="19" customFormat="false" ht="18" hidden="false" customHeight="true" outlineLevel="0" collapsed="false">
      <c r="A19" s="20" t="s">
        <v>85</v>
      </c>
      <c r="B19" s="20" t="s">
        <v>102</v>
      </c>
      <c r="C19" s="20" t="s">
        <v>251</v>
      </c>
      <c r="D19" s="16" t="s">
        <v>252</v>
      </c>
      <c r="E19" s="16" t="s">
        <v>254</v>
      </c>
      <c r="F19" s="16" t="s">
        <v>255</v>
      </c>
    </row>
    <row r="20" customFormat="false" ht="18" hidden="false" customHeight="true" outlineLevel="0" collapsed="false">
      <c r="A20" s="14" t="s">
        <v>85</v>
      </c>
      <c r="B20" s="14" t="s">
        <v>120</v>
      </c>
      <c r="C20" s="14" t="s">
        <v>251</v>
      </c>
      <c r="D20" s="10" t="s">
        <v>252</v>
      </c>
      <c r="E20" s="10" t="s">
        <v>254</v>
      </c>
      <c r="F20" s="10" t="s">
        <v>255</v>
      </c>
    </row>
    <row r="21" customFormat="false" ht="18" hidden="false" customHeight="true" outlineLevel="0" collapsed="false">
      <c r="A21" s="20" t="s">
        <v>85</v>
      </c>
      <c r="B21" s="20" t="s">
        <v>146</v>
      </c>
      <c r="C21" s="20" t="s">
        <v>251</v>
      </c>
      <c r="D21" s="16" t="s">
        <v>252</v>
      </c>
      <c r="E21" s="16" t="s">
        <v>254</v>
      </c>
      <c r="F21" s="16" t="s">
        <v>255</v>
      </c>
    </row>
    <row r="22" customFormat="false" ht="18" hidden="false" customHeight="true" outlineLevel="0" collapsed="false">
      <c r="A22" s="14" t="s">
        <v>94</v>
      </c>
      <c r="B22" s="14" t="s">
        <v>102</v>
      </c>
      <c r="C22" s="14" t="s">
        <v>251</v>
      </c>
      <c r="D22" s="10" t="s">
        <v>252</v>
      </c>
      <c r="E22" s="10" t="s">
        <v>254</v>
      </c>
      <c r="F22" s="10" t="s">
        <v>255</v>
      </c>
    </row>
    <row r="23" customFormat="false" ht="18" hidden="false" customHeight="true" outlineLevel="0" collapsed="false">
      <c r="A23" s="20" t="s">
        <v>94</v>
      </c>
      <c r="B23" s="20" t="s">
        <v>120</v>
      </c>
      <c r="C23" s="20" t="s">
        <v>251</v>
      </c>
      <c r="D23" s="16" t="s">
        <v>252</v>
      </c>
      <c r="E23" s="16" t="s">
        <v>254</v>
      </c>
      <c r="F23" s="16" t="s">
        <v>255</v>
      </c>
    </row>
    <row r="24" customFormat="false" ht="18" hidden="false" customHeight="true" outlineLevel="0" collapsed="false">
      <c r="A24" s="14" t="s">
        <v>94</v>
      </c>
      <c r="B24" s="14" t="s">
        <v>146</v>
      </c>
      <c r="C24" s="14" t="s">
        <v>251</v>
      </c>
      <c r="D24" s="10" t="s">
        <v>252</v>
      </c>
      <c r="E24" s="10" t="s">
        <v>254</v>
      </c>
      <c r="F24" s="10" t="s">
        <v>255</v>
      </c>
    </row>
    <row r="25" customFormat="false" ht="18" hidden="false" customHeight="true" outlineLevel="0" collapsed="false">
      <c r="A25" s="20" t="s">
        <v>102</v>
      </c>
      <c r="B25" s="20" t="s">
        <v>120</v>
      </c>
      <c r="C25" s="20" t="s">
        <v>251</v>
      </c>
      <c r="D25" s="16" t="s">
        <v>252</v>
      </c>
      <c r="E25" s="16" t="s">
        <v>254</v>
      </c>
      <c r="F25" s="16" t="s">
        <v>255</v>
      </c>
    </row>
    <row r="26" customFormat="false" ht="18" hidden="false" customHeight="true" outlineLevel="0" collapsed="false">
      <c r="A26" s="14" t="s">
        <v>102</v>
      </c>
      <c r="B26" s="14" t="s">
        <v>146</v>
      </c>
      <c r="C26" s="14" t="s">
        <v>251</v>
      </c>
      <c r="D26" s="10" t="s">
        <v>252</v>
      </c>
      <c r="E26" s="10" t="s">
        <v>254</v>
      </c>
      <c r="F26" s="10" t="s">
        <v>255</v>
      </c>
    </row>
    <row r="27" customFormat="false" ht="18" hidden="false" customHeight="true" outlineLevel="0" collapsed="false">
      <c r="A27" s="20" t="s">
        <v>120</v>
      </c>
      <c r="B27" s="20" t="s">
        <v>146</v>
      </c>
      <c r="C27" s="20" t="s">
        <v>251</v>
      </c>
      <c r="D27" s="16" t="s">
        <v>252</v>
      </c>
      <c r="E27" s="16" t="s">
        <v>254</v>
      </c>
      <c r="F27" s="16" t="s">
        <v>255</v>
      </c>
    </row>
  </sheetData>
  <autoFilter ref="A1:F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88B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46"/>
    <col collapsed="false" customWidth="true" hidden="false" outlineLevel="0" max="8" min="8" style="0" width="70"/>
  </cols>
  <sheetData>
    <row r="1" customFormat="false" ht="31.5" hidden="false" customHeight="true" outlineLevel="0" collapsed="false">
      <c r="A1" s="8" t="s">
        <v>282</v>
      </c>
      <c r="B1" s="8" t="s">
        <v>258</v>
      </c>
      <c r="C1" s="8" t="s">
        <v>283</v>
      </c>
      <c r="D1" s="8" t="s">
        <v>284</v>
      </c>
      <c r="E1" s="8" t="s">
        <v>285</v>
      </c>
      <c r="F1" s="8" t="s">
        <v>259</v>
      </c>
      <c r="G1" s="8" t="s">
        <v>286</v>
      </c>
      <c r="H1" s="8" t="s">
        <v>287</v>
      </c>
    </row>
    <row r="2" customFormat="false" ht="43.5" hidden="false" customHeight="true" outlineLevel="0" collapsed="false">
      <c r="A2" s="14" t="n">
        <v>1</v>
      </c>
      <c r="B2" s="14" t="s">
        <v>61</v>
      </c>
      <c r="C2" s="10" t="s">
        <v>288</v>
      </c>
      <c r="D2" s="10" t="s">
        <v>289</v>
      </c>
      <c r="E2" s="10" t="s">
        <v>290</v>
      </c>
      <c r="F2" s="10" t="s">
        <v>291</v>
      </c>
      <c r="G2" s="10" t="s">
        <v>292</v>
      </c>
      <c r="H2" s="10" t="s">
        <v>293</v>
      </c>
    </row>
    <row r="3" customFormat="false" ht="43.5" hidden="false" customHeight="true" outlineLevel="0" collapsed="false">
      <c r="A3" s="20" t="n">
        <v>2</v>
      </c>
      <c r="B3" s="20" t="s">
        <v>61</v>
      </c>
      <c r="C3" s="16" t="s">
        <v>294</v>
      </c>
      <c r="D3" s="16" t="s">
        <v>295</v>
      </c>
      <c r="E3" s="16" t="s">
        <v>290</v>
      </c>
      <c r="F3" s="16" t="s">
        <v>296</v>
      </c>
      <c r="G3" s="16" t="s">
        <v>297</v>
      </c>
      <c r="H3" s="40" t="s">
        <v>298</v>
      </c>
    </row>
    <row r="4" customFormat="false" ht="43.5" hidden="false" customHeight="true" outlineLevel="0" collapsed="false">
      <c r="A4" s="14" t="n">
        <v>3</v>
      </c>
      <c r="B4" s="14" t="s">
        <v>61</v>
      </c>
      <c r="C4" s="10" t="s">
        <v>299</v>
      </c>
      <c r="D4" s="10" t="s">
        <v>300</v>
      </c>
      <c r="E4" s="10" t="s">
        <v>301</v>
      </c>
      <c r="F4" s="10" t="s">
        <v>291</v>
      </c>
      <c r="G4" s="10" t="s">
        <v>302</v>
      </c>
      <c r="H4" s="41" t="s">
        <v>303</v>
      </c>
    </row>
    <row r="5" customFormat="false" ht="43.5" hidden="false" customHeight="true" outlineLevel="0" collapsed="false">
      <c r="A5" s="20" t="n">
        <v>4</v>
      </c>
      <c r="B5" s="20" t="s">
        <v>73</v>
      </c>
      <c r="C5" s="16" t="s">
        <v>304</v>
      </c>
      <c r="D5" s="16" t="s">
        <v>305</v>
      </c>
      <c r="E5" s="16" t="s">
        <v>306</v>
      </c>
      <c r="F5" s="16" t="s">
        <v>307</v>
      </c>
      <c r="G5" s="16" t="s">
        <v>308</v>
      </c>
      <c r="H5" s="40" t="s">
        <v>309</v>
      </c>
    </row>
    <row r="6" customFormat="false" ht="43.5" hidden="false" customHeight="true" outlineLevel="0" collapsed="false">
      <c r="A6" s="14" t="n">
        <v>5</v>
      </c>
      <c r="B6" s="14" t="s">
        <v>73</v>
      </c>
      <c r="C6" s="10" t="s">
        <v>310</v>
      </c>
      <c r="D6" s="10" t="s">
        <v>295</v>
      </c>
      <c r="E6" s="10" t="s">
        <v>306</v>
      </c>
      <c r="F6" s="10" t="s">
        <v>311</v>
      </c>
      <c r="G6" s="10" t="s">
        <v>312</v>
      </c>
      <c r="H6" s="41" t="s">
        <v>313</v>
      </c>
    </row>
    <row r="7" customFormat="false" ht="43.5" hidden="false" customHeight="true" outlineLevel="0" collapsed="false">
      <c r="A7" s="20" t="n">
        <v>6</v>
      </c>
      <c r="B7" s="20" t="s">
        <v>73</v>
      </c>
      <c r="C7" s="16" t="s">
        <v>314</v>
      </c>
      <c r="D7" s="16" t="s">
        <v>295</v>
      </c>
      <c r="E7" s="16" t="s">
        <v>315</v>
      </c>
      <c r="F7" s="16" t="s">
        <v>311</v>
      </c>
      <c r="G7" s="16" t="s">
        <v>316</v>
      </c>
      <c r="H7" s="40" t="s">
        <v>317</v>
      </c>
    </row>
    <row r="8" customFormat="false" ht="43.5" hidden="false" customHeight="true" outlineLevel="0" collapsed="false">
      <c r="A8" s="14" t="n">
        <v>7</v>
      </c>
      <c r="B8" s="14" t="s">
        <v>73</v>
      </c>
      <c r="C8" s="10" t="s">
        <v>318</v>
      </c>
      <c r="D8" s="10" t="s">
        <v>300</v>
      </c>
      <c r="E8" s="10" t="s">
        <v>319</v>
      </c>
      <c r="F8" s="10" t="s">
        <v>311</v>
      </c>
      <c r="G8" s="10" t="s">
        <v>320</v>
      </c>
      <c r="H8" s="41" t="s">
        <v>321</v>
      </c>
    </row>
    <row r="9" customFormat="false" ht="43.5" hidden="false" customHeight="true" outlineLevel="0" collapsed="false">
      <c r="A9" s="20" t="n">
        <v>8</v>
      </c>
      <c r="B9" s="20" t="s">
        <v>73</v>
      </c>
      <c r="C9" s="16" t="s">
        <v>322</v>
      </c>
      <c r="D9" s="16" t="s">
        <v>323</v>
      </c>
      <c r="E9" s="16" t="s">
        <v>324</v>
      </c>
      <c r="F9" s="16" t="s">
        <v>325</v>
      </c>
      <c r="G9" s="16" t="s">
        <v>326</v>
      </c>
      <c r="H9" s="40" t="s">
        <v>327</v>
      </c>
    </row>
    <row r="10" customFormat="false" ht="43.5" hidden="false" customHeight="true" outlineLevel="0" collapsed="false">
      <c r="A10" s="14" t="n">
        <v>9</v>
      </c>
      <c r="B10" s="14" t="s">
        <v>85</v>
      </c>
      <c r="C10" s="10" t="s">
        <v>328</v>
      </c>
      <c r="D10" s="10" t="s">
        <v>329</v>
      </c>
      <c r="E10" s="10" t="s">
        <v>330</v>
      </c>
      <c r="F10" s="10" t="s">
        <v>331</v>
      </c>
      <c r="G10" s="10" t="s">
        <v>332</v>
      </c>
      <c r="H10" s="41" t="s">
        <v>333</v>
      </c>
    </row>
    <row r="11" customFormat="false" ht="43.5" hidden="false" customHeight="true" outlineLevel="0" collapsed="false">
      <c r="A11" s="20" t="n">
        <v>10</v>
      </c>
      <c r="B11" s="20" t="s">
        <v>85</v>
      </c>
      <c r="C11" s="16" t="s">
        <v>334</v>
      </c>
      <c r="D11" s="16" t="s">
        <v>300</v>
      </c>
      <c r="E11" s="16" t="s">
        <v>330</v>
      </c>
      <c r="F11" s="16" t="s">
        <v>311</v>
      </c>
      <c r="G11" s="16" t="s">
        <v>335</v>
      </c>
      <c r="H11" s="40" t="s">
        <v>336</v>
      </c>
    </row>
    <row r="12" customFormat="false" ht="43.5" hidden="false" customHeight="true" outlineLevel="0" collapsed="false">
      <c r="A12" s="14" t="n">
        <v>11</v>
      </c>
      <c r="B12" s="14" t="s">
        <v>85</v>
      </c>
      <c r="C12" s="10" t="s">
        <v>337</v>
      </c>
      <c r="D12" s="10" t="s">
        <v>338</v>
      </c>
      <c r="E12" s="10" t="s">
        <v>339</v>
      </c>
      <c r="F12" s="10" t="s">
        <v>340</v>
      </c>
      <c r="G12" s="10" t="s">
        <v>341</v>
      </c>
      <c r="H12" s="41" t="s">
        <v>342</v>
      </c>
    </row>
    <row r="13" customFormat="false" ht="43.5" hidden="false" customHeight="true" outlineLevel="0" collapsed="false">
      <c r="A13" s="20" t="n">
        <v>12</v>
      </c>
      <c r="B13" s="20" t="s">
        <v>85</v>
      </c>
      <c r="C13" s="16" t="s">
        <v>343</v>
      </c>
      <c r="D13" s="16" t="s">
        <v>344</v>
      </c>
      <c r="E13" s="16" t="s">
        <v>345</v>
      </c>
      <c r="F13" s="16" t="s">
        <v>346</v>
      </c>
      <c r="G13" s="16" t="s">
        <v>347</v>
      </c>
      <c r="H13" s="40" t="s">
        <v>348</v>
      </c>
    </row>
    <row r="14" customFormat="false" ht="43.5" hidden="false" customHeight="true" outlineLevel="0" collapsed="false">
      <c r="A14" s="14" t="n">
        <v>13</v>
      </c>
      <c r="B14" s="14" t="s">
        <v>94</v>
      </c>
      <c r="C14" s="10" t="s">
        <v>349</v>
      </c>
      <c r="D14" s="10" t="s">
        <v>350</v>
      </c>
      <c r="E14" s="10" t="s">
        <v>351</v>
      </c>
      <c r="F14" s="10" t="s">
        <v>352</v>
      </c>
      <c r="G14" s="10" t="s">
        <v>353</v>
      </c>
      <c r="H14" s="41" t="s">
        <v>354</v>
      </c>
    </row>
    <row r="15" customFormat="false" ht="43.5" hidden="false" customHeight="true" outlineLevel="0" collapsed="false">
      <c r="A15" s="20" t="n">
        <v>14</v>
      </c>
      <c r="B15" s="20" t="s">
        <v>94</v>
      </c>
      <c r="C15" s="16" t="s">
        <v>355</v>
      </c>
      <c r="D15" s="16" t="s">
        <v>356</v>
      </c>
      <c r="E15" s="16" t="s">
        <v>357</v>
      </c>
      <c r="F15" s="16" t="s">
        <v>352</v>
      </c>
      <c r="G15" s="16" t="s">
        <v>358</v>
      </c>
      <c r="H15" s="40" t="s">
        <v>359</v>
      </c>
    </row>
    <row r="16" customFormat="false" ht="43.5" hidden="false" customHeight="true" outlineLevel="0" collapsed="false">
      <c r="A16" s="14" t="n">
        <v>15</v>
      </c>
      <c r="B16" s="14" t="s">
        <v>360</v>
      </c>
      <c r="C16" s="10" t="s">
        <v>361</v>
      </c>
      <c r="D16" s="10" t="s">
        <v>362</v>
      </c>
      <c r="E16" s="10" t="s">
        <v>363</v>
      </c>
      <c r="F16" s="10" t="s">
        <v>364</v>
      </c>
      <c r="G16" s="10" t="s">
        <v>365</v>
      </c>
      <c r="H16" s="41" t="s">
        <v>366</v>
      </c>
    </row>
    <row r="17" customFormat="false" ht="43.5" hidden="false" customHeight="true" outlineLevel="0" collapsed="false">
      <c r="A17" s="20" t="n">
        <v>16</v>
      </c>
      <c r="B17" s="20" t="s">
        <v>94</v>
      </c>
      <c r="C17" s="16" t="s">
        <v>367</v>
      </c>
      <c r="D17" s="16" t="s">
        <v>265</v>
      </c>
      <c r="E17" s="16" t="s">
        <v>368</v>
      </c>
      <c r="F17" s="16" t="s">
        <v>307</v>
      </c>
      <c r="G17" s="16" t="s">
        <v>369</v>
      </c>
      <c r="H17" s="40" t="s">
        <v>370</v>
      </c>
    </row>
    <row r="18" customFormat="false" ht="43.5" hidden="false" customHeight="true" outlineLevel="0" collapsed="false">
      <c r="A18" s="14" t="n">
        <v>17</v>
      </c>
      <c r="B18" s="14" t="s">
        <v>94</v>
      </c>
      <c r="C18" s="10" t="s">
        <v>371</v>
      </c>
      <c r="D18" s="10" t="s">
        <v>372</v>
      </c>
      <c r="E18" s="10" t="s">
        <v>373</v>
      </c>
      <c r="F18" s="10" t="s">
        <v>374</v>
      </c>
      <c r="G18" s="10" t="s">
        <v>375</v>
      </c>
      <c r="H18" s="41" t="s">
        <v>376</v>
      </c>
    </row>
    <row r="19" customFormat="false" ht="43.5" hidden="false" customHeight="true" outlineLevel="0" collapsed="false">
      <c r="A19" s="20" t="n">
        <v>18</v>
      </c>
      <c r="B19" s="20" t="s">
        <v>102</v>
      </c>
      <c r="C19" s="16" t="s">
        <v>377</v>
      </c>
      <c r="D19" s="16" t="s">
        <v>300</v>
      </c>
      <c r="E19" s="16" t="s">
        <v>378</v>
      </c>
      <c r="F19" s="16" t="s">
        <v>311</v>
      </c>
      <c r="G19" s="16" t="s">
        <v>379</v>
      </c>
      <c r="H19" s="40" t="s">
        <v>380</v>
      </c>
    </row>
    <row r="20" customFormat="false" ht="43.5" hidden="false" customHeight="true" outlineLevel="0" collapsed="false">
      <c r="A20" s="14" t="n">
        <v>19</v>
      </c>
      <c r="B20" s="14" t="s">
        <v>102</v>
      </c>
      <c r="C20" s="10" t="s">
        <v>381</v>
      </c>
      <c r="D20" s="10" t="s">
        <v>382</v>
      </c>
      <c r="E20" s="10" t="s">
        <v>378</v>
      </c>
      <c r="F20" s="10" t="s">
        <v>383</v>
      </c>
      <c r="G20" s="10" t="s">
        <v>384</v>
      </c>
      <c r="H20" s="41" t="s">
        <v>385</v>
      </c>
    </row>
    <row r="21" customFormat="false" ht="43.5" hidden="false" customHeight="true" outlineLevel="0" collapsed="false">
      <c r="A21" s="20" t="n">
        <v>20</v>
      </c>
      <c r="B21" s="20" t="s">
        <v>111</v>
      </c>
      <c r="C21" s="16" t="s">
        <v>386</v>
      </c>
      <c r="D21" s="16" t="s">
        <v>387</v>
      </c>
      <c r="E21" s="16" t="s">
        <v>388</v>
      </c>
      <c r="F21" s="16" t="s">
        <v>389</v>
      </c>
      <c r="G21" s="16" t="s">
        <v>390</v>
      </c>
      <c r="H21" s="40" t="s">
        <v>391</v>
      </c>
    </row>
    <row r="22" customFormat="false" ht="43.5" hidden="false" customHeight="true" outlineLevel="0" collapsed="false">
      <c r="A22" s="14" t="n">
        <v>21</v>
      </c>
      <c r="B22" s="14" t="s">
        <v>111</v>
      </c>
      <c r="C22" s="10" t="s">
        <v>392</v>
      </c>
      <c r="D22" s="10" t="s">
        <v>300</v>
      </c>
      <c r="E22" s="10" t="s">
        <v>378</v>
      </c>
      <c r="F22" s="10" t="s">
        <v>311</v>
      </c>
      <c r="G22" s="10" t="s">
        <v>393</v>
      </c>
      <c r="H22" s="41" t="s">
        <v>394</v>
      </c>
    </row>
    <row r="23" customFormat="false" ht="43.5" hidden="false" customHeight="true" outlineLevel="0" collapsed="false">
      <c r="A23" s="20" t="n">
        <v>22</v>
      </c>
      <c r="B23" s="20" t="s">
        <v>111</v>
      </c>
      <c r="C23" s="16" t="s">
        <v>395</v>
      </c>
      <c r="D23" s="16" t="s">
        <v>396</v>
      </c>
      <c r="E23" s="16" t="s">
        <v>378</v>
      </c>
      <c r="F23" s="16" t="s">
        <v>397</v>
      </c>
      <c r="G23" s="16" t="s">
        <v>398</v>
      </c>
      <c r="H23" s="40" t="s">
        <v>399</v>
      </c>
    </row>
    <row r="24" customFormat="false" ht="43.5" hidden="false" customHeight="true" outlineLevel="0" collapsed="false">
      <c r="A24" s="14" t="n">
        <v>23</v>
      </c>
      <c r="B24" s="14" t="s">
        <v>120</v>
      </c>
      <c r="C24" s="10" t="s">
        <v>400</v>
      </c>
      <c r="D24" s="10" t="s">
        <v>295</v>
      </c>
      <c r="E24" s="10" t="s">
        <v>363</v>
      </c>
      <c r="F24" s="10" t="s">
        <v>311</v>
      </c>
      <c r="G24" s="10" t="s">
        <v>401</v>
      </c>
      <c r="H24" s="41" t="s">
        <v>402</v>
      </c>
    </row>
    <row r="25" customFormat="false" ht="43.5" hidden="false" customHeight="true" outlineLevel="0" collapsed="false">
      <c r="A25" s="20" t="n">
        <v>24</v>
      </c>
      <c r="B25" s="20" t="s">
        <v>120</v>
      </c>
      <c r="C25" s="16" t="s">
        <v>403</v>
      </c>
      <c r="D25" s="16" t="s">
        <v>404</v>
      </c>
      <c r="E25" s="16" t="s">
        <v>405</v>
      </c>
      <c r="F25" s="16" t="s">
        <v>406</v>
      </c>
      <c r="G25" s="16" t="s">
        <v>407</v>
      </c>
      <c r="H25" s="40" t="s">
        <v>408</v>
      </c>
    </row>
    <row r="26" customFormat="false" ht="43.5" hidden="false" customHeight="true" outlineLevel="0" collapsed="false">
      <c r="A26" s="14" t="n">
        <v>25</v>
      </c>
      <c r="B26" s="14" t="s">
        <v>129</v>
      </c>
      <c r="C26" s="10" t="s">
        <v>409</v>
      </c>
      <c r="D26" s="10" t="s">
        <v>300</v>
      </c>
      <c r="E26" s="10" t="s">
        <v>410</v>
      </c>
      <c r="F26" s="10" t="s">
        <v>311</v>
      </c>
      <c r="G26" s="10" t="s">
        <v>411</v>
      </c>
      <c r="H26" s="41" t="s">
        <v>412</v>
      </c>
    </row>
    <row r="27" customFormat="false" ht="43.5" hidden="false" customHeight="true" outlineLevel="0" collapsed="false">
      <c r="A27" s="20" t="n">
        <v>26</v>
      </c>
      <c r="B27" s="20" t="s">
        <v>129</v>
      </c>
      <c r="C27" s="16" t="s">
        <v>413</v>
      </c>
      <c r="D27" s="16" t="s">
        <v>300</v>
      </c>
      <c r="E27" s="16" t="s">
        <v>410</v>
      </c>
      <c r="F27" s="16" t="s">
        <v>311</v>
      </c>
      <c r="G27" s="16" t="s">
        <v>414</v>
      </c>
      <c r="H27" s="40" t="s">
        <v>415</v>
      </c>
    </row>
    <row r="28" customFormat="false" ht="43.5" hidden="false" customHeight="true" outlineLevel="0" collapsed="false">
      <c r="A28" s="14" t="n">
        <v>27</v>
      </c>
      <c r="B28" s="14" t="s">
        <v>129</v>
      </c>
      <c r="C28" s="10" t="s">
        <v>416</v>
      </c>
      <c r="D28" s="10" t="s">
        <v>300</v>
      </c>
      <c r="E28" s="10" t="s">
        <v>410</v>
      </c>
      <c r="F28" s="10" t="s">
        <v>311</v>
      </c>
      <c r="G28" s="10" t="s">
        <v>417</v>
      </c>
      <c r="H28" s="41" t="s">
        <v>418</v>
      </c>
    </row>
    <row r="29" customFormat="false" ht="43.5" hidden="false" customHeight="true" outlineLevel="0" collapsed="false">
      <c r="A29" s="20" t="n">
        <v>28</v>
      </c>
      <c r="B29" s="20" t="s">
        <v>129</v>
      </c>
      <c r="C29" s="16" t="s">
        <v>419</v>
      </c>
      <c r="D29" s="16" t="s">
        <v>420</v>
      </c>
      <c r="E29" s="16" t="s">
        <v>421</v>
      </c>
      <c r="F29" s="16" t="s">
        <v>422</v>
      </c>
      <c r="G29" s="16" t="s">
        <v>423</v>
      </c>
      <c r="H29" s="40" t="s">
        <v>424</v>
      </c>
    </row>
    <row r="30" customFormat="false" ht="43.5" hidden="false" customHeight="true" outlineLevel="0" collapsed="false">
      <c r="A30" s="14" t="n">
        <v>29</v>
      </c>
      <c r="B30" s="14" t="s">
        <v>138</v>
      </c>
      <c r="C30" s="10" t="s">
        <v>425</v>
      </c>
      <c r="D30" s="10" t="s">
        <v>300</v>
      </c>
      <c r="E30" s="10" t="s">
        <v>426</v>
      </c>
      <c r="F30" s="10" t="s">
        <v>427</v>
      </c>
      <c r="G30" s="10" t="s">
        <v>428</v>
      </c>
      <c r="H30" s="41" t="s">
        <v>429</v>
      </c>
    </row>
    <row r="31" customFormat="false" ht="43.5" hidden="false" customHeight="true" outlineLevel="0" collapsed="false">
      <c r="A31" s="20" t="n">
        <v>30</v>
      </c>
      <c r="B31" s="20" t="s">
        <v>138</v>
      </c>
      <c r="C31" s="16" t="s">
        <v>430</v>
      </c>
      <c r="D31" s="16" t="s">
        <v>300</v>
      </c>
      <c r="E31" s="16" t="s">
        <v>378</v>
      </c>
      <c r="F31" s="16" t="s">
        <v>311</v>
      </c>
      <c r="G31" s="16" t="s">
        <v>431</v>
      </c>
      <c r="H31" s="40" t="s">
        <v>432</v>
      </c>
    </row>
    <row r="32" customFormat="false" ht="43.5" hidden="false" customHeight="true" outlineLevel="0" collapsed="false">
      <c r="A32" s="14" t="n">
        <v>31</v>
      </c>
      <c r="B32" s="14" t="s">
        <v>138</v>
      </c>
      <c r="C32" s="10" t="s">
        <v>433</v>
      </c>
      <c r="D32" s="10" t="s">
        <v>434</v>
      </c>
      <c r="E32" s="10" t="s">
        <v>319</v>
      </c>
      <c r="F32" s="10" t="s">
        <v>435</v>
      </c>
      <c r="G32" s="10" t="s">
        <v>436</v>
      </c>
      <c r="H32" s="41" t="s">
        <v>437</v>
      </c>
    </row>
    <row r="33" customFormat="false" ht="43.5" hidden="false" customHeight="true" outlineLevel="0" collapsed="false">
      <c r="A33" s="20" t="n">
        <v>32</v>
      </c>
      <c r="B33" s="20" t="s">
        <v>146</v>
      </c>
      <c r="C33" s="16" t="s">
        <v>438</v>
      </c>
      <c r="D33" s="16" t="s">
        <v>439</v>
      </c>
      <c r="E33" s="16" t="s">
        <v>440</v>
      </c>
      <c r="F33" s="16" t="s">
        <v>441</v>
      </c>
      <c r="G33" s="16" t="s">
        <v>442</v>
      </c>
      <c r="H33" s="40" t="s">
        <v>443</v>
      </c>
    </row>
    <row r="34" customFormat="false" ht="43.5" hidden="false" customHeight="true" outlineLevel="0" collapsed="false">
      <c r="A34" s="14" t="n">
        <v>33</v>
      </c>
      <c r="B34" s="14" t="s">
        <v>146</v>
      </c>
      <c r="C34" s="10" t="s">
        <v>444</v>
      </c>
      <c r="D34" s="10" t="s">
        <v>445</v>
      </c>
      <c r="E34" s="10" t="s">
        <v>446</v>
      </c>
      <c r="F34" s="10" t="s">
        <v>311</v>
      </c>
      <c r="G34" s="10" t="s">
        <v>447</v>
      </c>
      <c r="H34" s="41" t="s">
        <v>448</v>
      </c>
    </row>
    <row r="35" customFormat="false" ht="43.5" hidden="false" customHeight="true" outlineLevel="0" collapsed="false">
      <c r="A35" s="20" t="n">
        <v>34</v>
      </c>
      <c r="B35" s="20" t="s">
        <v>155</v>
      </c>
      <c r="C35" s="16" t="s">
        <v>449</v>
      </c>
      <c r="D35" s="16" t="s">
        <v>300</v>
      </c>
      <c r="E35" s="16" t="s">
        <v>450</v>
      </c>
      <c r="F35" s="16" t="s">
        <v>311</v>
      </c>
      <c r="G35" s="16" t="s">
        <v>451</v>
      </c>
      <c r="H35" s="40" t="s">
        <v>452</v>
      </c>
    </row>
    <row r="36" customFormat="false" ht="43.5" hidden="false" customHeight="true" outlineLevel="0" collapsed="false">
      <c r="A36" s="14" t="n">
        <v>35</v>
      </c>
      <c r="B36" s="14" t="s">
        <v>155</v>
      </c>
      <c r="C36" s="10" t="s">
        <v>453</v>
      </c>
      <c r="D36" s="10" t="s">
        <v>300</v>
      </c>
      <c r="E36" s="10" t="s">
        <v>450</v>
      </c>
      <c r="F36" s="10" t="s">
        <v>311</v>
      </c>
      <c r="G36" s="10" t="s">
        <v>454</v>
      </c>
      <c r="H36" s="41" t="s">
        <v>455</v>
      </c>
    </row>
    <row r="37" customFormat="false" ht="43.5" hidden="false" customHeight="true" outlineLevel="0" collapsed="false">
      <c r="A37" s="20" t="n">
        <v>36</v>
      </c>
      <c r="B37" s="20" t="s">
        <v>155</v>
      </c>
      <c r="C37" s="16" t="s">
        <v>456</v>
      </c>
      <c r="D37" s="16" t="s">
        <v>457</v>
      </c>
      <c r="E37" s="16" t="s">
        <v>378</v>
      </c>
      <c r="F37" s="16" t="s">
        <v>458</v>
      </c>
      <c r="G37" s="16" t="s">
        <v>459</v>
      </c>
      <c r="H37" s="40" t="s">
        <v>460</v>
      </c>
    </row>
    <row r="38" customFormat="false" ht="43.5" hidden="false" customHeight="true" outlineLevel="0" collapsed="false">
      <c r="A38" s="14" t="n">
        <v>37</v>
      </c>
      <c r="B38" s="14" t="s">
        <v>461</v>
      </c>
      <c r="C38" s="10" t="s">
        <v>462</v>
      </c>
      <c r="D38" s="10" t="s">
        <v>463</v>
      </c>
      <c r="E38" s="10" t="s">
        <v>464</v>
      </c>
      <c r="F38" s="10" t="s">
        <v>465</v>
      </c>
      <c r="G38" s="10" t="s">
        <v>466</v>
      </c>
      <c r="H38" s="41" t="s">
        <v>467</v>
      </c>
    </row>
  </sheetData>
  <autoFilter ref="A1:H38"/>
  <hyperlinks>
    <hyperlink ref="H3" r:id="rId1" display="https://newsbook.com.mt/en/wirt-artna-explains-concrete-around-upper-barrakka-tree-it-is-protecting-historic-tunnels/"/>
    <hyperlink ref="H4" r:id="rId2" display="https://www.maltatoday.com.mt/environment/environment/138909/parts_of_upper_barrakka_have_been_cemented_over_but_dont_panic_just_yet"/>
    <hyperlink ref="H5" r:id="rId3" display="https://era.org.mt/press-releases/"/>
    <hyperlink ref="H6" r:id="rId4" display="https://newsbook.com.mt/en/comino-trees-era-says-its-decisions-based-on-expert-advice-maltese-law/"/>
    <hyperlink ref="H7" r:id="rId5" display="https://newsbook.com.mt/en/era-urged-to-refuse-permit-for-removal-of-800-trees-from-comino/"/>
    <hyperlink ref="H8" r:id="rId6" display="https://www.maltatoday.com.mt/environment/planning/143667/era_approves_preliminary_works_for_proposed_comino_hotel"/>
    <hyperlink ref="H9" r:id="rId7" display="https://mail.movimentgraffitti.org/2026/09/30/excavation-and-tree-uprooting-on-comino-suspended-following-crowdfunded-ngo-appeal-but-the-fight-to-save-comino-continues/"/>
    <hyperlink ref="H10" r:id="rId8" display="https://www.italpress.com/?p=605399"/>
    <hyperlink ref="H11" r:id="rId9" display="https://www.maltatoday.com.mt/news/national/138271/malta_cuts_emissions_faster_than_eu_average_report_shows"/>
    <hyperlink ref="H12" r:id="rId10" display="https://climateaction.gov.mt/wp-content/uploads/2026/06/FACTS-EMISSIONS-JUNE-26.pdf"/>
    <hyperlink ref="H13" r:id="rId11" display="https://practiceguides.chambers.com/practice-guides/renewable-energy-2026/malta"/>
    <hyperlink ref="H14" r:id="rId12" display="https://www.gov.mt/en/Government/DOI/Press%20Releases/Pages/2026/01/19/PR260072en.aspx"/>
    <hyperlink ref="H15" r:id="rId13" display="https://publicservice.gov.mt/en/news/malta-records-strong-progress-in-waste-separation"/>
    <hyperlink ref="H16" r:id="rId14" display="https://op.europa.eu/webpub/env/eir-country-reports-summaries/en/malta.html"/>
    <hyperlink ref="H17" r:id="rId15" display="https://era.org.mt/?p=53057"/>
    <hyperlink ref="H18" r:id="rId16" display="https://nso.gov.mt/solid-waste-management-2024/"/>
    <hyperlink ref="H19" r:id="rId17" display="https://maltatoday.com.mt/news/europe/131800/eu_court_finds_malta_in_breach_of_its_wastewater_treatment_obligations"/>
    <hyperlink ref="H20" r:id="rId18" display="https://travelmole.com/news/malta-beaches-waters/"/>
    <hyperlink ref="H21" r:id="rId19" display="https://www.komitee.de/en/latest-news/news/malta-green-light-spring-hunting/"/>
    <hyperlink ref="H22" r:id="rId20" display="https://www.maltatoday.com.mt/environment/environment/115708/spring_hunting_for_turtle_dove_set_to_return_after_ornis_votes_in_favour"/>
    <hyperlink ref="H23" r:id="rId21" display="https://edoc.hu-berlin.de/18452/26405"/>
    <hyperlink ref="H24" r:id="rId22" display="https://newsbook.com.mt/en/air-pollution-exceeds-who-guidelines-throughout-maltese-islands/"/>
    <hyperlink ref="H25" r:id="rId23" display="https://arja.mt/"/>
    <hyperlink ref="H26" r:id="rId24" display="https://www.maltatoday.com.mt/environment/townscapes/107316/no_social_impact_assessment_yet_for_msida_flyovers"/>
    <hyperlink ref="H27" r:id="rId25" display="https://www.maltatoday.com.mt/environment/planning/108072/no_eia_needed_for_msida_flyover_project_era_says"/>
    <hyperlink ref="H28" r:id="rId26" display="https://www.maltatoday.com.mt/news/national/105894/all_marsa_junction_project_flyovers_now_open"/>
    <hyperlink ref="H29" r:id="rId27" display="https://www.maltatoday.com.mt/news/national/143850/over_3000_vehicles_added_to_maltas_roads_in_three_months"/>
    <hyperlink ref="H30" r:id="rId28" display="https://www.maltatoday.com.mt/news/national/123510/nearly_twothirds_of_your_tap_water_comes_from_the_sea_"/>
    <hyperlink ref="H31" r:id="rId29" display="https://www.maltatoday.com.mt/news/national/125093/malta_water_table_fails_test_due_to_high_nitrates"/>
    <hyperlink ref="H32" r:id="rId30" display="https://chambers.com/articles/35-million-tender-launched-new-għar-lapsi-reverse-osmosis-plant"/>
    <hyperlink ref="H33" r:id="rId31" display="https://projectgreen.mt/?p=952"/>
    <hyperlink ref="H34" r:id="rId32" display="https://www.independent.com.mt/articles/2022-03-11/local-news/PL-manifesto-new-mechanism-to-replace-COLA-raft-of-planning-reforms-new-green-areas-6736241368"/>
    <hyperlink ref="H35" r:id="rId33" display="https://www.maltatoday.com.mt/news/election-2026/141840/labour_publishes_its_manifesto_here_is_a_breakdown"/>
    <hyperlink ref="H36" r:id="rId34" display="https://www.maltatoday.com.mt/news/election-2026/141891/pn_approves_its_electoral_manifesto"/>
    <hyperlink ref="H37" r:id="rId35" display="https://clean-energy-islands.ec.europa.eu/countries/malta"/>
    <hyperlink ref="H38" r:id="rId36" display="https://meddmo.eu/fact-checking-claims-around-pns-environmental-bil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2026-10-02T15:55:12Z</dcterms:created>
  <dc:creator>openpyxl</dc:creator>
  <dc:description/>
  <dc:language>en-US</dc:language>
  <cp:lastModifiedBy/>
  <dcterms:modified xsi:type="dcterms:W3CDTF">2026-10-02T15:55:13Z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