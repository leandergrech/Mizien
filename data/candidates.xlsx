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Claims" sheetId="2" state="visible" r:id="rId2"/>
    <sheet xmlns:r="http://schemas.openxmlformats.org/officeDocument/2006/relationships" name="Facts" sheetId="3" state="visible" r:id="rId3"/>
    <sheet xmlns:r="http://schemas.openxmlformats.org/officeDocument/2006/relationships" name="Quick checks" sheetId="4" state="visible" r:id="rId4"/>
    <sheet xmlns:r="http://schemas.openxmlformats.org/officeDocument/2006/relationships" name="Patterns" sheetId="5" state="visible" r:id="rId5"/>
    <sheet xmlns:r="http://schemas.openxmlformats.org/officeDocument/2006/relationships" name="Themes" sheetId="6" state="visible" r:id="rId6"/>
    <sheet xmlns:r="http://schemas.openxmlformats.org/officeDocument/2006/relationships" name="Edges" sheetId="7" state="visible" r:id="rId7"/>
    <sheet xmlns:r="http://schemas.openxmlformats.org/officeDocument/2006/relationships" name="Sources" sheetId="8" state="visible" r:id="rId8"/>
    <sheet xmlns:r="http://schemas.openxmlformats.org/officeDocument/2006/relationships" name="Bodies" sheetId="9" state="visible" r:id="rId9"/>
    <sheet xmlns:r="http://schemas.openxmlformats.org/officeDocument/2006/relationships" name="Actors" sheetId="10" state="visible" r:id="rId10"/>
    <sheet xmlns:r="http://schemas.openxmlformats.org/officeDocument/2006/relationships" name="Queue" sheetId="11" state="visible" r:id="rId11"/>
  </sheets>
  <definedNames>
    <definedName name="_xlnm._FilterDatabase" localSheetId="1" hidden="1">'Claims'!$A$1:$AC$117</definedName>
    <definedName name="_xlnm._FilterDatabase" localSheetId="2" hidden="1">'Facts'!$A$1:$H$1826</definedName>
    <definedName name="_xlnm._FilterDatabase" localSheetId="3" hidden="1">'Quick checks'!$A$1:$J$13</definedName>
    <definedName name="_xlnm._FilterDatabase" localSheetId="4" hidden="1">'Patterns'!$A$1:$F$6</definedName>
    <definedName name="_xlnm._FilterDatabase" localSheetId="5" hidden="1">'Themes'!$A$1:$G$17</definedName>
    <definedName name="_xlnm._FilterDatabase" localSheetId="6" hidden="1">'Edges'!$A$1:$F$134</definedName>
    <definedName name="_xlnm._FilterDatabase" localSheetId="7" hidden="1">'Sources'!$A$1:$H$677</definedName>
    <definedName name="_xlnm._FilterDatabase" localSheetId="8" hidden="1">'Bodies'!$A$1:$H$81</definedName>
    <definedName name="_xlnm._FilterDatabase" localSheetId="9" hidden="1">'Actors'!$A$1:$D$65</definedName>
    <definedName name="_xlnm._FilterDatabase" localSheetId="10" hidden="1">'Queue'!$A$1:$H$104</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Liberation Sans"/>
      <b val="1"/>
      <color rgb="0014452F"/>
      <sz val="14"/>
    </font>
    <font>
      <name val="Liberation Sans"/>
      <sz val="10"/>
    </font>
    <font>
      <name val="Liberation Sans"/>
      <b val="1"/>
      <color rgb="0014452F"/>
    </font>
    <font>
      <name val="Liberation Sans"/>
      <b val="1"/>
      <color rgb="00FFFFFF"/>
    </font>
    <font>
      <name val="Liberation Sans"/>
      <color rgb="001F5F99"/>
      <sz val="10"/>
      <u val="single"/>
    </font>
    <font>
      <name val="Liberation Sans"/>
      <color rgb="000000FF"/>
      <sz val="10"/>
    </font>
  </fonts>
  <fills count="3">
    <fill>
      <patternFill/>
    </fill>
    <fill>
      <patternFill patternType="gray125"/>
    </fill>
    <fill>
      <patternFill patternType="solid">
        <fgColor rgb="0014452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center" wrapText="1"/>
    </xf>
    <xf numFmtId="0" fontId="5" fillId="0" borderId="0" applyAlignment="1" pivotButton="0" quotePrefix="0" xfId="0">
      <alignment vertical="top" wrapText="1"/>
    </xf>
    <xf numFmtId="0" fontId="6" fillId="0" borderId="0" applyAlignment="1" pivotButton="0" quotePrefix="0" xfId="0">
      <alignment vertical="top" wrapText="1"/>
    </xf>
    <xf numFmtId="164" fontId="2" fillId="0" borderId="0" applyAlignment="1" pivotButton="0" quotePrefix="0" xfId="0">
      <alignment vertical="top" wrapText="1"/>
    </xf>
  </cellXfs>
  <cellStyles count="1">
    <cellStyle name="Normal" xfId="0" builtinId="0" hidden="0"/>
  </cellStyles>
  <dxfs count="3">
    <dxf>
      <fill>
        <patternFill patternType="solid">
          <fgColor rgb="00E6EFE8"/>
        </patternFill>
      </fill>
    </dxf>
    <dxf>
      <fill>
        <patternFill patternType="solid">
          <fgColor rgb="00F6E3B4"/>
        </patternFill>
      </fill>
    </dxf>
    <dxf>
      <fill>
        <patternFill patternType="solid">
          <fgColor rgb="00F6F4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leandergrech.github.io/Mizien/claims/CC-001/" TargetMode="External" Id="rId1"/><Relationship Type="http://schemas.openxmlformats.org/officeDocument/2006/relationships/hyperlink" Target="https://leandergrech.github.io/Mizien/claims/CC-002/" TargetMode="External" Id="rId2"/><Relationship Type="http://schemas.openxmlformats.org/officeDocument/2006/relationships/hyperlink" Target="https://leandergrech.github.io/Mizien/claims/CC-003/" TargetMode="External" Id="rId3"/><Relationship Type="http://schemas.openxmlformats.org/officeDocument/2006/relationships/hyperlink" Target="https://leandergrech.github.io/Mizien/claims/CC-004/" TargetMode="External" Id="rId4"/><Relationship Type="http://schemas.openxmlformats.org/officeDocument/2006/relationships/hyperlink" Target="https://leandergrech.github.io/Mizien/claims/CC-005/" TargetMode="External" Id="rId5"/><Relationship Type="http://schemas.openxmlformats.org/officeDocument/2006/relationships/hyperlink" Target="https://leandergrech.github.io/Mizien/claims/CC-006/" TargetMode="External" Id="rId6"/><Relationship Type="http://schemas.openxmlformats.org/officeDocument/2006/relationships/hyperlink" Target="https://leandergrech.github.io/Mizien/claims/CC-007/" TargetMode="External" Id="rId7"/><Relationship Type="http://schemas.openxmlformats.org/officeDocument/2006/relationships/hyperlink" Target="https://leandergrech.github.io/Mizien/claims/CC-008/" TargetMode="External" Id="rId8"/><Relationship Type="http://schemas.openxmlformats.org/officeDocument/2006/relationships/hyperlink" Target="https://leandergrech.github.io/Mizien/claims/CC-009/" TargetMode="External" Id="rId9"/><Relationship Type="http://schemas.openxmlformats.org/officeDocument/2006/relationships/hyperlink" Target="https://leandergrech.github.io/Mizien/claims/CC-010/" TargetMode="External" Id="rId10"/><Relationship Type="http://schemas.openxmlformats.org/officeDocument/2006/relationships/hyperlink" Target="https://leandergrech.github.io/Mizien/claims/CC-011/" TargetMode="External" Id="rId11"/><Relationship Type="http://schemas.openxmlformats.org/officeDocument/2006/relationships/hyperlink" Target="https://leandergrech.github.io/Mizien/claims/CC-012/" TargetMode="External" Id="rId12"/><Relationship Type="http://schemas.openxmlformats.org/officeDocument/2006/relationships/hyperlink" Target="https://leandergrech.github.io/Mizien/claims/CC-013/" TargetMode="External" Id="rId13"/><Relationship Type="http://schemas.openxmlformats.org/officeDocument/2006/relationships/hyperlink" Target="https://leandergrech.github.io/Mizien/claims/CC-014/" TargetMode="External" Id="rId14"/><Relationship Type="http://schemas.openxmlformats.org/officeDocument/2006/relationships/hyperlink" Target="https://leandergrech.github.io/Mizien/claims/CC-015/" TargetMode="External" Id="rId15"/><Relationship Type="http://schemas.openxmlformats.org/officeDocument/2006/relationships/hyperlink" Target="https://leandergrech.github.io/Mizien/claims/CC-016/" TargetMode="External" Id="rId16"/><Relationship Type="http://schemas.openxmlformats.org/officeDocument/2006/relationships/hyperlink" Target="https://leandergrech.github.io/Mizien/claims/CC-017/" TargetMode="External" Id="rId17"/><Relationship Type="http://schemas.openxmlformats.org/officeDocument/2006/relationships/hyperlink" Target="https://leandergrech.github.io/Mizien/claims/CC-018/" TargetMode="External" Id="rId18"/><Relationship Type="http://schemas.openxmlformats.org/officeDocument/2006/relationships/hyperlink" Target="https://leandergrech.github.io/Mizien/claims/CC-019/" TargetMode="External" Id="rId19"/><Relationship Type="http://schemas.openxmlformats.org/officeDocument/2006/relationships/hyperlink" Target="https://leandergrech.github.io/Mizien/claims/CC-020/" TargetMode="External" Id="rId20"/><Relationship Type="http://schemas.openxmlformats.org/officeDocument/2006/relationships/hyperlink" Target="https://leandergrech.github.io/Mizien/claims/CC-021/" TargetMode="External" Id="rId21"/><Relationship Type="http://schemas.openxmlformats.org/officeDocument/2006/relationships/hyperlink" Target="https://leandergrech.github.io/Mizien/claims/CC-022/" TargetMode="External" Id="rId22"/><Relationship Type="http://schemas.openxmlformats.org/officeDocument/2006/relationships/hyperlink" Target="https://leandergrech.github.io/Mizien/claims/CC-023/" TargetMode="External" Id="rId23"/><Relationship Type="http://schemas.openxmlformats.org/officeDocument/2006/relationships/hyperlink" Target="https://leandergrech.github.io/Mizien/claims/CC-024/" TargetMode="External" Id="rId24"/><Relationship Type="http://schemas.openxmlformats.org/officeDocument/2006/relationships/hyperlink" Target="https://leandergrech.github.io/Mizien/claims/CC-025/" TargetMode="External" Id="rId25"/><Relationship Type="http://schemas.openxmlformats.org/officeDocument/2006/relationships/hyperlink" Target="https://leandergrech.github.io/Mizien/claims/CC-026/" TargetMode="External" Id="rId26"/><Relationship Type="http://schemas.openxmlformats.org/officeDocument/2006/relationships/hyperlink" Target="https://leandergrech.github.io/Mizien/claims/CC-027/" TargetMode="External" Id="rId27"/><Relationship Type="http://schemas.openxmlformats.org/officeDocument/2006/relationships/hyperlink" Target="https://leandergrech.github.io/Mizien/claims/CC-028/" TargetMode="External" Id="rId28"/><Relationship Type="http://schemas.openxmlformats.org/officeDocument/2006/relationships/hyperlink" Target="https://leandergrech.github.io/Mizien/claims/CC-029/" TargetMode="External" Id="rId29"/><Relationship Type="http://schemas.openxmlformats.org/officeDocument/2006/relationships/hyperlink" Target="https://leandergrech.github.io/Mizien/claims/CC-030/" TargetMode="External" Id="rId30"/><Relationship Type="http://schemas.openxmlformats.org/officeDocument/2006/relationships/hyperlink" Target="https://leandergrech.github.io/Mizien/claims/CC-031/" TargetMode="External" Id="rId31"/><Relationship Type="http://schemas.openxmlformats.org/officeDocument/2006/relationships/hyperlink" Target="https://leandergrech.github.io/Mizien/claims/CC-032/" TargetMode="External" Id="rId32"/><Relationship Type="http://schemas.openxmlformats.org/officeDocument/2006/relationships/hyperlink" Target="https://leandergrech.github.io/Mizien/claims/CC-033/" TargetMode="External" Id="rId33"/><Relationship Type="http://schemas.openxmlformats.org/officeDocument/2006/relationships/hyperlink" Target="https://leandergrech.github.io/Mizien/claims/CC-034/" TargetMode="External" Id="rId34"/><Relationship Type="http://schemas.openxmlformats.org/officeDocument/2006/relationships/hyperlink" Target="https://leandergrech.github.io/Mizien/claims/CC-035/" TargetMode="External" Id="rId35"/><Relationship Type="http://schemas.openxmlformats.org/officeDocument/2006/relationships/hyperlink" Target="https://leandergrech.github.io/Mizien/claims/CC-036/" TargetMode="External" Id="rId36"/><Relationship Type="http://schemas.openxmlformats.org/officeDocument/2006/relationships/hyperlink" Target="https://leandergrech.github.io/Mizien/claims/CC-037/" TargetMode="External" Id="rId37"/><Relationship Type="http://schemas.openxmlformats.org/officeDocument/2006/relationships/hyperlink" Target="https://leandergrech.github.io/Mizien/claims/CC-038/" TargetMode="External" Id="rId38"/><Relationship Type="http://schemas.openxmlformats.org/officeDocument/2006/relationships/hyperlink" Target="https://leandergrech.github.io/Mizien/claims/CC-039/" TargetMode="External" Id="rId39"/><Relationship Type="http://schemas.openxmlformats.org/officeDocument/2006/relationships/hyperlink" Target="https://leandergrech.github.io/Mizien/claims/CC-040/" TargetMode="External" Id="rId40"/><Relationship Type="http://schemas.openxmlformats.org/officeDocument/2006/relationships/hyperlink" Target="https://leandergrech.github.io/Mizien/claims/CC-041/" TargetMode="External" Id="rId41"/><Relationship Type="http://schemas.openxmlformats.org/officeDocument/2006/relationships/hyperlink" Target="https://leandergrech.github.io/Mizien/claims/CC-042/" TargetMode="External" Id="rId42"/><Relationship Type="http://schemas.openxmlformats.org/officeDocument/2006/relationships/hyperlink" Target="https://leandergrech.github.io/Mizien/claims/CC-043/" TargetMode="External" Id="rId43"/><Relationship Type="http://schemas.openxmlformats.org/officeDocument/2006/relationships/hyperlink" Target="https://leandergrech.github.io/Mizien/claims/CC-044/" TargetMode="External" Id="rId44"/><Relationship Type="http://schemas.openxmlformats.org/officeDocument/2006/relationships/hyperlink" Target="https://leandergrech.github.io/Mizien/claims/CC-045/" TargetMode="External" Id="rId45"/><Relationship Type="http://schemas.openxmlformats.org/officeDocument/2006/relationships/hyperlink" Target="https://leandergrech.github.io/Mizien/claims/CC-046/" TargetMode="External" Id="rId46"/><Relationship Type="http://schemas.openxmlformats.org/officeDocument/2006/relationships/hyperlink" Target="https://leandergrech.github.io/Mizien/claims/CC-047/" TargetMode="External" Id="rId47"/><Relationship Type="http://schemas.openxmlformats.org/officeDocument/2006/relationships/hyperlink" Target="https://leandergrech.github.io/Mizien/claims/CC-048/" TargetMode="External" Id="rId48"/><Relationship Type="http://schemas.openxmlformats.org/officeDocument/2006/relationships/hyperlink" Target="https://leandergrech.github.io/Mizien/claims/CC-049/" TargetMode="External" Id="rId49"/><Relationship Type="http://schemas.openxmlformats.org/officeDocument/2006/relationships/hyperlink" Target="https://leandergrech.github.io/Mizien/claims/CC-050/" TargetMode="External" Id="rId50"/><Relationship Type="http://schemas.openxmlformats.org/officeDocument/2006/relationships/hyperlink" Target="https://leandergrech.github.io/Mizien/claims/CC-051/" TargetMode="External" Id="rId51"/><Relationship Type="http://schemas.openxmlformats.org/officeDocument/2006/relationships/hyperlink" Target="https://leandergrech.github.io/Mizien/claims/CC-052/" TargetMode="External" Id="rId52"/><Relationship Type="http://schemas.openxmlformats.org/officeDocument/2006/relationships/hyperlink" Target="https://leandergrech.github.io/Mizien/claims/CC-053/" TargetMode="External" Id="rId53"/><Relationship Type="http://schemas.openxmlformats.org/officeDocument/2006/relationships/hyperlink" Target="https://leandergrech.github.io/Mizien/claims/CC-054/" TargetMode="External" Id="rId54"/><Relationship Type="http://schemas.openxmlformats.org/officeDocument/2006/relationships/hyperlink" Target="https://leandergrech.github.io/Mizien/claims/CC-055/" TargetMode="External" Id="rId55"/><Relationship Type="http://schemas.openxmlformats.org/officeDocument/2006/relationships/hyperlink" Target="https://leandergrech.github.io/Mizien/claims/CC-056/" TargetMode="External" Id="rId56"/><Relationship Type="http://schemas.openxmlformats.org/officeDocument/2006/relationships/hyperlink" Target="https://leandergrech.github.io/Mizien/claims/CC-057/" TargetMode="External" Id="rId57"/><Relationship Type="http://schemas.openxmlformats.org/officeDocument/2006/relationships/hyperlink" Target="https://leandergrech.github.io/Mizien/claims/CC-058/" TargetMode="External" Id="rId58"/><Relationship Type="http://schemas.openxmlformats.org/officeDocument/2006/relationships/hyperlink" Target="https://leandergrech.github.io/Mizien/claims/CC-059/" TargetMode="External" Id="rId59"/><Relationship Type="http://schemas.openxmlformats.org/officeDocument/2006/relationships/hyperlink" Target="https://leandergrech.github.io/Mizien/claims/CC-060/" TargetMode="External" Id="rId60"/><Relationship Type="http://schemas.openxmlformats.org/officeDocument/2006/relationships/hyperlink" Target="https://leandergrech.github.io/Mizien/claims/CC-061/" TargetMode="External" Id="rId61"/><Relationship Type="http://schemas.openxmlformats.org/officeDocument/2006/relationships/hyperlink" Target="https://leandergrech.github.io/Mizien/claims/CC-062/" TargetMode="External" Id="rId62"/><Relationship Type="http://schemas.openxmlformats.org/officeDocument/2006/relationships/hyperlink" Target="https://leandergrech.github.io/Mizien/claims/CC-063/" TargetMode="External" Id="rId63"/><Relationship Type="http://schemas.openxmlformats.org/officeDocument/2006/relationships/hyperlink" Target="https://leandergrech.github.io/Mizien/claims/CC-064/" TargetMode="External" Id="rId64"/><Relationship Type="http://schemas.openxmlformats.org/officeDocument/2006/relationships/hyperlink" Target="https://leandergrech.github.io/Mizien/claims/CC-065/" TargetMode="External" Id="rId65"/><Relationship Type="http://schemas.openxmlformats.org/officeDocument/2006/relationships/hyperlink" Target="https://leandergrech.github.io/Mizien/claims/CC-066/" TargetMode="External" Id="rId66"/><Relationship Type="http://schemas.openxmlformats.org/officeDocument/2006/relationships/hyperlink" Target="https://leandergrech.github.io/Mizien/claims/CC-067/" TargetMode="External" Id="rId67"/><Relationship Type="http://schemas.openxmlformats.org/officeDocument/2006/relationships/hyperlink" Target="https://leandergrech.github.io/Mizien/claims/CC-068/" TargetMode="External" Id="rId68"/><Relationship Type="http://schemas.openxmlformats.org/officeDocument/2006/relationships/hyperlink" Target="https://leandergrech.github.io/Mizien/claims/CC-069/" TargetMode="External" Id="rId69"/><Relationship Type="http://schemas.openxmlformats.org/officeDocument/2006/relationships/hyperlink" Target="https://leandergrech.github.io/Mizien/claims/CC-070/" TargetMode="External" Id="rId70"/><Relationship Type="http://schemas.openxmlformats.org/officeDocument/2006/relationships/hyperlink" Target="https://leandergrech.github.io/Mizien/claims/CC-071/" TargetMode="External" Id="rId71"/><Relationship Type="http://schemas.openxmlformats.org/officeDocument/2006/relationships/hyperlink" Target="https://leandergrech.github.io/Mizien/claims/CC-072/" TargetMode="External" Id="rId72"/><Relationship Type="http://schemas.openxmlformats.org/officeDocument/2006/relationships/hyperlink" Target="https://leandergrech.github.io/Mizien/claims/CC-073/" TargetMode="External" Id="rId73"/><Relationship Type="http://schemas.openxmlformats.org/officeDocument/2006/relationships/hyperlink" Target="https://leandergrech.github.io/Mizien/claims/CC-074/" TargetMode="External" Id="rId74"/><Relationship Type="http://schemas.openxmlformats.org/officeDocument/2006/relationships/hyperlink" Target="https://leandergrech.github.io/Mizien/claims/CC-075/" TargetMode="External" Id="rId75"/><Relationship Type="http://schemas.openxmlformats.org/officeDocument/2006/relationships/hyperlink" Target="https://leandergrech.github.io/Mizien/claims/CC-076/" TargetMode="External" Id="rId76"/><Relationship Type="http://schemas.openxmlformats.org/officeDocument/2006/relationships/hyperlink" Target="https://leandergrech.github.io/Mizien/claims/CC-077/" TargetMode="External" Id="rId77"/><Relationship Type="http://schemas.openxmlformats.org/officeDocument/2006/relationships/hyperlink" Target="https://leandergrech.github.io/Mizien/claims/CC-078/" TargetMode="External" Id="rId78"/><Relationship Type="http://schemas.openxmlformats.org/officeDocument/2006/relationships/hyperlink" Target="https://leandergrech.github.io/Mizien/claims/CC-079/" TargetMode="External" Id="rId79"/><Relationship Type="http://schemas.openxmlformats.org/officeDocument/2006/relationships/hyperlink" Target="https://leandergrech.github.io/Mizien/claims/CC-080/" TargetMode="External" Id="rId80"/><Relationship Type="http://schemas.openxmlformats.org/officeDocument/2006/relationships/hyperlink" Target="https://leandergrech.github.io/Mizien/claims/CC-081/" TargetMode="External" Id="rId81"/><Relationship Type="http://schemas.openxmlformats.org/officeDocument/2006/relationships/hyperlink" Target="https://leandergrech.github.io/Mizien/claims/CC-082/" TargetMode="External" Id="rId82"/><Relationship Type="http://schemas.openxmlformats.org/officeDocument/2006/relationships/hyperlink" Target="https://leandergrech.github.io/Mizien/claims/CC-083/" TargetMode="External" Id="rId83"/><Relationship Type="http://schemas.openxmlformats.org/officeDocument/2006/relationships/hyperlink" Target="https://leandergrech.github.io/Mizien/claims/CC-084/" TargetMode="External" Id="rId84"/><Relationship Type="http://schemas.openxmlformats.org/officeDocument/2006/relationships/hyperlink" Target="https://leandergrech.github.io/Mizien/claims/CC-085/" TargetMode="External" Id="rId85"/><Relationship Type="http://schemas.openxmlformats.org/officeDocument/2006/relationships/hyperlink" Target="https://leandergrech.github.io/Mizien/claims/CC-086/" TargetMode="External" Id="rId86"/><Relationship Type="http://schemas.openxmlformats.org/officeDocument/2006/relationships/hyperlink" Target="https://leandergrech.github.io/Mizien/claims/CC-087/" TargetMode="External" Id="rId87"/><Relationship Type="http://schemas.openxmlformats.org/officeDocument/2006/relationships/hyperlink" Target="https://leandergrech.github.io/Mizien/claims/CC-088/" TargetMode="External" Id="rId88"/><Relationship Type="http://schemas.openxmlformats.org/officeDocument/2006/relationships/hyperlink" Target="https://leandergrech.github.io/Mizien/claims/CC-089/" TargetMode="External" Id="rId89"/><Relationship Type="http://schemas.openxmlformats.org/officeDocument/2006/relationships/hyperlink" Target="https://leandergrech.github.io/Mizien/claims/CC-090/" TargetMode="External" Id="rId90"/><Relationship Type="http://schemas.openxmlformats.org/officeDocument/2006/relationships/hyperlink" Target="https://leandergrech.github.io/Mizien/claims/CC-091/" TargetMode="External" Id="rId91"/><Relationship Type="http://schemas.openxmlformats.org/officeDocument/2006/relationships/hyperlink" Target="https://leandergrech.github.io/Mizien/claims/CC-092/" TargetMode="External" Id="rId92"/><Relationship Type="http://schemas.openxmlformats.org/officeDocument/2006/relationships/hyperlink" Target="https://leandergrech.github.io/Mizien/claims/CC-093/" TargetMode="External" Id="rId93"/><Relationship Type="http://schemas.openxmlformats.org/officeDocument/2006/relationships/hyperlink" Target="https://leandergrech.github.io/Mizien/claims/CC-094/" TargetMode="External" Id="rId94"/><Relationship Type="http://schemas.openxmlformats.org/officeDocument/2006/relationships/hyperlink" Target="https://leandergrech.github.io/Mizien/claims/CC-095/" TargetMode="External" Id="rId95"/><Relationship Type="http://schemas.openxmlformats.org/officeDocument/2006/relationships/hyperlink" Target="https://leandergrech.github.io/Mizien/claims/CC-096/" TargetMode="External" Id="rId96"/><Relationship Type="http://schemas.openxmlformats.org/officeDocument/2006/relationships/hyperlink" Target="https://leandergrech.github.io/Mizien/claims/CC-097/" TargetMode="External" Id="rId97"/><Relationship Type="http://schemas.openxmlformats.org/officeDocument/2006/relationships/hyperlink" Target="https://leandergrech.github.io/Mizien/claims/CC-098/" TargetMode="External" Id="rId98"/><Relationship Type="http://schemas.openxmlformats.org/officeDocument/2006/relationships/hyperlink" Target="https://leandergrech.github.io/Mizien/claims/CC-099/" TargetMode="External" Id="rId99"/><Relationship Type="http://schemas.openxmlformats.org/officeDocument/2006/relationships/hyperlink" Target="https://leandergrech.github.io/Mizien/claims/CC-100/" TargetMode="External" Id="rId100"/><Relationship Type="http://schemas.openxmlformats.org/officeDocument/2006/relationships/hyperlink" Target="https://leandergrech.github.io/Mizien/claims/CC-101/" TargetMode="External" Id="rId101"/><Relationship Type="http://schemas.openxmlformats.org/officeDocument/2006/relationships/hyperlink" Target="https://leandergrech.github.io/Mizien/claims/CC-102/" TargetMode="External" Id="rId102"/><Relationship Type="http://schemas.openxmlformats.org/officeDocument/2006/relationships/hyperlink" Target="https://leandergrech.github.io/Mizien/claims/CC-103/" TargetMode="External" Id="rId103"/><Relationship Type="http://schemas.openxmlformats.org/officeDocument/2006/relationships/hyperlink" Target="https://leandergrech.github.io/Mizien/claims/CC-104/" TargetMode="External" Id="rId104"/><Relationship Type="http://schemas.openxmlformats.org/officeDocument/2006/relationships/hyperlink" Target="https://leandergrech.github.io/Mizien/claims/CC-105/" TargetMode="External" Id="rId105"/><Relationship Type="http://schemas.openxmlformats.org/officeDocument/2006/relationships/hyperlink" Target="https://leandergrech.github.io/Mizien/claims/CC-106/" TargetMode="External" Id="rId106"/><Relationship Type="http://schemas.openxmlformats.org/officeDocument/2006/relationships/hyperlink" Target="https://leandergrech.github.io/Mizien/claims/CC-107/" TargetMode="External" Id="rId107"/><Relationship Type="http://schemas.openxmlformats.org/officeDocument/2006/relationships/hyperlink" Target="https://leandergrech.github.io/Mizien/claims/CC-108/" TargetMode="External" Id="rId108"/><Relationship Type="http://schemas.openxmlformats.org/officeDocument/2006/relationships/hyperlink" Target="https://leandergrech.github.io/Mizien/claims/CC-109/" TargetMode="External" Id="rId109"/><Relationship Type="http://schemas.openxmlformats.org/officeDocument/2006/relationships/hyperlink" Target="https://leandergrech.github.io/Mizien/claims/CC-110/" TargetMode="External" Id="rId110"/><Relationship Type="http://schemas.openxmlformats.org/officeDocument/2006/relationships/hyperlink" Target="https://leandergrech.github.io/Mizien/claims/CC-111/" TargetMode="External" Id="rId111"/><Relationship Type="http://schemas.openxmlformats.org/officeDocument/2006/relationships/hyperlink" Target="https://leandergrech.github.io/Mizien/claims/CC-112/" TargetMode="External" Id="rId112"/><Relationship Type="http://schemas.openxmlformats.org/officeDocument/2006/relationships/hyperlink" Target="https://leandergrech.github.io/Mizien/claims/CC-113/" TargetMode="External" Id="rId113"/><Relationship Type="http://schemas.openxmlformats.org/officeDocument/2006/relationships/hyperlink" Target="https://leandergrech.github.io/Mizien/claims/CC-114/" TargetMode="External" Id="rId114"/><Relationship Type="http://schemas.openxmlformats.org/officeDocument/2006/relationships/hyperlink" Target="https://leandergrech.github.io/Mizien/claims/CC-115/" TargetMode="External" Id="rId115"/><Relationship Type="http://schemas.openxmlformats.org/officeDocument/2006/relationships/hyperlink" Target="https://leandergrech.github.io/Mizien/claims/CC-116/" TargetMode="External" Id="rId116"/></Relationships>
</file>

<file path=xl/worksheets/_rels/sheet3.xml.rels><Relationships xmlns="http://schemas.openxmlformats.org/package/2006/relationships"><Relationship Type="http://schemas.openxmlformats.org/officeDocument/2006/relationships/hyperlink" Target="https://leandergrech.github.io/Mizien/claims/CC-002/" TargetMode="External" Id="rId1"/><Relationship Type="http://schemas.openxmlformats.org/officeDocument/2006/relationships/hyperlink" Target="https://leandergrech.github.io/Mizien/claims/CC-002/" TargetMode="External" Id="rId2"/><Relationship Type="http://schemas.openxmlformats.org/officeDocument/2006/relationships/hyperlink" Target="https://leandergrech.github.io/Mizien/claims/CC-002/" TargetMode="External" Id="rId3"/><Relationship Type="http://schemas.openxmlformats.org/officeDocument/2006/relationships/hyperlink" Target="https://leandergrech.github.io/Mizien/claims/CC-002/" TargetMode="External" Id="rId4"/><Relationship Type="http://schemas.openxmlformats.org/officeDocument/2006/relationships/hyperlink" Target="https://leandergrech.github.io/Mizien/claims/CC-003/" TargetMode="External" Id="rId5"/><Relationship Type="http://schemas.openxmlformats.org/officeDocument/2006/relationships/hyperlink" Target="https://leandergrech.github.io/Mizien/claims/CC-003/" TargetMode="External" Id="rId6"/><Relationship Type="http://schemas.openxmlformats.org/officeDocument/2006/relationships/hyperlink" Target="https://leandergrech.github.io/Mizien/claims/CC-003/" TargetMode="External" Id="rId7"/><Relationship Type="http://schemas.openxmlformats.org/officeDocument/2006/relationships/hyperlink" Target="https://leandergrech.github.io/Mizien/claims/CC-003/" TargetMode="External" Id="rId8"/><Relationship Type="http://schemas.openxmlformats.org/officeDocument/2006/relationships/hyperlink" Target="https://leandergrech.github.io/Mizien/claims/CC-003/" TargetMode="External" Id="rId9"/><Relationship Type="http://schemas.openxmlformats.org/officeDocument/2006/relationships/hyperlink" Target="https://leandergrech.github.io/Mizien/claims/CC-003/" TargetMode="External" Id="rId10"/><Relationship Type="http://schemas.openxmlformats.org/officeDocument/2006/relationships/hyperlink" Target="https://leandergrech.github.io/Mizien/claims/CC-003/" TargetMode="External" Id="rId11"/><Relationship Type="http://schemas.openxmlformats.org/officeDocument/2006/relationships/hyperlink" Target="https://leandergrech.github.io/Mizien/claims/CC-003/" TargetMode="External" Id="rId12"/><Relationship Type="http://schemas.openxmlformats.org/officeDocument/2006/relationships/hyperlink" Target="https://leandergrech.github.io/Mizien/claims/CC-003/" TargetMode="External" Id="rId13"/><Relationship Type="http://schemas.openxmlformats.org/officeDocument/2006/relationships/hyperlink" Target="https://leandergrech.github.io/Mizien/claims/CC-003/" TargetMode="External" Id="rId14"/><Relationship Type="http://schemas.openxmlformats.org/officeDocument/2006/relationships/hyperlink" Target="https://leandergrech.github.io/Mizien/claims/CC-003/" TargetMode="External" Id="rId15"/><Relationship Type="http://schemas.openxmlformats.org/officeDocument/2006/relationships/hyperlink" Target="https://leandergrech.github.io/Mizien/claims/CC-003/" TargetMode="External" Id="rId16"/><Relationship Type="http://schemas.openxmlformats.org/officeDocument/2006/relationships/hyperlink" Target="https://leandergrech.github.io/Mizien/claims/CC-003/" TargetMode="External" Id="rId17"/><Relationship Type="http://schemas.openxmlformats.org/officeDocument/2006/relationships/hyperlink" Target="https://leandergrech.github.io/Mizien/claims/CC-003/" TargetMode="External" Id="rId18"/><Relationship Type="http://schemas.openxmlformats.org/officeDocument/2006/relationships/hyperlink" Target="https://leandergrech.github.io/Mizien/claims/CC-003/" TargetMode="External" Id="rId19"/><Relationship Type="http://schemas.openxmlformats.org/officeDocument/2006/relationships/hyperlink" Target="https://leandergrech.github.io/Mizien/claims/CC-003/" TargetMode="External" Id="rId20"/><Relationship Type="http://schemas.openxmlformats.org/officeDocument/2006/relationships/hyperlink" Target="https://leandergrech.github.io/Mizien/claims/CC-003/" TargetMode="External" Id="rId21"/><Relationship Type="http://schemas.openxmlformats.org/officeDocument/2006/relationships/hyperlink" Target="https://leandergrech.github.io/Mizien/claims/CC-003/" TargetMode="External" Id="rId22"/><Relationship Type="http://schemas.openxmlformats.org/officeDocument/2006/relationships/hyperlink" Target="https://leandergrech.github.io/Mizien/claims/CC-003/" TargetMode="External" Id="rId23"/><Relationship Type="http://schemas.openxmlformats.org/officeDocument/2006/relationships/hyperlink" Target="https://leandergrech.github.io/Mizien/claims/CC-003/" TargetMode="External" Id="rId24"/><Relationship Type="http://schemas.openxmlformats.org/officeDocument/2006/relationships/hyperlink" Target="https://leandergrech.github.io/Mizien/claims/CC-003/" TargetMode="External" Id="rId25"/><Relationship Type="http://schemas.openxmlformats.org/officeDocument/2006/relationships/hyperlink" Target="https://leandergrech.github.io/Mizien/claims/CC-003/" TargetMode="External" Id="rId26"/><Relationship Type="http://schemas.openxmlformats.org/officeDocument/2006/relationships/hyperlink" Target="https://leandergrech.github.io/Mizien/claims/CC-003/" TargetMode="External" Id="rId27"/><Relationship Type="http://schemas.openxmlformats.org/officeDocument/2006/relationships/hyperlink" Target="https://leandergrech.github.io/Mizien/claims/CC-003/" TargetMode="External" Id="rId28"/><Relationship Type="http://schemas.openxmlformats.org/officeDocument/2006/relationships/hyperlink" Target="https://leandergrech.github.io/Mizien/claims/CC-003/" TargetMode="External" Id="rId29"/><Relationship Type="http://schemas.openxmlformats.org/officeDocument/2006/relationships/hyperlink" Target="https://leandergrech.github.io/Mizien/claims/CC-003/" TargetMode="External" Id="rId30"/><Relationship Type="http://schemas.openxmlformats.org/officeDocument/2006/relationships/hyperlink" Target="https://leandergrech.github.io/Mizien/claims/CC-003/" TargetMode="External" Id="rId31"/><Relationship Type="http://schemas.openxmlformats.org/officeDocument/2006/relationships/hyperlink" Target="https://leandergrech.github.io/Mizien/claims/CC-003/" TargetMode="External" Id="rId32"/><Relationship Type="http://schemas.openxmlformats.org/officeDocument/2006/relationships/hyperlink" Target="https://leandergrech.github.io/Mizien/claims/CC-003/" TargetMode="External" Id="rId33"/><Relationship Type="http://schemas.openxmlformats.org/officeDocument/2006/relationships/hyperlink" Target="https://leandergrech.github.io/Mizien/claims/CC-003/" TargetMode="External" Id="rId34"/><Relationship Type="http://schemas.openxmlformats.org/officeDocument/2006/relationships/hyperlink" Target="https://leandergrech.github.io/Mizien/claims/CC-003/" TargetMode="External" Id="rId35"/><Relationship Type="http://schemas.openxmlformats.org/officeDocument/2006/relationships/hyperlink" Target="https://leandergrech.github.io/Mizien/claims/CC-003/" TargetMode="External" Id="rId36"/><Relationship Type="http://schemas.openxmlformats.org/officeDocument/2006/relationships/hyperlink" Target="https://leandergrech.github.io/Mizien/claims/CC-003/" TargetMode="External" Id="rId37"/><Relationship Type="http://schemas.openxmlformats.org/officeDocument/2006/relationships/hyperlink" Target="https://leandergrech.github.io/Mizien/claims/CC-003/" TargetMode="External" Id="rId38"/><Relationship Type="http://schemas.openxmlformats.org/officeDocument/2006/relationships/hyperlink" Target="https://leandergrech.github.io/Mizien/claims/CC-003/" TargetMode="External" Id="rId39"/><Relationship Type="http://schemas.openxmlformats.org/officeDocument/2006/relationships/hyperlink" Target="https://leandergrech.github.io/Mizien/claims/CC-003/" TargetMode="External" Id="rId40"/><Relationship Type="http://schemas.openxmlformats.org/officeDocument/2006/relationships/hyperlink" Target="https://leandergrech.github.io/Mizien/claims/CC-003/" TargetMode="External" Id="rId41"/><Relationship Type="http://schemas.openxmlformats.org/officeDocument/2006/relationships/hyperlink" Target="https://leandergrech.github.io/Mizien/claims/CC-003/" TargetMode="External" Id="rId42"/><Relationship Type="http://schemas.openxmlformats.org/officeDocument/2006/relationships/hyperlink" Target="https://leandergrech.github.io/Mizien/claims/CC-003/" TargetMode="External" Id="rId43"/><Relationship Type="http://schemas.openxmlformats.org/officeDocument/2006/relationships/hyperlink" Target="https://leandergrech.github.io/Mizien/claims/CC-003/" TargetMode="External" Id="rId44"/><Relationship Type="http://schemas.openxmlformats.org/officeDocument/2006/relationships/hyperlink" Target="https://leandergrech.github.io/Mizien/claims/CC-003/" TargetMode="External" Id="rId45"/><Relationship Type="http://schemas.openxmlformats.org/officeDocument/2006/relationships/hyperlink" Target="https://leandergrech.github.io/Mizien/claims/CC-003/" TargetMode="External" Id="rId46"/><Relationship Type="http://schemas.openxmlformats.org/officeDocument/2006/relationships/hyperlink" Target="https://leandergrech.github.io/Mizien/claims/CC-003/" TargetMode="External" Id="rId47"/><Relationship Type="http://schemas.openxmlformats.org/officeDocument/2006/relationships/hyperlink" Target="https://leandergrech.github.io/Mizien/claims/CC-003/" TargetMode="External" Id="rId48"/><Relationship Type="http://schemas.openxmlformats.org/officeDocument/2006/relationships/hyperlink" Target="https://leandergrech.github.io/Mizien/claims/CC-003/" TargetMode="External" Id="rId49"/><Relationship Type="http://schemas.openxmlformats.org/officeDocument/2006/relationships/hyperlink" Target="https://leandergrech.github.io/Mizien/claims/CC-003/" TargetMode="External" Id="rId50"/><Relationship Type="http://schemas.openxmlformats.org/officeDocument/2006/relationships/hyperlink" Target="https://leandergrech.github.io/Mizien/claims/CC-003/" TargetMode="External" Id="rId51"/><Relationship Type="http://schemas.openxmlformats.org/officeDocument/2006/relationships/hyperlink" Target="https://leandergrech.github.io/Mizien/claims/CC-003/" TargetMode="External" Id="rId52"/><Relationship Type="http://schemas.openxmlformats.org/officeDocument/2006/relationships/hyperlink" Target="https://leandergrech.github.io/Mizien/claims/CC-003/" TargetMode="External" Id="rId53"/><Relationship Type="http://schemas.openxmlformats.org/officeDocument/2006/relationships/hyperlink" Target="https://leandergrech.github.io/Mizien/claims/CC-003/" TargetMode="External" Id="rId54"/><Relationship Type="http://schemas.openxmlformats.org/officeDocument/2006/relationships/hyperlink" Target="https://leandergrech.github.io/Mizien/claims/CC-003/" TargetMode="External" Id="rId55"/><Relationship Type="http://schemas.openxmlformats.org/officeDocument/2006/relationships/hyperlink" Target="https://leandergrech.github.io/Mizien/claims/CC-003/" TargetMode="External" Id="rId56"/><Relationship Type="http://schemas.openxmlformats.org/officeDocument/2006/relationships/hyperlink" Target="https://leandergrech.github.io/Mizien/claims/CC-003/" TargetMode="External" Id="rId57"/><Relationship Type="http://schemas.openxmlformats.org/officeDocument/2006/relationships/hyperlink" Target="https://leandergrech.github.io/Mizien/claims/CC-003/" TargetMode="External" Id="rId58"/><Relationship Type="http://schemas.openxmlformats.org/officeDocument/2006/relationships/hyperlink" Target="https://leandergrech.github.io/Mizien/claims/CC-003/" TargetMode="External" Id="rId59"/><Relationship Type="http://schemas.openxmlformats.org/officeDocument/2006/relationships/hyperlink" Target="https://leandergrech.github.io/Mizien/claims/CC-003/" TargetMode="External" Id="rId60"/><Relationship Type="http://schemas.openxmlformats.org/officeDocument/2006/relationships/hyperlink" Target="https://leandergrech.github.io/Mizien/claims/CC-003/" TargetMode="External" Id="rId61"/><Relationship Type="http://schemas.openxmlformats.org/officeDocument/2006/relationships/hyperlink" Target="https://leandergrech.github.io/Mizien/claims/CC-003/" TargetMode="External" Id="rId62"/><Relationship Type="http://schemas.openxmlformats.org/officeDocument/2006/relationships/hyperlink" Target="https://leandergrech.github.io/Mizien/claims/CC-003/" TargetMode="External" Id="rId63"/><Relationship Type="http://schemas.openxmlformats.org/officeDocument/2006/relationships/hyperlink" Target="https://leandergrech.github.io/Mizien/claims/CC-004/" TargetMode="External" Id="rId64"/><Relationship Type="http://schemas.openxmlformats.org/officeDocument/2006/relationships/hyperlink" Target="https://leandergrech.github.io/Mizien/claims/CC-004/" TargetMode="External" Id="rId65"/><Relationship Type="http://schemas.openxmlformats.org/officeDocument/2006/relationships/hyperlink" Target="https://leandergrech.github.io/Mizien/claims/CC-004/" TargetMode="External" Id="rId66"/><Relationship Type="http://schemas.openxmlformats.org/officeDocument/2006/relationships/hyperlink" Target="https://leandergrech.github.io/Mizien/claims/CC-004/" TargetMode="External" Id="rId67"/><Relationship Type="http://schemas.openxmlformats.org/officeDocument/2006/relationships/hyperlink" Target="https://leandergrech.github.io/Mizien/claims/CC-004/" TargetMode="External" Id="rId68"/><Relationship Type="http://schemas.openxmlformats.org/officeDocument/2006/relationships/hyperlink" Target="https://leandergrech.github.io/Mizien/claims/CC-004/" TargetMode="External" Id="rId69"/><Relationship Type="http://schemas.openxmlformats.org/officeDocument/2006/relationships/hyperlink" Target="https://leandergrech.github.io/Mizien/claims/CC-004/" TargetMode="External" Id="rId70"/><Relationship Type="http://schemas.openxmlformats.org/officeDocument/2006/relationships/hyperlink" Target="https://leandergrech.github.io/Mizien/claims/CC-004/" TargetMode="External" Id="rId71"/><Relationship Type="http://schemas.openxmlformats.org/officeDocument/2006/relationships/hyperlink" Target="https://leandergrech.github.io/Mizien/claims/CC-004/" TargetMode="External" Id="rId72"/><Relationship Type="http://schemas.openxmlformats.org/officeDocument/2006/relationships/hyperlink" Target="https://leandergrech.github.io/Mizien/claims/CC-004/" TargetMode="External" Id="rId73"/><Relationship Type="http://schemas.openxmlformats.org/officeDocument/2006/relationships/hyperlink" Target="https://leandergrech.github.io/Mizien/claims/CC-004/" TargetMode="External" Id="rId74"/><Relationship Type="http://schemas.openxmlformats.org/officeDocument/2006/relationships/hyperlink" Target="https://leandergrech.github.io/Mizien/claims/CC-004/" TargetMode="External" Id="rId75"/><Relationship Type="http://schemas.openxmlformats.org/officeDocument/2006/relationships/hyperlink" Target="https://leandergrech.github.io/Mizien/claims/CC-004/" TargetMode="External" Id="rId76"/><Relationship Type="http://schemas.openxmlformats.org/officeDocument/2006/relationships/hyperlink" Target="https://leandergrech.github.io/Mizien/claims/CC-004/" TargetMode="External" Id="rId77"/><Relationship Type="http://schemas.openxmlformats.org/officeDocument/2006/relationships/hyperlink" Target="https://leandergrech.github.io/Mizien/claims/CC-004/" TargetMode="External" Id="rId78"/><Relationship Type="http://schemas.openxmlformats.org/officeDocument/2006/relationships/hyperlink" Target="https://leandergrech.github.io/Mizien/claims/CC-004/" TargetMode="External" Id="rId79"/><Relationship Type="http://schemas.openxmlformats.org/officeDocument/2006/relationships/hyperlink" Target="https://leandergrech.github.io/Mizien/claims/CC-004/" TargetMode="External" Id="rId80"/><Relationship Type="http://schemas.openxmlformats.org/officeDocument/2006/relationships/hyperlink" Target="https://leandergrech.github.io/Mizien/claims/CC-004/" TargetMode="External" Id="rId81"/><Relationship Type="http://schemas.openxmlformats.org/officeDocument/2006/relationships/hyperlink" Target="https://leandergrech.github.io/Mizien/claims/CC-004/" TargetMode="External" Id="rId82"/><Relationship Type="http://schemas.openxmlformats.org/officeDocument/2006/relationships/hyperlink" Target="https://leandergrech.github.io/Mizien/claims/CC-004/" TargetMode="External" Id="rId83"/><Relationship Type="http://schemas.openxmlformats.org/officeDocument/2006/relationships/hyperlink" Target="https://leandergrech.github.io/Mizien/claims/CC-004/" TargetMode="External" Id="rId84"/><Relationship Type="http://schemas.openxmlformats.org/officeDocument/2006/relationships/hyperlink" Target="https://leandergrech.github.io/Mizien/claims/CC-004/" TargetMode="External" Id="rId85"/><Relationship Type="http://schemas.openxmlformats.org/officeDocument/2006/relationships/hyperlink" Target="https://leandergrech.github.io/Mizien/claims/CC-004/" TargetMode="External" Id="rId86"/><Relationship Type="http://schemas.openxmlformats.org/officeDocument/2006/relationships/hyperlink" Target="https://leandergrech.github.io/Mizien/claims/CC-004/" TargetMode="External" Id="rId87"/><Relationship Type="http://schemas.openxmlformats.org/officeDocument/2006/relationships/hyperlink" Target="https://leandergrech.github.io/Mizien/claims/CC-004/" TargetMode="External" Id="rId88"/><Relationship Type="http://schemas.openxmlformats.org/officeDocument/2006/relationships/hyperlink" Target="https://leandergrech.github.io/Mizien/claims/CC-004/" TargetMode="External" Id="rId89"/><Relationship Type="http://schemas.openxmlformats.org/officeDocument/2006/relationships/hyperlink" Target="https://leandergrech.github.io/Mizien/claims/CC-004/" TargetMode="External" Id="rId90"/><Relationship Type="http://schemas.openxmlformats.org/officeDocument/2006/relationships/hyperlink" Target="https://leandergrech.github.io/Mizien/claims/CC-004/" TargetMode="External" Id="rId91"/><Relationship Type="http://schemas.openxmlformats.org/officeDocument/2006/relationships/hyperlink" Target="https://leandergrech.github.io/Mizien/claims/CC-006/" TargetMode="External" Id="rId92"/><Relationship Type="http://schemas.openxmlformats.org/officeDocument/2006/relationships/hyperlink" Target="https://leandergrech.github.io/Mizien/claims/CC-006/" TargetMode="External" Id="rId93"/><Relationship Type="http://schemas.openxmlformats.org/officeDocument/2006/relationships/hyperlink" Target="https://leandergrech.github.io/Mizien/claims/CC-007/" TargetMode="External" Id="rId94"/><Relationship Type="http://schemas.openxmlformats.org/officeDocument/2006/relationships/hyperlink" Target="https://leandergrech.github.io/Mizien/claims/CC-007/" TargetMode="External" Id="rId95"/><Relationship Type="http://schemas.openxmlformats.org/officeDocument/2006/relationships/hyperlink" Target="https://leandergrech.github.io/Mizien/claims/CC-007/" TargetMode="External" Id="rId96"/><Relationship Type="http://schemas.openxmlformats.org/officeDocument/2006/relationships/hyperlink" Target="https://leandergrech.github.io/Mizien/claims/CC-007/" TargetMode="External" Id="rId97"/><Relationship Type="http://schemas.openxmlformats.org/officeDocument/2006/relationships/hyperlink" Target="https://leandergrech.github.io/Mizien/claims/CC-007/" TargetMode="External" Id="rId98"/><Relationship Type="http://schemas.openxmlformats.org/officeDocument/2006/relationships/hyperlink" Target="https://leandergrech.github.io/Mizien/claims/CC-007/" TargetMode="External" Id="rId99"/><Relationship Type="http://schemas.openxmlformats.org/officeDocument/2006/relationships/hyperlink" Target="https://leandergrech.github.io/Mizien/claims/CC-007/" TargetMode="External" Id="rId100"/><Relationship Type="http://schemas.openxmlformats.org/officeDocument/2006/relationships/hyperlink" Target="https://leandergrech.github.io/Mizien/claims/CC-007/" TargetMode="External" Id="rId101"/><Relationship Type="http://schemas.openxmlformats.org/officeDocument/2006/relationships/hyperlink" Target="https://leandergrech.github.io/Mizien/claims/CC-007/" TargetMode="External" Id="rId102"/><Relationship Type="http://schemas.openxmlformats.org/officeDocument/2006/relationships/hyperlink" Target="https://leandergrech.github.io/Mizien/claims/CC-007/" TargetMode="External" Id="rId103"/><Relationship Type="http://schemas.openxmlformats.org/officeDocument/2006/relationships/hyperlink" Target="https://leandergrech.github.io/Mizien/claims/CC-007/" TargetMode="External" Id="rId104"/><Relationship Type="http://schemas.openxmlformats.org/officeDocument/2006/relationships/hyperlink" Target="https://leandergrech.github.io/Mizien/claims/CC-007/" TargetMode="External" Id="rId105"/><Relationship Type="http://schemas.openxmlformats.org/officeDocument/2006/relationships/hyperlink" Target="https://leandergrech.github.io/Mizien/claims/CC-008/" TargetMode="External" Id="rId106"/><Relationship Type="http://schemas.openxmlformats.org/officeDocument/2006/relationships/hyperlink" Target="https://leandergrech.github.io/Mizien/claims/CC-008/" TargetMode="External" Id="rId107"/><Relationship Type="http://schemas.openxmlformats.org/officeDocument/2006/relationships/hyperlink" Target="https://leandergrech.github.io/Mizien/claims/CC-008/" TargetMode="External" Id="rId108"/><Relationship Type="http://schemas.openxmlformats.org/officeDocument/2006/relationships/hyperlink" Target="https://leandergrech.github.io/Mizien/claims/CC-008/" TargetMode="External" Id="rId109"/><Relationship Type="http://schemas.openxmlformats.org/officeDocument/2006/relationships/hyperlink" Target="https://leandergrech.github.io/Mizien/claims/CC-008/" TargetMode="External" Id="rId110"/><Relationship Type="http://schemas.openxmlformats.org/officeDocument/2006/relationships/hyperlink" Target="https://leandergrech.github.io/Mizien/claims/CC-008/" TargetMode="External" Id="rId111"/><Relationship Type="http://schemas.openxmlformats.org/officeDocument/2006/relationships/hyperlink" Target="https://leandergrech.github.io/Mizien/claims/CC-008/" TargetMode="External" Id="rId112"/><Relationship Type="http://schemas.openxmlformats.org/officeDocument/2006/relationships/hyperlink" Target="https://leandergrech.github.io/Mizien/claims/CC-008/" TargetMode="External" Id="rId113"/><Relationship Type="http://schemas.openxmlformats.org/officeDocument/2006/relationships/hyperlink" Target="https://leandergrech.github.io/Mizien/claims/CC-008/" TargetMode="External" Id="rId114"/><Relationship Type="http://schemas.openxmlformats.org/officeDocument/2006/relationships/hyperlink" Target="https://leandergrech.github.io/Mizien/claims/CC-008/" TargetMode="External" Id="rId115"/><Relationship Type="http://schemas.openxmlformats.org/officeDocument/2006/relationships/hyperlink" Target="https://leandergrech.github.io/Mizien/claims/CC-008/" TargetMode="External" Id="rId116"/><Relationship Type="http://schemas.openxmlformats.org/officeDocument/2006/relationships/hyperlink" Target="https://leandergrech.github.io/Mizien/claims/CC-008/" TargetMode="External" Id="rId117"/><Relationship Type="http://schemas.openxmlformats.org/officeDocument/2006/relationships/hyperlink" Target="https://leandergrech.github.io/Mizien/claims/CC-008/" TargetMode="External" Id="rId118"/><Relationship Type="http://schemas.openxmlformats.org/officeDocument/2006/relationships/hyperlink" Target="https://leandergrech.github.io/Mizien/claims/CC-009/" TargetMode="External" Id="rId119"/><Relationship Type="http://schemas.openxmlformats.org/officeDocument/2006/relationships/hyperlink" Target="https://leandergrech.github.io/Mizien/claims/CC-009/" TargetMode="External" Id="rId120"/><Relationship Type="http://schemas.openxmlformats.org/officeDocument/2006/relationships/hyperlink" Target="https://leandergrech.github.io/Mizien/claims/CC-009/" TargetMode="External" Id="rId121"/><Relationship Type="http://schemas.openxmlformats.org/officeDocument/2006/relationships/hyperlink" Target="https://leandergrech.github.io/Mizien/claims/CC-009/" TargetMode="External" Id="rId122"/><Relationship Type="http://schemas.openxmlformats.org/officeDocument/2006/relationships/hyperlink" Target="https://leandergrech.github.io/Mizien/claims/CC-009/" TargetMode="External" Id="rId123"/><Relationship Type="http://schemas.openxmlformats.org/officeDocument/2006/relationships/hyperlink" Target="https://leandergrech.github.io/Mizien/claims/CC-009/" TargetMode="External" Id="rId124"/><Relationship Type="http://schemas.openxmlformats.org/officeDocument/2006/relationships/hyperlink" Target="https://leandergrech.github.io/Mizien/claims/CC-009/" TargetMode="External" Id="rId125"/><Relationship Type="http://schemas.openxmlformats.org/officeDocument/2006/relationships/hyperlink" Target="https://leandergrech.github.io/Mizien/claims/CC-009/" TargetMode="External" Id="rId126"/><Relationship Type="http://schemas.openxmlformats.org/officeDocument/2006/relationships/hyperlink" Target="https://leandergrech.github.io/Mizien/claims/CC-009/" TargetMode="External" Id="rId127"/><Relationship Type="http://schemas.openxmlformats.org/officeDocument/2006/relationships/hyperlink" Target="https://leandergrech.github.io/Mizien/claims/CC-009/" TargetMode="External" Id="rId128"/><Relationship Type="http://schemas.openxmlformats.org/officeDocument/2006/relationships/hyperlink" Target="https://leandergrech.github.io/Mizien/claims/CC-009/" TargetMode="External" Id="rId129"/><Relationship Type="http://schemas.openxmlformats.org/officeDocument/2006/relationships/hyperlink" Target="https://leandergrech.github.io/Mizien/claims/CC-009/" TargetMode="External" Id="rId130"/><Relationship Type="http://schemas.openxmlformats.org/officeDocument/2006/relationships/hyperlink" Target="https://leandergrech.github.io/Mizien/claims/CC-009/" TargetMode="External" Id="rId131"/><Relationship Type="http://schemas.openxmlformats.org/officeDocument/2006/relationships/hyperlink" Target="https://leandergrech.github.io/Mizien/claims/CC-009/" TargetMode="External" Id="rId132"/><Relationship Type="http://schemas.openxmlformats.org/officeDocument/2006/relationships/hyperlink" Target="https://leandergrech.github.io/Mizien/claims/CC-009/" TargetMode="External" Id="rId133"/><Relationship Type="http://schemas.openxmlformats.org/officeDocument/2006/relationships/hyperlink" Target="https://leandergrech.github.io/Mizien/claims/CC-009/" TargetMode="External" Id="rId134"/><Relationship Type="http://schemas.openxmlformats.org/officeDocument/2006/relationships/hyperlink" Target="https://leandergrech.github.io/Mizien/claims/CC-009/" TargetMode="External" Id="rId135"/><Relationship Type="http://schemas.openxmlformats.org/officeDocument/2006/relationships/hyperlink" Target="https://leandergrech.github.io/Mizien/claims/CC-009/" TargetMode="External" Id="rId136"/><Relationship Type="http://schemas.openxmlformats.org/officeDocument/2006/relationships/hyperlink" Target="https://leandergrech.github.io/Mizien/claims/CC-009/" TargetMode="External" Id="rId137"/><Relationship Type="http://schemas.openxmlformats.org/officeDocument/2006/relationships/hyperlink" Target="https://leandergrech.github.io/Mizien/claims/CC-009/" TargetMode="External" Id="rId138"/><Relationship Type="http://schemas.openxmlformats.org/officeDocument/2006/relationships/hyperlink" Target="https://leandergrech.github.io/Mizien/claims/CC-009/" TargetMode="External" Id="rId139"/><Relationship Type="http://schemas.openxmlformats.org/officeDocument/2006/relationships/hyperlink" Target="https://leandergrech.github.io/Mizien/claims/CC-009/" TargetMode="External" Id="rId140"/><Relationship Type="http://schemas.openxmlformats.org/officeDocument/2006/relationships/hyperlink" Target="https://leandergrech.github.io/Mizien/claims/CC-009/" TargetMode="External" Id="rId141"/><Relationship Type="http://schemas.openxmlformats.org/officeDocument/2006/relationships/hyperlink" Target="https://leandergrech.github.io/Mizien/claims/CC-009/" TargetMode="External" Id="rId142"/><Relationship Type="http://schemas.openxmlformats.org/officeDocument/2006/relationships/hyperlink" Target="https://leandergrech.github.io/Mizien/claims/CC-009/" TargetMode="External" Id="rId143"/><Relationship Type="http://schemas.openxmlformats.org/officeDocument/2006/relationships/hyperlink" Target="https://leandergrech.github.io/Mizien/claims/CC-009/" TargetMode="External" Id="rId144"/><Relationship Type="http://schemas.openxmlformats.org/officeDocument/2006/relationships/hyperlink" Target="https://leandergrech.github.io/Mizien/claims/CC-009/" TargetMode="External" Id="rId145"/><Relationship Type="http://schemas.openxmlformats.org/officeDocument/2006/relationships/hyperlink" Target="https://leandergrech.github.io/Mizien/claims/CC-009/" TargetMode="External" Id="rId146"/><Relationship Type="http://schemas.openxmlformats.org/officeDocument/2006/relationships/hyperlink" Target="https://leandergrech.github.io/Mizien/claims/CC-009/" TargetMode="External" Id="rId147"/><Relationship Type="http://schemas.openxmlformats.org/officeDocument/2006/relationships/hyperlink" Target="https://leandergrech.github.io/Mizien/claims/CC-009/" TargetMode="External" Id="rId148"/><Relationship Type="http://schemas.openxmlformats.org/officeDocument/2006/relationships/hyperlink" Target="https://leandergrech.github.io/Mizien/claims/CC-010/" TargetMode="External" Id="rId149"/><Relationship Type="http://schemas.openxmlformats.org/officeDocument/2006/relationships/hyperlink" Target="https://leandergrech.github.io/Mizien/claims/CC-010/" TargetMode="External" Id="rId150"/><Relationship Type="http://schemas.openxmlformats.org/officeDocument/2006/relationships/hyperlink" Target="https://leandergrech.github.io/Mizien/claims/CC-010/" TargetMode="External" Id="rId151"/><Relationship Type="http://schemas.openxmlformats.org/officeDocument/2006/relationships/hyperlink" Target="https://leandergrech.github.io/Mizien/claims/CC-010/" TargetMode="External" Id="rId152"/><Relationship Type="http://schemas.openxmlformats.org/officeDocument/2006/relationships/hyperlink" Target="https://leandergrech.github.io/Mizien/claims/CC-010/" TargetMode="External" Id="rId153"/><Relationship Type="http://schemas.openxmlformats.org/officeDocument/2006/relationships/hyperlink" Target="https://leandergrech.github.io/Mizien/claims/CC-012/" TargetMode="External" Id="rId154"/><Relationship Type="http://schemas.openxmlformats.org/officeDocument/2006/relationships/hyperlink" Target="https://leandergrech.github.io/Mizien/claims/CC-012/" TargetMode="External" Id="rId155"/><Relationship Type="http://schemas.openxmlformats.org/officeDocument/2006/relationships/hyperlink" Target="https://leandergrech.github.io/Mizien/claims/CC-012/" TargetMode="External" Id="rId156"/><Relationship Type="http://schemas.openxmlformats.org/officeDocument/2006/relationships/hyperlink" Target="https://leandergrech.github.io/Mizien/claims/CC-012/" TargetMode="External" Id="rId157"/><Relationship Type="http://schemas.openxmlformats.org/officeDocument/2006/relationships/hyperlink" Target="https://leandergrech.github.io/Mizien/claims/CC-012/" TargetMode="External" Id="rId158"/><Relationship Type="http://schemas.openxmlformats.org/officeDocument/2006/relationships/hyperlink" Target="https://leandergrech.github.io/Mizien/claims/CC-012/" TargetMode="External" Id="rId159"/><Relationship Type="http://schemas.openxmlformats.org/officeDocument/2006/relationships/hyperlink" Target="https://leandergrech.github.io/Mizien/claims/CC-012/" TargetMode="External" Id="rId160"/><Relationship Type="http://schemas.openxmlformats.org/officeDocument/2006/relationships/hyperlink" Target="https://leandergrech.github.io/Mizien/claims/CC-012/" TargetMode="External" Id="rId161"/><Relationship Type="http://schemas.openxmlformats.org/officeDocument/2006/relationships/hyperlink" Target="https://leandergrech.github.io/Mizien/claims/CC-012/" TargetMode="External" Id="rId162"/><Relationship Type="http://schemas.openxmlformats.org/officeDocument/2006/relationships/hyperlink" Target="https://leandergrech.github.io/Mizien/claims/CC-012/" TargetMode="External" Id="rId163"/><Relationship Type="http://schemas.openxmlformats.org/officeDocument/2006/relationships/hyperlink" Target="https://leandergrech.github.io/Mizien/claims/CC-012/" TargetMode="External" Id="rId164"/><Relationship Type="http://schemas.openxmlformats.org/officeDocument/2006/relationships/hyperlink" Target="https://leandergrech.github.io/Mizien/claims/CC-012/" TargetMode="External" Id="rId165"/><Relationship Type="http://schemas.openxmlformats.org/officeDocument/2006/relationships/hyperlink" Target="https://leandergrech.github.io/Mizien/claims/CC-012/" TargetMode="External" Id="rId166"/><Relationship Type="http://schemas.openxmlformats.org/officeDocument/2006/relationships/hyperlink" Target="https://leandergrech.github.io/Mizien/claims/CC-012/" TargetMode="External" Id="rId167"/><Relationship Type="http://schemas.openxmlformats.org/officeDocument/2006/relationships/hyperlink" Target="https://leandergrech.github.io/Mizien/claims/CC-013/" TargetMode="External" Id="rId168"/><Relationship Type="http://schemas.openxmlformats.org/officeDocument/2006/relationships/hyperlink" Target="https://leandergrech.github.io/Mizien/claims/CC-013/" TargetMode="External" Id="rId169"/><Relationship Type="http://schemas.openxmlformats.org/officeDocument/2006/relationships/hyperlink" Target="https://leandergrech.github.io/Mizien/claims/CC-013/" TargetMode="External" Id="rId170"/><Relationship Type="http://schemas.openxmlformats.org/officeDocument/2006/relationships/hyperlink" Target="https://leandergrech.github.io/Mizien/claims/CC-013/" TargetMode="External" Id="rId171"/><Relationship Type="http://schemas.openxmlformats.org/officeDocument/2006/relationships/hyperlink" Target="https://leandergrech.github.io/Mizien/claims/CC-013/" TargetMode="External" Id="rId172"/><Relationship Type="http://schemas.openxmlformats.org/officeDocument/2006/relationships/hyperlink" Target="https://leandergrech.github.io/Mizien/claims/CC-013/" TargetMode="External" Id="rId173"/><Relationship Type="http://schemas.openxmlformats.org/officeDocument/2006/relationships/hyperlink" Target="https://leandergrech.github.io/Mizien/claims/CC-013/" TargetMode="External" Id="rId174"/><Relationship Type="http://schemas.openxmlformats.org/officeDocument/2006/relationships/hyperlink" Target="https://leandergrech.github.io/Mizien/claims/CC-013/" TargetMode="External" Id="rId175"/><Relationship Type="http://schemas.openxmlformats.org/officeDocument/2006/relationships/hyperlink" Target="https://leandergrech.github.io/Mizien/claims/CC-013/" TargetMode="External" Id="rId176"/><Relationship Type="http://schemas.openxmlformats.org/officeDocument/2006/relationships/hyperlink" Target="https://leandergrech.github.io/Mizien/claims/CC-013/" TargetMode="External" Id="rId177"/><Relationship Type="http://schemas.openxmlformats.org/officeDocument/2006/relationships/hyperlink" Target="https://leandergrech.github.io/Mizien/claims/CC-013/" TargetMode="External" Id="rId178"/><Relationship Type="http://schemas.openxmlformats.org/officeDocument/2006/relationships/hyperlink" Target="https://leandergrech.github.io/Mizien/claims/CC-013/" TargetMode="External" Id="rId179"/><Relationship Type="http://schemas.openxmlformats.org/officeDocument/2006/relationships/hyperlink" Target="https://leandergrech.github.io/Mizien/claims/CC-013/" TargetMode="External" Id="rId180"/><Relationship Type="http://schemas.openxmlformats.org/officeDocument/2006/relationships/hyperlink" Target="https://leandergrech.github.io/Mizien/claims/CC-013/" TargetMode="External" Id="rId181"/><Relationship Type="http://schemas.openxmlformats.org/officeDocument/2006/relationships/hyperlink" Target="https://leandergrech.github.io/Mizien/claims/CC-013/" TargetMode="External" Id="rId182"/><Relationship Type="http://schemas.openxmlformats.org/officeDocument/2006/relationships/hyperlink" Target="https://leandergrech.github.io/Mizien/claims/CC-013/" TargetMode="External" Id="rId183"/><Relationship Type="http://schemas.openxmlformats.org/officeDocument/2006/relationships/hyperlink" Target="https://leandergrech.github.io/Mizien/claims/CC-013/" TargetMode="External" Id="rId184"/><Relationship Type="http://schemas.openxmlformats.org/officeDocument/2006/relationships/hyperlink" Target="https://leandergrech.github.io/Mizien/claims/CC-013/" TargetMode="External" Id="rId185"/><Relationship Type="http://schemas.openxmlformats.org/officeDocument/2006/relationships/hyperlink" Target="https://leandergrech.github.io/Mizien/claims/CC-013/" TargetMode="External" Id="rId186"/><Relationship Type="http://schemas.openxmlformats.org/officeDocument/2006/relationships/hyperlink" Target="https://leandergrech.github.io/Mizien/claims/CC-013/" TargetMode="External" Id="rId187"/><Relationship Type="http://schemas.openxmlformats.org/officeDocument/2006/relationships/hyperlink" Target="https://leandergrech.github.io/Mizien/claims/CC-013/" TargetMode="External" Id="rId188"/><Relationship Type="http://schemas.openxmlformats.org/officeDocument/2006/relationships/hyperlink" Target="https://leandergrech.github.io/Mizien/claims/CC-013/" TargetMode="External" Id="rId189"/><Relationship Type="http://schemas.openxmlformats.org/officeDocument/2006/relationships/hyperlink" Target="https://leandergrech.github.io/Mizien/claims/CC-013/" TargetMode="External" Id="rId190"/><Relationship Type="http://schemas.openxmlformats.org/officeDocument/2006/relationships/hyperlink" Target="https://leandergrech.github.io/Mizien/claims/CC-013/" TargetMode="External" Id="rId191"/><Relationship Type="http://schemas.openxmlformats.org/officeDocument/2006/relationships/hyperlink" Target="https://leandergrech.github.io/Mizien/claims/CC-013/" TargetMode="External" Id="rId192"/><Relationship Type="http://schemas.openxmlformats.org/officeDocument/2006/relationships/hyperlink" Target="https://leandergrech.github.io/Mizien/claims/CC-013/" TargetMode="External" Id="rId193"/><Relationship Type="http://schemas.openxmlformats.org/officeDocument/2006/relationships/hyperlink" Target="https://leandergrech.github.io/Mizien/claims/CC-013/" TargetMode="External" Id="rId194"/><Relationship Type="http://schemas.openxmlformats.org/officeDocument/2006/relationships/hyperlink" Target="https://leandergrech.github.io/Mizien/claims/CC-013/" TargetMode="External" Id="rId195"/><Relationship Type="http://schemas.openxmlformats.org/officeDocument/2006/relationships/hyperlink" Target="https://leandergrech.github.io/Mizien/claims/CC-013/" TargetMode="External" Id="rId196"/><Relationship Type="http://schemas.openxmlformats.org/officeDocument/2006/relationships/hyperlink" Target="https://leandergrech.github.io/Mizien/claims/CC-013/" TargetMode="External" Id="rId197"/><Relationship Type="http://schemas.openxmlformats.org/officeDocument/2006/relationships/hyperlink" Target="https://leandergrech.github.io/Mizien/claims/CC-013/" TargetMode="External" Id="rId198"/><Relationship Type="http://schemas.openxmlformats.org/officeDocument/2006/relationships/hyperlink" Target="https://leandergrech.github.io/Mizien/claims/CC-013/" TargetMode="External" Id="rId199"/><Relationship Type="http://schemas.openxmlformats.org/officeDocument/2006/relationships/hyperlink" Target="https://leandergrech.github.io/Mizien/claims/CC-013/" TargetMode="External" Id="rId200"/><Relationship Type="http://schemas.openxmlformats.org/officeDocument/2006/relationships/hyperlink" Target="https://leandergrech.github.io/Mizien/claims/CC-013/" TargetMode="External" Id="rId201"/><Relationship Type="http://schemas.openxmlformats.org/officeDocument/2006/relationships/hyperlink" Target="https://leandergrech.github.io/Mizien/claims/CC-013/" TargetMode="External" Id="rId202"/><Relationship Type="http://schemas.openxmlformats.org/officeDocument/2006/relationships/hyperlink" Target="https://leandergrech.github.io/Mizien/claims/CC-013/" TargetMode="External" Id="rId203"/><Relationship Type="http://schemas.openxmlformats.org/officeDocument/2006/relationships/hyperlink" Target="https://leandergrech.github.io/Mizien/claims/CC-014/" TargetMode="External" Id="rId204"/><Relationship Type="http://schemas.openxmlformats.org/officeDocument/2006/relationships/hyperlink" Target="https://leandergrech.github.io/Mizien/claims/CC-014/" TargetMode="External" Id="rId205"/><Relationship Type="http://schemas.openxmlformats.org/officeDocument/2006/relationships/hyperlink" Target="https://leandergrech.github.io/Mizien/claims/CC-014/" TargetMode="External" Id="rId206"/><Relationship Type="http://schemas.openxmlformats.org/officeDocument/2006/relationships/hyperlink" Target="https://leandergrech.github.io/Mizien/claims/CC-014/" TargetMode="External" Id="rId207"/><Relationship Type="http://schemas.openxmlformats.org/officeDocument/2006/relationships/hyperlink" Target="https://leandergrech.github.io/Mizien/claims/CC-014/" TargetMode="External" Id="rId208"/><Relationship Type="http://schemas.openxmlformats.org/officeDocument/2006/relationships/hyperlink" Target="https://leandergrech.github.io/Mizien/claims/CC-014/" TargetMode="External" Id="rId209"/><Relationship Type="http://schemas.openxmlformats.org/officeDocument/2006/relationships/hyperlink" Target="https://leandergrech.github.io/Mizien/claims/CC-014/" TargetMode="External" Id="rId210"/><Relationship Type="http://schemas.openxmlformats.org/officeDocument/2006/relationships/hyperlink" Target="https://leandergrech.github.io/Mizien/claims/CC-014/" TargetMode="External" Id="rId211"/><Relationship Type="http://schemas.openxmlformats.org/officeDocument/2006/relationships/hyperlink" Target="https://leandergrech.github.io/Mizien/claims/CC-014/" TargetMode="External" Id="rId212"/><Relationship Type="http://schemas.openxmlformats.org/officeDocument/2006/relationships/hyperlink" Target="https://leandergrech.github.io/Mizien/claims/CC-014/" TargetMode="External" Id="rId213"/><Relationship Type="http://schemas.openxmlformats.org/officeDocument/2006/relationships/hyperlink" Target="https://leandergrech.github.io/Mizien/claims/CC-014/" TargetMode="External" Id="rId214"/><Relationship Type="http://schemas.openxmlformats.org/officeDocument/2006/relationships/hyperlink" Target="https://leandergrech.github.io/Mizien/claims/CC-014/" TargetMode="External" Id="rId215"/><Relationship Type="http://schemas.openxmlformats.org/officeDocument/2006/relationships/hyperlink" Target="https://leandergrech.github.io/Mizien/claims/CC-014/" TargetMode="External" Id="rId216"/><Relationship Type="http://schemas.openxmlformats.org/officeDocument/2006/relationships/hyperlink" Target="https://leandergrech.github.io/Mizien/claims/CC-014/" TargetMode="External" Id="rId217"/><Relationship Type="http://schemas.openxmlformats.org/officeDocument/2006/relationships/hyperlink" Target="https://leandergrech.github.io/Mizien/claims/CC-014/" TargetMode="External" Id="rId218"/><Relationship Type="http://schemas.openxmlformats.org/officeDocument/2006/relationships/hyperlink" Target="https://leandergrech.github.io/Mizien/claims/CC-014/" TargetMode="External" Id="rId219"/><Relationship Type="http://schemas.openxmlformats.org/officeDocument/2006/relationships/hyperlink" Target="https://leandergrech.github.io/Mizien/claims/CC-014/" TargetMode="External" Id="rId220"/><Relationship Type="http://schemas.openxmlformats.org/officeDocument/2006/relationships/hyperlink" Target="https://leandergrech.github.io/Mizien/claims/CC-014/" TargetMode="External" Id="rId221"/><Relationship Type="http://schemas.openxmlformats.org/officeDocument/2006/relationships/hyperlink" Target="https://leandergrech.github.io/Mizien/claims/CC-014/" TargetMode="External" Id="rId222"/><Relationship Type="http://schemas.openxmlformats.org/officeDocument/2006/relationships/hyperlink" Target="https://leandergrech.github.io/Mizien/claims/CC-014/" TargetMode="External" Id="rId223"/><Relationship Type="http://schemas.openxmlformats.org/officeDocument/2006/relationships/hyperlink" Target="https://leandergrech.github.io/Mizien/claims/CC-014/" TargetMode="External" Id="rId224"/><Relationship Type="http://schemas.openxmlformats.org/officeDocument/2006/relationships/hyperlink" Target="https://leandergrech.github.io/Mizien/claims/CC-014/" TargetMode="External" Id="rId225"/><Relationship Type="http://schemas.openxmlformats.org/officeDocument/2006/relationships/hyperlink" Target="https://leandergrech.github.io/Mizien/claims/CC-014/" TargetMode="External" Id="rId226"/><Relationship Type="http://schemas.openxmlformats.org/officeDocument/2006/relationships/hyperlink" Target="https://leandergrech.github.io/Mizien/claims/CC-014/" TargetMode="External" Id="rId227"/><Relationship Type="http://schemas.openxmlformats.org/officeDocument/2006/relationships/hyperlink" Target="https://leandergrech.github.io/Mizien/claims/CC-014/" TargetMode="External" Id="rId228"/><Relationship Type="http://schemas.openxmlformats.org/officeDocument/2006/relationships/hyperlink" Target="https://leandergrech.github.io/Mizien/claims/CC-014/" TargetMode="External" Id="rId229"/><Relationship Type="http://schemas.openxmlformats.org/officeDocument/2006/relationships/hyperlink" Target="https://leandergrech.github.io/Mizien/claims/CC-014/" TargetMode="External" Id="rId230"/><Relationship Type="http://schemas.openxmlformats.org/officeDocument/2006/relationships/hyperlink" Target="https://leandergrech.github.io/Mizien/claims/CC-014/" TargetMode="External" Id="rId231"/><Relationship Type="http://schemas.openxmlformats.org/officeDocument/2006/relationships/hyperlink" Target="https://leandergrech.github.io/Mizien/claims/CC-014/" TargetMode="External" Id="rId232"/><Relationship Type="http://schemas.openxmlformats.org/officeDocument/2006/relationships/hyperlink" Target="https://leandergrech.github.io/Mizien/claims/CC-014/" TargetMode="External" Id="rId233"/><Relationship Type="http://schemas.openxmlformats.org/officeDocument/2006/relationships/hyperlink" Target="https://leandergrech.github.io/Mizien/claims/CC-014/" TargetMode="External" Id="rId234"/><Relationship Type="http://schemas.openxmlformats.org/officeDocument/2006/relationships/hyperlink" Target="https://leandergrech.github.io/Mizien/claims/CC-014/" TargetMode="External" Id="rId235"/><Relationship Type="http://schemas.openxmlformats.org/officeDocument/2006/relationships/hyperlink" Target="https://leandergrech.github.io/Mizien/claims/CC-014/" TargetMode="External" Id="rId236"/><Relationship Type="http://schemas.openxmlformats.org/officeDocument/2006/relationships/hyperlink" Target="https://leandergrech.github.io/Mizien/claims/CC-014/" TargetMode="External" Id="rId237"/><Relationship Type="http://schemas.openxmlformats.org/officeDocument/2006/relationships/hyperlink" Target="https://leandergrech.github.io/Mizien/claims/CC-014/" TargetMode="External" Id="rId238"/><Relationship Type="http://schemas.openxmlformats.org/officeDocument/2006/relationships/hyperlink" Target="https://leandergrech.github.io/Mizien/claims/CC-014/" TargetMode="External" Id="rId239"/><Relationship Type="http://schemas.openxmlformats.org/officeDocument/2006/relationships/hyperlink" Target="https://leandergrech.github.io/Mizien/claims/CC-014/" TargetMode="External" Id="rId240"/><Relationship Type="http://schemas.openxmlformats.org/officeDocument/2006/relationships/hyperlink" Target="https://leandergrech.github.io/Mizien/claims/CC-014/" TargetMode="External" Id="rId241"/><Relationship Type="http://schemas.openxmlformats.org/officeDocument/2006/relationships/hyperlink" Target="https://leandergrech.github.io/Mizien/claims/CC-014/" TargetMode="External" Id="rId242"/><Relationship Type="http://schemas.openxmlformats.org/officeDocument/2006/relationships/hyperlink" Target="https://leandergrech.github.io/Mizien/claims/CC-014/" TargetMode="External" Id="rId243"/><Relationship Type="http://schemas.openxmlformats.org/officeDocument/2006/relationships/hyperlink" Target="https://leandergrech.github.io/Mizien/claims/CC-014/" TargetMode="External" Id="rId244"/><Relationship Type="http://schemas.openxmlformats.org/officeDocument/2006/relationships/hyperlink" Target="https://leandergrech.github.io/Mizien/claims/CC-014/" TargetMode="External" Id="rId245"/><Relationship Type="http://schemas.openxmlformats.org/officeDocument/2006/relationships/hyperlink" Target="https://leandergrech.github.io/Mizien/claims/CC-014/" TargetMode="External" Id="rId246"/><Relationship Type="http://schemas.openxmlformats.org/officeDocument/2006/relationships/hyperlink" Target="https://leandergrech.github.io/Mizien/claims/CC-014/" TargetMode="External" Id="rId247"/><Relationship Type="http://schemas.openxmlformats.org/officeDocument/2006/relationships/hyperlink" Target="https://leandergrech.github.io/Mizien/claims/CC-014/" TargetMode="External" Id="rId248"/><Relationship Type="http://schemas.openxmlformats.org/officeDocument/2006/relationships/hyperlink" Target="https://leandergrech.github.io/Mizien/claims/CC-014/" TargetMode="External" Id="rId249"/><Relationship Type="http://schemas.openxmlformats.org/officeDocument/2006/relationships/hyperlink" Target="https://leandergrech.github.io/Mizien/claims/CC-014/" TargetMode="External" Id="rId250"/><Relationship Type="http://schemas.openxmlformats.org/officeDocument/2006/relationships/hyperlink" Target="https://leandergrech.github.io/Mizien/claims/CC-014/" TargetMode="External" Id="rId251"/><Relationship Type="http://schemas.openxmlformats.org/officeDocument/2006/relationships/hyperlink" Target="https://leandergrech.github.io/Mizien/claims/CC-014/" TargetMode="External" Id="rId252"/><Relationship Type="http://schemas.openxmlformats.org/officeDocument/2006/relationships/hyperlink" Target="https://leandergrech.github.io/Mizien/claims/CC-014/" TargetMode="External" Id="rId253"/><Relationship Type="http://schemas.openxmlformats.org/officeDocument/2006/relationships/hyperlink" Target="https://leandergrech.github.io/Mizien/claims/CC-014/" TargetMode="External" Id="rId254"/><Relationship Type="http://schemas.openxmlformats.org/officeDocument/2006/relationships/hyperlink" Target="https://leandergrech.github.io/Mizien/claims/CC-014/" TargetMode="External" Id="rId255"/><Relationship Type="http://schemas.openxmlformats.org/officeDocument/2006/relationships/hyperlink" Target="https://leandergrech.github.io/Mizien/claims/CC-014/" TargetMode="External" Id="rId256"/><Relationship Type="http://schemas.openxmlformats.org/officeDocument/2006/relationships/hyperlink" Target="https://leandergrech.github.io/Mizien/claims/CC-014/" TargetMode="External" Id="rId257"/><Relationship Type="http://schemas.openxmlformats.org/officeDocument/2006/relationships/hyperlink" Target="https://leandergrech.github.io/Mizien/claims/CC-014/" TargetMode="External" Id="rId258"/><Relationship Type="http://schemas.openxmlformats.org/officeDocument/2006/relationships/hyperlink" Target="https://leandergrech.github.io/Mizien/claims/CC-014/" TargetMode="External" Id="rId259"/><Relationship Type="http://schemas.openxmlformats.org/officeDocument/2006/relationships/hyperlink" Target="https://leandergrech.github.io/Mizien/claims/CC-014/" TargetMode="External" Id="rId260"/><Relationship Type="http://schemas.openxmlformats.org/officeDocument/2006/relationships/hyperlink" Target="https://leandergrech.github.io/Mizien/claims/CC-014/" TargetMode="External" Id="rId261"/><Relationship Type="http://schemas.openxmlformats.org/officeDocument/2006/relationships/hyperlink" Target="https://leandergrech.github.io/Mizien/claims/CC-014/" TargetMode="External" Id="rId262"/><Relationship Type="http://schemas.openxmlformats.org/officeDocument/2006/relationships/hyperlink" Target="https://leandergrech.github.io/Mizien/claims/CC-014/" TargetMode="External" Id="rId263"/><Relationship Type="http://schemas.openxmlformats.org/officeDocument/2006/relationships/hyperlink" Target="https://leandergrech.github.io/Mizien/claims/CC-014/" TargetMode="External" Id="rId264"/><Relationship Type="http://schemas.openxmlformats.org/officeDocument/2006/relationships/hyperlink" Target="https://leandergrech.github.io/Mizien/claims/CC-014/" TargetMode="External" Id="rId265"/><Relationship Type="http://schemas.openxmlformats.org/officeDocument/2006/relationships/hyperlink" Target="https://leandergrech.github.io/Mizien/claims/CC-014/" TargetMode="External" Id="rId266"/><Relationship Type="http://schemas.openxmlformats.org/officeDocument/2006/relationships/hyperlink" Target="https://leandergrech.github.io/Mizien/claims/CC-014/" TargetMode="External" Id="rId267"/><Relationship Type="http://schemas.openxmlformats.org/officeDocument/2006/relationships/hyperlink" Target="https://leandergrech.github.io/Mizien/claims/CC-014/" TargetMode="External" Id="rId268"/><Relationship Type="http://schemas.openxmlformats.org/officeDocument/2006/relationships/hyperlink" Target="https://leandergrech.github.io/Mizien/claims/CC-014/" TargetMode="External" Id="rId269"/><Relationship Type="http://schemas.openxmlformats.org/officeDocument/2006/relationships/hyperlink" Target="https://leandergrech.github.io/Mizien/claims/CC-014/" TargetMode="External" Id="rId270"/><Relationship Type="http://schemas.openxmlformats.org/officeDocument/2006/relationships/hyperlink" Target="https://leandergrech.github.io/Mizien/claims/CC-014/" TargetMode="External" Id="rId271"/><Relationship Type="http://schemas.openxmlformats.org/officeDocument/2006/relationships/hyperlink" Target="https://leandergrech.github.io/Mizien/claims/CC-014/" TargetMode="External" Id="rId272"/><Relationship Type="http://schemas.openxmlformats.org/officeDocument/2006/relationships/hyperlink" Target="https://leandergrech.github.io/Mizien/claims/CC-014/" TargetMode="External" Id="rId273"/><Relationship Type="http://schemas.openxmlformats.org/officeDocument/2006/relationships/hyperlink" Target="https://leandergrech.github.io/Mizien/claims/CC-016/" TargetMode="External" Id="rId274"/><Relationship Type="http://schemas.openxmlformats.org/officeDocument/2006/relationships/hyperlink" Target="https://leandergrech.github.io/Mizien/claims/CC-016/" TargetMode="External" Id="rId275"/><Relationship Type="http://schemas.openxmlformats.org/officeDocument/2006/relationships/hyperlink" Target="https://leandergrech.github.io/Mizien/claims/CC-016/" TargetMode="External" Id="rId276"/><Relationship Type="http://schemas.openxmlformats.org/officeDocument/2006/relationships/hyperlink" Target="https://leandergrech.github.io/Mizien/claims/CC-016/" TargetMode="External" Id="rId277"/><Relationship Type="http://schemas.openxmlformats.org/officeDocument/2006/relationships/hyperlink" Target="https://leandergrech.github.io/Mizien/claims/CC-016/" TargetMode="External" Id="rId278"/><Relationship Type="http://schemas.openxmlformats.org/officeDocument/2006/relationships/hyperlink" Target="https://leandergrech.github.io/Mizien/claims/CC-016/" TargetMode="External" Id="rId279"/><Relationship Type="http://schemas.openxmlformats.org/officeDocument/2006/relationships/hyperlink" Target="https://leandergrech.github.io/Mizien/claims/CC-016/" TargetMode="External" Id="rId280"/><Relationship Type="http://schemas.openxmlformats.org/officeDocument/2006/relationships/hyperlink" Target="https://leandergrech.github.io/Mizien/claims/CC-016/" TargetMode="External" Id="rId281"/><Relationship Type="http://schemas.openxmlformats.org/officeDocument/2006/relationships/hyperlink" Target="https://leandergrech.github.io/Mizien/claims/CC-016/" TargetMode="External" Id="rId282"/><Relationship Type="http://schemas.openxmlformats.org/officeDocument/2006/relationships/hyperlink" Target="https://leandergrech.github.io/Mizien/claims/CC-016/" TargetMode="External" Id="rId283"/><Relationship Type="http://schemas.openxmlformats.org/officeDocument/2006/relationships/hyperlink" Target="https://leandergrech.github.io/Mizien/claims/CC-016/" TargetMode="External" Id="rId284"/><Relationship Type="http://schemas.openxmlformats.org/officeDocument/2006/relationships/hyperlink" Target="https://leandergrech.github.io/Mizien/claims/CC-016/" TargetMode="External" Id="rId285"/><Relationship Type="http://schemas.openxmlformats.org/officeDocument/2006/relationships/hyperlink" Target="https://leandergrech.github.io/Mizien/claims/CC-016/" TargetMode="External" Id="rId286"/><Relationship Type="http://schemas.openxmlformats.org/officeDocument/2006/relationships/hyperlink" Target="https://leandergrech.github.io/Mizien/claims/CC-016/" TargetMode="External" Id="rId287"/><Relationship Type="http://schemas.openxmlformats.org/officeDocument/2006/relationships/hyperlink" Target="https://leandergrech.github.io/Mizien/claims/CC-016/" TargetMode="External" Id="rId288"/><Relationship Type="http://schemas.openxmlformats.org/officeDocument/2006/relationships/hyperlink" Target="https://leandergrech.github.io/Mizien/claims/CC-016/" TargetMode="External" Id="rId289"/><Relationship Type="http://schemas.openxmlformats.org/officeDocument/2006/relationships/hyperlink" Target="https://leandergrech.github.io/Mizien/claims/CC-016/" TargetMode="External" Id="rId290"/><Relationship Type="http://schemas.openxmlformats.org/officeDocument/2006/relationships/hyperlink" Target="https://leandergrech.github.io/Mizien/claims/CC-016/" TargetMode="External" Id="rId291"/><Relationship Type="http://schemas.openxmlformats.org/officeDocument/2006/relationships/hyperlink" Target="https://leandergrech.github.io/Mizien/claims/CC-016/" TargetMode="External" Id="rId292"/><Relationship Type="http://schemas.openxmlformats.org/officeDocument/2006/relationships/hyperlink" Target="https://leandergrech.github.io/Mizien/claims/CC-016/" TargetMode="External" Id="rId293"/><Relationship Type="http://schemas.openxmlformats.org/officeDocument/2006/relationships/hyperlink" Target="https://leandergrech.github.io/Mizien/claims/CC-016/" TargetMode="External" Id="rId294"/><Relationship Type="http://schemas.openxmlformats.org/officeDocument/2006/relationships/hyperlink" Target="https://leandergrech.github.io/Mizien/claims/CC-016/" TargetMode="External" Id="rId295"/><Relationship Type="http://schemas.openxmlformats.org/officeDocument/2006/relationships/hyperlink" Target="https://leandergrech.github.io/Mizien/claims/CC-017/" TargetMode="External" Id="rId296"/><Relationship Type="http://schemas.openxmlformats.org/officeDocument/2006/relationships/hyperlink" Target="https://leandergrech.github.io/Mizien/claims/CC-017/" TargetMode="External" Id="rId297"/><Relationship Type="http://schemas.openxmlformats.org/officeDocument/2006/relationships/hyperlink" Target="https://leandergrech.github.io/Mizien/claims/CC-017/" TargetMode="External" Id="rId298"/><Relationship Type="http://schemas.openxmlformats.org/officeDocument/2006/relationships/hyperlink" Target="https://leandergrech.github.io/Mizien/claims/CC-017/" TargetMode="External" Id="rId299"/><Relationship Type="http://schemas.openxmlformats.org/officeDocument/2006/relationships/hyperlink" Target="https://leandergrech.github.io/Mizien/claims/CC-017/" TargetMode="External" Id="rId300"/><Relationship Type="http://schemas.openxmlformats.org/officeDocument/2006/relationships/hyperlink" Target="https://leandergrech.github.io/Mizien/claims/CC-017/" TargetMode="External" Id="rId301"/><Relationship Type="http://schemas.openxmlformats.org/officeDocument/2006/relationships/hyperlink" Target="https://leandergrech.github.io/Mizien/claims/CC-017/" TargetMode="External" Id="rId302"/><Relationship Type="http://schemas.openxmlformats.org/officeDocument/2006/relationships/hyperlink" Target="https://leandergrech.github.io/Mizien/claims/CC-017/" TargetMode="External" Id="rId303"/><Relationship Type="http://schemas.openxmlformats.org/officeDocument/2006/relationships/hyperlink" Target="https://leandergrech.github.io/Mizien/claims/CC-017/" TargetMode="External" Id="rId304"/><Relationship Type="http://schemas.openxmlformats.org/officeDocument/2006/relationships/hyperlink" Target="https://leandergrech.github.io/Mizien/claims/CC-017/" TargetMode="External" Id="rId305"/><Relationship Type="http://schemas.openxmlformats.org/officeDocument/2006/relationships/hyperlink" Target="https://leandergrech.github.io/Mizien/claims/CC-017/" TargetMode="External" Id="rId306"/><Relationship Type="http://schemas.openxmlformats.org/officeDocument/2006/relationships/hyperlink" Target="https://leandergrech.github.io/Mizien/claims/CC-017/" TargetMode="External" Id="rId307"/><Relationship Type="http://schemas.openxmlformats.org/officeDocument/2006/relationships/hyperlink" Target="https://leandergrech.github.io/Mizien/claims/CC-017/" TargetMode="External" Id="rId308"/><Relationship Type="http://schemas.openxmlformats.org/officeDocument/2006/relationships/hyperlink" Target="https://leandergrech.github.io/Mizien/claims/CC-017/" TargetMode="External" Id="rId309"/><Relationship Type="http://schemas.openxmlformats.org/officeDocument/2006/relationships/hyperlink" Target="https://leandergrech.github.io/Mizien/claims/CC-017/" TargetMode="External" Id="rId310"/><Relationship Type="http://schemas.openxmlformats.org/officeDocument/2006/relationships/hyperlink" Target="https://leandergrech.github.io/Mizien/claims/CC-017/" TargetMode="External" Id="rId311"/><Relationship Type="http://schemas.openxmlformats.org/officeDocument/2006/relationships/hyperlink" Target="https://leandergrech.github.io/Mizien/claims/CC-017/" TargetMode="External" Id="rId312"/><Relationship Type="http://schemas.openxmlformats.org/officeDocument/2006/relationships/hyperlink" Target="https://leandergrech.github.io/Mizien/claims/CC-017/" TargetMode="External" Id="rId313"/><Relationship Type="http://schemas.openxmlformats.org/officeDocument/2006/relationships/hyperlink" Target="https://leandergrech.github.io/Mizien/claims/CC-017/" TargetMode="External" Id="rId314"/><Relationship Type="http://schemas.openxmlformats.org/officeDocument/2006/relationships/hyperlink" Target="https://leandergrech.github.io/Mizien/claims/CC-017/" TargetMode="External" Id="rId315"/><Relationship Type="http://schemas.openxmlformats.org/officeDocument/2006/relationships/hyperlink" Target="https://leandergrech.github.io/Mizien/claims/CC-017/" TargetMode="External" Id="rId316"/><Relationship Type="http://schemas.openxmlformats.org/officeDocument/2006/relationships/hyperlink" Target="https://leandergrech.github.io/Mizien/claims/CC-017/" TargetMode="External" Id="rId317"/><Relationship Type="http://schemas.openxmlformats.org/officeDocument/2006/relationships/hyperlink" Target="https://leandergrech.github.io/Mizien/claims/CC-017/" TargetMode="External" Id="rId318"/><Relationship Type="http://schemas.openxmlformats.org/officeDocument/2006/relationships/hyperlink" Target="https://leandergrech.github.io/Mizien/claims/CC-018/" TargetMode="External" Id="rId319"/><Relationship Type="http://schemas.openxmlformats.org/officeDocument/2006/relationships/hyperlink" Target="https://leandergrech.github.io/Mizien/claims/CC-018/" TargetMode="External" Id="rId320"/><Relationship Type="http://schemas.openxmlformats.org/officeDocument/2006/relationships/hyperlink" Target="https://leandergrech.github.io/Mizien/claims/CC-018/" TargetMode="External" Id="rId321"/><Relationship Type="http://schemas.openxmlformats.org/officeDocument/2006/relationships/hyperlink" Target="https://leandergrech.github.io/Mizien/claims/CC-018/" TargetMode="External" Id="rId322"/><Relationship Type="http://schemas.openxmlformats.org/officeDocument/2006/relationships/hyperlink" Target="https://leandergrech.github.io/Mizien/claims/CC-018/" TargetMode="External" Id="rId323"/><Relationship Type="http://schemas.openxmlformats.org/officeDocument/2006/relationships/hyperlink" Target="https://leandergrech.github.io/Mizien/claims/CC-018/" TargetMode="External" Id="rId324"/><Relationship Type="http://schemas.openxmlformats.org/officeDocument/2006/relationships/hyperlink" Target="https://leandergrech.github.io/Mizien/claims/CC-018/" TargetMode="External" Id="rId325"/><Relationship Type="http://schemas.openxmlformats.org/officeDocument/2006/relationships/hyperlink" Target="https://leandergrech.github.io/Mizien/claims/CC-018/" TargetMode="External" Id="rId326"/><Relationship Type="http://schemas.openxmlformats.org/officeDocument/2006/relationships/hyperlink" Target="https://leandergrech.github.io/Mizien/claims/CC-018/" TargetMode="External" Id="rId327"/><Relationship Type="http://schemas.openxmlformats.org/officeDocument/2006/relationships/hyperlink" Target="https://leandergrech.github.io/Mizien/claims/CC-018/" TargetMode="External" Id="rId328"/><Relationship Type="http://schemas.openxmlformats.org/officeDocument/2006/relationships/hyperlink" Target="https://leandergrech.github.io/Mizien/claims/CC-018/" TargetMode="External" Id="rId329"/><Relationship Type="http://schemas.openxmlformats.org/officeDocument/2006/relationships/hyperlink" Target="https://leandergrech.github.io/Mizien/claims/CC-018/" TargetMode="External" Id="rId330"/><Relationship Type="http://schemas.openxmlformats.org/officeDocument/2006/relationships/hyperlink" Target="https://leandergrech.github.io/Mizien/claims/CC-018/" TargetMode="External" Id="rId331"/><Relationship Type="http://schemas.openxmlformats.org/officeDocument/2006/relationships/hyperlink" Target="https://leandergrech.github.io/Mizien/claims/CC-018/" TargetMode="External" Id="rId332"/><Relationship Type="http://schemas.openxmlformats.org/officeDocument/2006/relationships/hyperlink" Target="https://leandergrech.github.io/Mizien/claims/CC-018/" TargetMode="External" Id="rId333"/><Relationship Type="http://schemas.openxmlformats.org/officeDocument/2006/relationships/hyperlink" Target="https://leandergrech.github.io/Mizien/claims/CC-018/" TargetMode="External" Id="rId334"/><Relationship Type="http://schemas.openxmlformats.org/officeDocument/2006/relationships/hyperlink" Target="https://leandergrech.github.io/Mizien/claims/CC-018/" TargetMode="External" Id="rId335"/><Relationship Type="http://schemas.openxmlformats.org/officeDocument/2006/relationships/hyperlink" Target="https://leandergrech.github.io/Mizien/claims/CC-018/" TargetMode="External" Id="rId336"/><Relationship Type="http://schemas.openxmlformats.org/officeDocument/2006/relationships/hyperlink" Target="https://leandergrech.github.io/Mizien/claims/CC-018/" TargetMode="External" Id="rId337"/><Relationship Type="http://schemas.openxmlformats.org/officeDocument/2006/relationships/hyperlink" Target="https://leandergrech.github.io/Mizien/claims/CC-018/" TargetMode="External" Id="rId338"/><Relationship Type="http://schemas.openxmlformats.org/officeDocument/2006/relationships/hyperlink" Target="https://leandergrech.github.io/Mizien/claims/CC-018/" TargetMode="External" Id="rId339"/><Relationship Type="http://schemas.openxmlformats.org/officeDocument/2006/relationships/hyperlink" Target="https://leandergrech.github.io/Mizien/claims/CC-018/" TargetMode="External" Id="rId340"/><Relationship Type="http://schemas.openxmlformats.org/officeDocument/2006/relationships/hyperlink" Target="https://leandergrech.github.io/Mizien/claims/CC-018/" TargetMode="External" Id="rId341"/><Relationship Type="http://schemas.openxmlformats.org/officeDocument/2006/relationships/hyperlink" Target="https://leandergrech.github.io/Mizien/claims/CC-018/" TargetMode="External" Id="rId342"/><Relationship Type="http://schemas.openxmlformats.org/officeDocument/2006/relationships/hyperlink" Target="https://leandergrech.github.io/Mizien/claims/CC-018/" TargetMode="External" Id="rId343"/><Relationship Type="http://schemas.openxmlformats.org/officeDocument/2006/relationships/hyperlink" Target="https://leandergrech.github.io/Mizien/claims/CC-018/" TargetMode="External" Id="rId344"/><Relationship Type="http://schemas.openxmlformats.org/officeDocument/2006/relationships/hyperlink" Target="https://leandergrech.github.io/Mizien/claims/CC-018/" TargetMode="External" Id="rId345"/><Relationship Type="http://schemas.openxmlformats.org/officeDocument/2006/relationships/hyperlink" Target="https://leandergrech.github.io/Mizien/claims/CC-018/" TargetMode="External" Id="rId346"/><Relationship Type="http://schemas.openxmlformats.org/officeDocument/2006/relationships/hyperlink" Target="https://leandergrech.github.io/Mizien/claims/CC-018/" TargetMode="External" Id="rId347"/><Relationship Type="http://schemas.openxmlformats.org/officeDocument/2006/relationships/hyperlink" Target="https://leandergrech.github.io/Mizien/claims/CC-018/" TargetMode="External" Id="rId348"/><Relationship Type="http://schemas.openxmlformats.org/officeDocument/2006/relationships/hyperlink" Target="https://leandergrech.github.io/Mizien/claims/CC-018/" TargetMode="External" Id="rId349"/><Relationship Type="http://schemas.openxmlformats.org/officeDocument/2006/relationships/hyperlink" Target="https://leandergrech.github.io/Mizien/claims/CC-019/" TargetMode="External" Id="rId350"/><Relationship Type="http://schemas.openxmlformats.org/officeDocument/2006/relationships/hyperlink" Target="https://leandergrech.github.io/Mizien/claims/CC-019/" TargetMode="External" Id="rId351"/><Relationship Type="http://schemas.openxmlformats.org/officeDocument/2006/relationships/hyperlink" Target="https://leandergrech.github.io/Mizien/claims/CC-019/" TargetMode="External" Id="rId352"/><Relationship Type="http://schemas.openxmlformats.org/officeDocument/2006/relationships/hyperlink" Target="https://leandergrech.github.io/Mizien/claims/CC-019/" TargetMode="External" Id="rId353"/><Relationship Type="http://schemas.openxmlformats.org/officeDocument/2006/relationships/hyperlink" Target="https://leandergrech.github.io/Mizien/claims/CC-019/" TargetMode="External" Id="rId354"/><Relationship Type="http://schemas.openxmlformats.org/officeDocument/2006/relationships/hyperlink" Target="https://leandergrech.github.io/Mizien/claims/CC-019/" TargetMode="External" Id="rId355"/><Relationship Type="http://schemas.openxmlformats.org/officeDocument/2006/relationships/hyperlink" Target="https://leandergrech.github.io/Mizien/claims/CC-019/" TargetMode="External" Id="rId356"/><Relationship Type="http://schemas.openxmlformats.org/officeDocument/2006/relationships/hyperlink" Target="https://leandergrech.github.io/Mizien/claims/CC-019/" TargetMode="External" Id="rId357"/><Relationship Type="http://schemas.openxmlformats.org/officeDocument/2006/relationships/hyperlink" Target="https://leandergrech.github.io/Mizien/claims/CC-019/" TargetMode="External" Id="rId358"/><Relationship Type="http://schemas.openxmlformats.org/officeDocument/2006/relationships/hyperlink" Target="https://leandergrech.github.io/Mizien/claims/CC-019/" TargetMode="External" Id="rId359"/><Relationship Type="http://schemas.openxmlformats.org/officeDocument/2006/relationships/hyperlink" Target="https://leandergrech.github.io/Mizien/claims/CC-019/" TargetMode="External" Id="rId360"/><Relationship Type="http://schemas.openxmlformats.org/officeDocument/2006/relationships/hyperlink" Target="https://leandergrech.github.io/Mizien/claims/CC-019/" TargetMode="External" Id="rId361"/><Relationship Type="http://schemas.openxmlformats.org/officeDocument/2006/relationships/hyperlink" Target="https://leandergrech.github.io/Mizien/claims/CC-019/" TargetMode="External" Id="rId362"/><Relationship Type="http://schemas.openxmlformats.org/officeDocument/2006/relationships/hyperlink" Target="https://leandergrech.github.io/Mizien/claims/CC-019/" TargetMode="External" Id="rId363"/><Relationship Type="http://schemas.openxmlformats.org/officeDocument/2006/relationships/hyperlink" Target="https://leandergrech.github.io/Mizien/claims/CC-019/" TargetMode="External" Id="rId364"/><Relationship Type="http://schemas.openxmlformats.org/officeDocument/2006/relationships/hyperlink" Target="https://leandergrech.github.io/Mizien/claims/CC-019/" TargetMode="External" Id="rId365"/><Relationship Type="http://schemas.openxmlformats.org/officeDocument/2006/relationships/hyperlink" Target="https://leandergrech.github.io/Mizien/claims/CC-019/" TargetMode="External" Id="rId366"/><Relationship Type="http://schemas.openxmlformats.org/officeDocument/2006/relationships/hyperlink" Target="https://leandergrech.github.io/Mizien/claims/CC-019/" TargetMode="External" Id="rId367"/><Relationship Type="http://schemas.openxmlformats.org/officeDocument/2006/relationships/hyperlink" Target="https://leandergrech.github.io/Mizien/claims/CC-019/" TargetMode="External" Id="rId368"/><Relationship Type="http://schemas.openxmlformats.org/officeDocument/2006/relationships/hyperlink" Target="https://leandergrech.github.io/Mizien/claims/CC-019/" TargetMode="External" Id="rId369"/><Relationship Type="http://schemas.openxmlformats.org/officeDocument/2006/relationships/hyperlink" Target="https://leandergrech.github.io/Mizien/claims/CC-019/" TargetMode="External" Id="rId370"/><Relationship Type="http://schemas.openxmlformats.org/officeDocument/2006/relationships/hyperlink" Target="https://leandergrech.github.io/Mizien/claims/CC-019/" TargetMode="External" Id="rId371"/><Relationship Type="http://schemas.openxmlformats.org/officeDocument/2006/relationships/hyperlink" Target="https://leandergrech.github.io/Mizien/claims/CC-019/" TargetMode="External" Id="rId372"/><Relationship Type="http://schemas.openxmlformats.org/officeDocument/2006/relationships/hyperlink" Target="https://leandergrech.github.io/Mizien/claims/CC-019/" TargetMode="External" Id="rId373"/><Relationship Type="http://schemas.openxmlformats.org/officeDocument/2006/relationships/hyperlink" Target="https://leandergrech.github.io/Mizien/claims/CC-019/" TargetMode="External" Id="rId374"/><Relationship Type="http://schemas.openxmlformats.org/officeDocument/2006/relationships/hyperlink" Target="https://leandergrech.github.io/Mizien/claims/CC-019/" TargetMode="External" Id="rId375"/><Relationship Type="http://schemas.openxmlformats.org/officeDocument/2006/relationships/hyperlink" Target="https://leandergrech.github.io/Mizien/claims/CC-019/" TargetMode="External" Id="rId376"/><Relationship Type="http://schemas.openxmlformats.org/officeDocument/2006/relationships/hyperlink" Target="https://leandergrech.github.io/Mizien/claims/CC-019/" TargetMode="External" Id="rId377"/><Relationship Type="http://schemas.openxmlformats.org/officeDocument/2006/relationships/hyperlink" Target="https://leandergrech.github.io/Mizien/claims/CC-019/" TargetMode="External" Id="rId378"/><Relationship Type="http://schemas.openxmlformats.org/officeDocument/2006/relationships/hyperlink" Target="https://leandergrech.github.io/Mizien/claims/CC-019/" TargetMode="External" Id="rId379"/><Relationship Type="http://schemas.openxmlformats.org/officeDocument/2006/relationships/hyperlink" Target="https://leandergrech.github.io/Mizien/claims/CC-019/" TargetMode="External" Id="rId380"/><Relationship Type="http://schemas.openxmlformats.org/officeDocument/2006/relationships/hyperlink" Target="https://leandergrech.github.io/Mizien/claims/CC-019/" TargetMode="External" Id="rId381"/><Relationship Type="http://schemas.openxmlformats.org/officeDocument/2006/relationships/hyperlink" Target="https://leandergrech.github.io/Mizien/claims/CC-019/" TargetMode="External" Id="rId382"/><Relationship Type="http://schemas.openxmlformats.org/officeDocument/2006/relationships/hyperlink" Target="https://leandergrech.github.io/Mizien/claims/CC-019/" TargetMode="External" Id="rId383"/><Relationship Type="http://schemas.openxmlformats.org/officeDocument/2006/relationships/hyperlink" Target="https://leandergrech.github.io/Mizien/claims/CC-019/" TargetMode="External" Id="rId384"/><Relationship Type="http://schemas.openxmlformats.org/officeDocument/2006/relationships/hyperlink" Target="https://leandergrech.github.io/Mizien/claims/CC-020/" TargetMode="External" Id="rId385"/><Relationship Type="http://schemas.openxmlformats.org/officeDocument/2006/relationships/hyperlink" Target="https://leandergrech.github.io/Mizien/claims/CC-020/" TargetMode="External" Id="rId386"/><Relationship Type="http://schemas.openxmlformats.org/officeDocument/2006/relationships/hyperlink" Target="https://leandergrech.github.io/Mizien/claims/CC-020/" TargetMode="External" Id="rId387"/><Relationship Type="http://schemas.openxmlformats.org/officeDocument/2006/relationships/hyperlink" Target="https://leandergrech.github.io/Mizien/claims/CC-020/" TargetMode="External" Id="rId388"/><Relationship Type="http://schemas.openxmlformats.org/officeDocument/2006/relationships/hyperlink" Target="https://leandergrech.github.io/Mizien/claims/CC-020/" TargetMode="External" Id="rId389"/><Relationship Type="http://schemas.openxmlformats.org/officeDocument/2006/relationships/hyperlink" Target="https://leandergrech.github.io/Mizien/claims/CC-020/" TargetMode="External" Id="rId390"/><Relationship Type="http://schemas.openxmlformats.org/officeDocument/2006/relationships/hyperlink" Target="https://leandergrech.github.io/Mizien/claims/CC-020/" TargetMode="External" Id="rId391"/><Relationship Type="http://schemas.openxmlformats.org/officeDocument/2006/relationships/hyperlink" Target="https://leandergrech.github.io/Mizien/claims/CC-020/" TargetMode="External" Id="rId392"/><Relationship Type="http://schemas.openxmlformats.org/officeDocument/2006/relationships/hyperlink" Target="https://leandergrech.github.io/Mizien/claims/CC-020/" TargetMode="External" Id="rId393"/><Relationship Type="http://schemas.openxmlformats.org/officeDocument/2006/relationships/hyperlink" Target="https://leandergrech.github.io/Mizien/claims/CC-020/" TargetMode="External" Id="rId394"/><Relationship Type="http://schemas.openxmlformats.org/officeDocument/2006/relationships/hyperlink" Target="https://leandergrech.github.io/Mizien/claims/CC-020/" TargetMode="External" Id="rId395"/><Relationship Type="http://schemas.openxmlformats.org/officeDocument/2006/relationships/hyperlink" Target="https://leandergrech.github.io/Mizien/claims/CC-020/" TargetMode="External" Id="rId396"/><Relationship Type="http://schemas.openxmlformats.org/officeDocument/2006/relationships/hyperlink" Target="https://leandergrech.github.io/Mizien/claims/CC-020/" TargetMode="External" Id="rId397"/><Relationship Type="http://schemas.openxmlformats.org/officeDocument/2006/relationships/hyperlink" Target="https://leandergrech.github.io/Mizien/claims/CC-020/" TargetMode="External" Id="rId398"/><Relationship Type="http://schemas.openxmlformats.org/officeDocument/2006/relationships/hyperlink" Target="https://leandergrech.github.io/Mizien/claims/CC-020/" TargetMode="External" Id="rId399"/><Relationship Type="http://schemas.openxmlformats.org/officeDocument/2006/relationships/hyperlink" Target="https://leandergrech.github.io/Mizien/claims/CC-022/" TargetMode="External" Id="rId400"/><Relationship Type="http://schemas.openxmlformats.org/officeDocument/2006/relationships/hyperlink" Target="https://leandergrech.github.io/Mizien/claims/CC-022/" TargetMode="External" Id="rId401"/><Relationship Type="http://schemas.openxmlformats.org/officeDocument/2006/relationships/hyperlink" Target="https://leandergrech.github.io/Mizien/claims/CC-022/" TargetMode="External" Id="rId402"/><Relationship Type="http://schemas.openxmlformats.org/officeDocument/2006/relationships/hyperlink" Target="https://leandergrech.github.io/Mizien/claims/CC-022/" TargetMode="External" Id="rId403"/><Relationship Type="http://schemas.openxmlformats.org/officeDocument/2006/relationships/hyperlink" Target="https://leandergrech.github.io/Mizien/claims/CC-022/" TargetMode="External" Id="rId404"/><Relationship Type="http://schemas.openxmlformats.org/officeDocument/2006/relationships/hyperlink" Target="https://leandergrech.github.io/Mizien/claims/CC-022/" TargetMode="External" Id="rId405"/><Relationship Type="http://schemas.openxmlformats.org/officeDocument/2006/relationships/hyperlink" Target="https://leandergrech.github.io/Mizien/claims/CC-022/" TargetMode="External" Id="rId406"/><Relationship Type="http://schemas.openxmlformats.org/officeDocument/2006/relationships/hyperlink" Target="https://leandergrech.github.io/Mizien/claims/CC-022/" TargetMode="External" Id="rId407"/><Relationship Type="http://schemas.openxmlformats.org/officeDocument/2006/relationships/hyperlink" Target="https://leandergrech.github.io/Mizien/claims/CC-022/" TargetMode="External" Id="rId408"/><Relationship Type="http://schemas.openxmlformats.org/officeDocument/2006/relationships/hyperlink" Target="https://leandergrech.github.io/Mizien/claims/CC-022/" TargetMode="External" Id="rId409"/><Relationship Type="http://schemas.openxmlformats.org/officeDocument/2006/relationships/hyperlink" Target="https://leandergrech.github.io/Mizien/claims/CC-022/" TargetMode="External" Id="rId410"/><Relationship Type="http://schemas.openxmlformats.org/officeDocument/2006/relationships/hyperlink" Target="https://leandergrech.github.io/Mizien/claims/CC-022/" TargetMode="External" Id="rId411"/><Relationship Type="http://schemas.openxmlformats.org/officeDocument/2006/relationships/hyperlink" Target="https://leandergrech.github.io/Mizien/claims/CC-022/" TargetMode="External" Id="rId412"/><Relationship Type="http://schemas.openxmlformats.org/officeDocument/2006/relationships/hyperlink" Target="https://leandergrech.github.io/Mizien/claims/CC-022/" TargetMode="External" Id="rId413"/><Relationship Type="http://schemas.openxmlformats.org/officeDocument/2006/relationships/hyperlink" Target="https://leandergrech.github.io/Mizien/claims/CC-022/" TargetMode="External" Id="rId414"/><Relationship Type="http://schemas.openxmlformats.org/officeDocument/2006/relationships/hyperlink" Target="https://leandergrech.github.io/Mizien/claims/CC-022/" TargetMode="External" Id="rId415"/><Relationship Type="http://schemas.openxmlformats.org/officeDocument/2006/relationships/hyperlink" Target="https://leandergrech.github.io/Mizien/claims/CC-022/" TargetMode="External" Id="rId416"/><Relationship Type="http://schemas.openxmlformats.org/officeDocument/2006/relationships/hyperlink" Target="https://leandergrech.github.io/Mizien/claims/CC-022/" TargetMode="External" Id="rId417"/><Relationship Type="http://schemas.openxmlformats.org/officeDocument/2006/relationships/hyperlink" Target="https://leandergrech.github.io/Mizien/claims/CC-022/" TargetMode="External" Id="rId418"/><Relationship Type="http://schemas.openxmlformats.org/officeDocument/2006/relationships/hyperlink" Target="https://leandergrech.github.io/Mizien/claims/CC-022/" TargetMode="External" Id="rId419"/><Relationship Type="http://schemas.openxmlformats.org/officeDocument/2006/relationships/hyperlink" Target="https://leandergrech.github.io/Mizien/claims/CC-022/" TargetMode="External" Id="rId420"/><Relationship Type="http://schemas.openxmlformats.org/officeDocument/2006/relationships/hyperlink" Target="https://leandergrech.github.io/Mizien/claims/CC-022/" TargetMode="External" Id="rId421"/><Relationship Type="http://schemas.openxmlformats.org/officeDocument/2006/relationships/hyperlink" Target="https://leandergrech.github.io/Mizien/claims/CC-022/" TargetMode="External" Id="rId422"/><Relationship Type="http://schemas.openxmlformats.org/officeDocument/2006/relationships/hyperlink" Target="https://leandergrech.github.io/Mizien/claims/CC-022/" TargetMode="External" Id="rId423"/><Relationship Type="http://schemas.openxmlformats.org/officeDocument/2006/relationships/hyperlink" Target="https://leandergrech.github.io/Mizien/claims/CC-022/" TargetMode="External" Id="rId424"/><Relationship Type="http://schemas.openxmlformats.org/officeDocument/2006/relationships/hyperlink" Target="https://leandergrech.github.io/Mizien/claims/CC-022/" TargetMode="External" Id="rId425"/><Relationship Type="http://schemas.openxmlformats.org/officeDocument/2006/relationships/hyperlink" Target="https://leandergrech.github.io/Mizien/claims/CC-022/" TargetMode="External" Id="rId426"/><Relationship Type="http://schemas.openxmlformats.org/officeDocument/2006/relationships/hyperlink" Target="https://leandergrech.github.io/Mizien/claims/CC-022/" TargetMode="External" Id="rId427"/><Relationship Type="http://schemas.openxmlformats.org/officeDocument/2006/relationships/hyperlink" Target="https://leandergrech.github.io/Mizien/claims/CC-022/" TargetMode="External" Id="rId428"/><Relationship Type="http://schemas.openxmlformats.org/officeDocument/2006/relationships/hyperlink" Target="https://leandergrech.github.io/Mizien/claims/CC-022/" TargetMode="External" Id="rId429"/><Relationship Type="http://schemas.openxmlformats.org/officeDocument/2006/relationships/hyperlink" Target="https://leandergrech.github.io/Mizien/claims/CC-022/" TargetMode="External" Id="rId430"/><Relationship Type="http://schemas.openxmlformats.org/officeDocument/2006/relationships/hyperlink" Target="https://leandergrech.github.io/Mizien/claims/CC-022/" TargetMode="External" Id="rId431"/><Relationship Type="http://schemas.openxmlformats.org/officeDocument/2006/relationships/hyperlink" Target="https://leandergrech.github.io/Mizien/claims/CC-022/" TargetMode="External" Id="rId432"/><Relationship Type="http://schemas.openxmlformats.org/officeDocument/2006/relationships/hyperlink" Target="https://leandergrech.github.io/Mizien/claims/CC-022/" TargetMode="External" Id="rId433"/><Relationship Type="http://schemas.openxmlformats.org/officeDocument/2006/relationships/hyperlink" Target="https://leandergrech.github.io/Mizien/claims/CC-022/" TargetMode="External" Id="rId434"/><Relationship Type="http://schemas.openxmlformats.org/officeDocument/2006/relationships/hyperlink" Target="https://leandergrech.github.io/Mizien/claims/CC-022/" TargetMode="External" Id="rId435"/><Relationship Type="http://schemas.openxmlformats.org/officeDocument/2006/relationships/hyperlink" Target="https://leandergrech.github.io/Mizien/claims/CC-022/" TargetMode="External" Id="rId436"/><Relationship Type="http://schemas.openxmlformats.org/officeDocument/2006/relationships/hyperlink" Target="https://leandergrech.github.io/Mizien/claims/CC-022/" TargetMode="External" Id="rId437"/><Relationship Type="http://schemas.openxmlformats.org/officeDocument/2006/relationships/hyperlink" Target="https://leandergrech.github.io/Mizien/claims/CC-022/" TargetMode="External" Id="rId438"/><Relationship Type="http://schemas.openxmlformats.org/officeDocument/2006/relationships/hyperlink" Target="https://leandergrech.github.io/Mizien/claims/CC-022/" TargetMode="External" Id="rId439"/><Relationship Type="http://schemas.openxmlformats.org/officeDocument/2006/relationships/hyperlink" Target="https://leandergrech.github.io/Mizien/claims/CC-022/" TargetMode="External" Id="rId440"/><Relationship Type="http://schemas.openxmlformats.org/officeDocument/2006/relationships/hyperlink" Target="https://leandergrech.github.io/Mizien/claims/CC-022/" TargetMode="External" Id="rId441"/><Relationship Type="http://schemas.openxmlformats.org/officeDocument/2006/relationships/hyperlink" Target="https://leandergrech.github.io/Mizien/claims/CC-022/" TargetMode="External" Id="rId442"/><Relationship Type="http://schemas.openxmlformats.org/officeDocument/2006/relationships/hyperlink" Target="https://leandergrech.github.io/Mizien/claims/CC-022/" TargetMode="External" Id="rId443"/><Relationship Type="http://schemas.openxmlformats.org/officeDocument/2006/relationships/hyperlink" Target="https://leandergrech.github.io/Mizien/claims/CC-022/" TargetMode="External" Id="rId444"/><Relationship Type="http://schemas.openxmlformats.org/officeDocument/2006/relationships/hyperlink" Target="https://leandergrech.github.io/Mizien/claims/CC-022/" TargetMode="External" Id="rId445"/><Relationship Type="http://schemas.openxmlformats.org/officeDocument/2006/relationships/hyperlink" Target="https://leandergrech.github.io/Mizien/claims/CC-022/" TargetMode="External" Id="rId446"/><Relationship Type="http://schemas.openxmlformats.org/officeDocument/2006/relationships/hyperlink" Target="https://leandergrech.github.io/Mizien/claims/CC-022/" TargetMode="External" Id="rId447"/><Relationship Type="http://schemas.openxmlformats.org/officeDocument/2006/relationships/hyperlink" Target="https://leandergrech.github.io/Mizien/claims/CC-022/" TargetMode="External" Id="rId448"/><Relationship Type="http://schemas.openxmlformats.org/officeDocument/2006/relationships/hyperlink" Target="https://leandergrech.github.io/Mizien/claims/CC-022/" TargetMode="External" Id="rId449"/><Relationship Type="http://schemas.openxmlformats.org/officeDocument/2006/relationships/hyperlink" Target="https://leandergrech.github.io/Mizien/claims/CC-022/" TargetMode="External" Id="rId450"/><Relationship Type="http://schemas.openxmlformats.org/officeDocument/2006/relationships/hyperlink" Target="https://leandergrech.github.io/Mizien/claims/CC-022/" TargetMode="External" Id="rId451"/><Relationship Type="http://schemas.openxmlformats.org/officeDocument/2006/relationships/hyperlink" Target="https://leandergrech.github.io/Mizien/claims/CC-022/" TargetMode="External" Id="rId452"/><Relationship Type="http://schemas.openxmlformats.org/officeDocument/2006/relationships/hyperlink" Target="https://leandergrech.github.io/Mizien/claims/CC-022/" TargetMode="External" Id="rId453"/><Relationship Type="http://schemas.openxmlformats.org/officeDocument/2006/relationships/hyperlink" Target="https://leandergrech.github.io/Mizien/claims/CC-022/" TargetMode="External" Id="rId454"/><Relationship Type="http://schemas.openxmlformats.org/officeDocument/2006/relationships/hyperlink" Target="https://leandergrech.github.io/Mizien/claims/CC-022/" TargetMode="External" Id="rId455"/><Relationship Type="http://schemas.openxmlformats.org/officeDocument/2006/relationships/hyperlink" Target="https://leandergrech.github.io/Mizien/claims/CC-022/" TargetMode="External" Id="rId456"/><Relationship Type="http://schemas.openxmlformats.org/officeDocument/2006/relationships/hyperlink" Target="https://leandergrech.github.io/Mizien/claims/CC-022/" TargetMode="External" Id="rId457"/><Relationship Type="http://schemas.openxmlformats.org/officeDocument/2006/relationships/hyperlink" Target="https://leandergrech.github.io/Mizien/claims/CC-022/" TargetMode="External" Id="rId458"/><Relationship Type="http://schemas.openxmlformats.org/officeDocument/2006/relationships/hyperlink" Target="https://leandergrech.github.io/Mizien/claims/CC-022/" TargetMode="External" Id="rId459"/><Relationship Type="http://schemas.openxmlformats.org/officeDocument/2006/relationships/hyperlink" Target="https://leandergrech.github.io/Mizien/claims/CC-024/" TargetMode="External" Id="rId460"/><Relationship Type="http://schemas.openxmlformats.org/officeDocument/2006/relationships/hyperlink" Target="https://leandergrech.github.io/Mizien/claims/CC-024/" TargetMode="External" Id="rId461"/><Relationship Type="http://schemas.openxmlformats.org/officeDocument/2006/relationships/hyperlink" Target="https://leandergrech.github.io/Mizien/claims/CC-024/" TargetMode="External" Id="rId462"/><Relationship Type="http://schemas.openxmlformats.org/officeDocument/2006/relationships/hyperlink" Target="https://leandergrech.github.io/Mizien/claims/CC-024/" TargetMode="External" Id="rId463"/><Relationship Type="http://schemas.openxmlformats.org/officeDocument/2006/relationships/hyperlink" Target="https://leandergrech.github.io/Mizien/claims/CC-024/" TargetMode="External" Id="rId464"/><Relationship Type="http://schemas.openxmlformats.org/officeDocument/2006/relationships/hyperlink" Target="https://leandergrech.github.io/Mizien/claims/CC-024/" TargetMode="External" Id="rId465"/><Relationship Type="http://schemas.openxmlformats.org/officeDocument/2006/relationships/hyperlink" Target="https://leandergrech.github.io/Mizien/claims/CC-024/" TargetMode="External" Id="rId466"/><Relationship Type="http://schemas.openxmlformats.org/officeDocument/2006/relationships/hyperlink" Target="https://leandergrech.github.io/Mizien/claims/CC-024/" TargetMode="External" Id="rId467"/><Relationship Type="http://schemas.openxmlformats.org/officeDocument/2006/relationships/hyperlink" Target="https://leandergrech.github.io/Mizien/claims/CC-024/" TargetMode="External" Id="rId468"/><Relationship Type="http://schemas.openxmlformats.org/officeDocument/2006/relationships/hyperlink" Target="https://leandergrech.github.io/Mizien/claims/CC-024/" TargetMode="External" Id="rId469"/><Relationship Type="http://schemas.openxmlformats.org/officeDocument/2006/relationships/hyperlink" Target="https://leandergrech.github.io/Mizien/claims/CC-024/" TargetMode="External" Id="rId470"/><Relationship Type="http://schemas.openxmlformats.org/officeDocument/2006/relationships/hyperlink" Target="https://leandergrech.github.io/Mizien/claims/CC-024/" TargetMode="External" Id="rId471"/><Relationship Type="http://schemas.openxmlformats.org/officeDocument/2006/relationships/hyperlink" Target="https://leandergrech.github.io/Mizien/claims/CC-024/" TargetMode="External" Id="rId472"/><Relationship Type="http://schemas.openxmlformats.org/officeDocument/2006/relationships/hyperlink" Target="https://leandergrech.github.io/Mizien/claims/CC-024/" TargetMode="External" Id="rId473"/><Relationship Type="http://schemas.openxmlformats.org/officeDocument/2006/relationships/hyperlink" Target="https://leandergrech.github.io/Mizien/claims/CC-024/" TargetMode="External" Id="rId474"/><Relationship Type="http://schemas.openxmlformats.org/officeDocument/2006/relationships/hyperlink" Target="https://leandergrech.github.io/Mizien/claims/CC-024/" TargetMode="External" Id="rId475"/><Relationship Type="http://schemas.openxmlformats.org/officeDocument/2006/relationships/hyperlink" Target="https://leandergrech.github.io/Mizien/claims/CC-024/" TargetMode="External" Id="rId476"/><Relationship Type="http://schemas.openxmlformats.org/officeDocument/2006/relationships/hyperlink" Target="https://leandergrech.github.io/Mizien/claims/CC-024/" TargetMode="External" Id="rId477"/><Relationship Type="http://schemas.openxmlformats.org/officeDocument/2006/relationships/hyperlink" Target="https://leandergrech.github.io/Mizien/claims/CC-024/" TargetMode="External" Id="rId478"/><Relationship Type="http://schemas.openxmlformats.org/officeDocument/2006/relationships/hyperlink" Target="https://leandergrech.github.io/Mizien/claims/CC-024/" TargetMode="External" Id="rId479"/><Relationship Type="http://schemas.openxmlformats.org/officeDocument/2006/relationships/hyperlink" Target="https://leandergrech.github.io/Mizien/claims/CC-024/" TargetMode="External" Id="rId480"/><Relationship Type="http://schemas.openxmlformats.org/officeDocument/2006/relationships/hyperlink" Target="https://leandergrech.github.io/Mizien/claims/CC-024/" TargetMode="External" Id="rId481"/><Relationship Type="http://schemas.openxmlformats.org/officeDocument/2006/relationships/hyperlink" Target="https://leandergrech.github.io/Mizien/claims/CC-024/" TargetMode="External" Id="rId482"/><Relationship Type="http://schemas.openxmlformats.org/officeDocument/2006/relationships/hyperlink" Target="https://leandergrech.github.io/Mizien/claims/CC-024/" TargetMode="External" Id="rId483"/><Relationship Type="http://schemas.openxmlformats.org/officeDocument/2006/relationships/hyperlink" Target="https://leandergrech.github.io/Mizien/claims/CC-024/" TargetMode="External" Id="rId484"/><Relationship Type="http://schemas.openxmlformats.org/officeDocument/2006/relationships/hyperlink" Target="https://leandergrech.github.io/Mizien/claims/CC-024/" TargetMode="External" Id="rId485"/><Relationship Type="http://schemas.openxmlformats.org/officeDocument/2006/relationships/hyperlink" Target="https://leandergrech.github.io/Mizien/claims/CC-025/" TargetMode="External" Id="rId486"/><Relationship Type="http://schemas.openxmlformats.org/officeDocument/2006/relationships/hyperlink" Target="https://leandergrech.github.io/Mizien/claims/CC-025/" TargetMode="External" Id="rId487"/><Relationship Type="http://schemas.openxmlformats.org/officeDocument/2006/relationships/hyperlink" Target="https://leandergrech.github.io/Mizien/claims/CC-025/" TargetMode="External" Id="rId488"/><Relationship Type="http://schemas.openxmlformats.org/officeDocument/2006/relationships/hyperlink" Target="https://leandergrech.github.io/Mizien/claims/CC-025/" TargetMode="External" Id="rId489"/><Relationship Type="http://schemas.openxmlformats.org/officeDocument/2006/relationships/hyperlink" Target="https://leandergrech.github.io/Mizien/claims/CC-025/" TargetMode="External" Id="rId490"/><Relationship Type="http://schemas.openxmlformats.org/officeDocument/2006/relationships/hyperlink" Target="https://leandergrech.github.io/Mizien/claims/CC-025/" TargetMode="External" Id="rId491"/><Relationship Type="http://schemas.openxmlformats.org/officeDocument/2006/relationships/hyperlink" Target="https://leandergrech.github.io/Mizien/claims/CC-025/" TargetMode="External" Id="rId492"/><Relationship Type="http://schemas.openxmlformats.org/officeDocument/2006/relationships/hyperlink" Target="https://leandergrech.github.io/Mizien/claims/CC-025/" TargetMode="External" Id="rId493"/><Relationship Type="http://schemas.openxmlformats.org/officeDocument/2006/relationships/hyperlink" Target="https://leandergrech.github.io/Mizien/claims/CC-025/" TargetMode="External" Id="rId494"/><Relationship Type="http://schemas.openxmlformats.org/officeDocument/2006/relationships/hyperlink" Target="https://leandergrech.github.io/Mizien/claims/CC-025/" TargetMode="External" Id="rId495"/><Relationship Type="http://schemas.openxmlformats.org/officeDocument/2006/relationships/hyperlink" Target="https://leandergrech.github.io/Mizien/claims/CC-025/" TargetMode="External" Id="rId496"/><Relationship Type="http://schemas.openxmlformats.org/officeDocument/2006/relationships/hyperlink" Target="https://leandergrech.github.io/Mizien/claims/CC-025/" TargetMode="External" Id="rId497"/><Relationship Type="http://schemas.openxmlformats.org/officeDocument/2006/relationships/hyperlink" Target="https://leandergrech.github.io/Mizien/claims/CC-025/" TargetMode="External" Id="rId498"/><Relationship Type="http://schemas.openxmlformats.org/officeDocument/2006/relationships/hyperlink" Target="https://leandergrech.github.io/Mizien/claims/CC-025/" TargetMode="External" Id="rId499"/><Relationship Type="http://schemas.openxmlformats.org/officeDocument/2006/relationships/hyperlink" Target="https://leandergrech.github.io/Mizien/claims/CC-025/" TargetMode="External" Id="rId500"/><Relationship Type="http://schemas.openxmlformats.org/officeDocument/2006/relationships/hyperlink" Target="https://leandergrech.github.io/Mizien/claims/CC-025/" TargetMode="External" Id="rId501"/><Relationship Type="http://schemas.openxmlformats.org/officeDocument/2006/relationships/hyperlink" Target="https://leandergrech.github.io/Mizien/claims/CC-025/" TargetMode="External" Id="rId502"/><Relationship Type="http://schemas.openxmlformats.org/officeDocument/2006/relationships/hyperlink" Target="https://leandergrech.github.io/Mizien/claims/CC-025/" TargetMode="External" Id="rId503"/><Relationship Type="http://schemas.openxmlformats.org/officeDocument/2006/relationships/hyperlink" Target="https://leandergrech.github.io/Mizien/claims/CC-025/" TargetMode="External" Id="rId504"/><Relationship Type="http://schemas.openxmlformats.org/officeDocument/2006/relationships/hyperlink" Target="https://leandergrech.github.io/Mizien/claims/CC-025/" TargetMode="External" Id="rId505"/><Relationship Type="http://schemas.openxmlformats.org/officeDocument/2006/relationships/hyperlink" Target="https://leandergrech.github.io/Mizien/claims/CC-025/" TargetMode="External" Id="rId506"/><Relationship Type="http://schemas.openxmlformats.org/officeDocument/2006/relationships/hyperlink" Target="https://leandergrech.github.io/Mizien/claims/CC-025/" TargetMode="External" Id="rId507"/><Relationship Type="http://schemas.openxmlformats.org/officeDocument/2006/relationships/hyperlink" Target="https://leandergrech.github.io/Mizien/claims/CC-025/" TargetMode="External" Id="rId508"/><Relationship Type="http://schemas.openxmlformats.org/officeDocument/2006/relationships/hyperlink" Target="https://leandergrech.github.io/Mizien/claims/CC-025/" TargetMode="External" Id="rId509"/><Relationship Type="http://schemas.openxmlformats.org/officeDocument/2006/relationships/hyperlink" Target="https://leandergrech.github.io/Mizien/claims/CC-025/" TargetMode="External" Id="rId510"/><Relationship Type="http://schemas.openxmlformats.org/officeDocument/2006/relationships/hyperlink" Target="https://leandergrech.github.io/Mizien/claims/CC-025/" TargetMode="External" Id="rId511"/><Relationship Type="http://schemas.openxmlformats.org/officeDocument/2006/relationships/hyperlink" Target="https://leandergrech.github.io/Mizien/claims/CC-025/" TargetMode="External" Id="rId512"/><Relationship Type="http://schemas.openxmlformats.org/officeDocument/2006/relationships/hyperlink" Target="https://leandergrech.github.io/Mizien/claims/CC-025/" TargetMode="External" Id="rId513"/><Relationship Type="http://schemas.openxmlformats.org/officeDocument/2006/relationships/hyperlink" Target="https://leandergrech.github.io/Mizien/claims/CC-025/" TargetMode="External" Id="rId514"/><Relationship Type="http://schemas.openxmlformats.org/officeDocument/2006/relationships/hyperlink" Target="https://leandergrech.github.io/Mizien/claims/CC-025/" TargetMode="External" Id="rId515"/><Relationship Type="http://schemas.openxmlformats.org/officeDocument/2006/relationships/hyperlink" Target="https://leandergrech.github.io/Mizien/claims/CC-025/" TargetMode="External" Id="rId516"/><Relationship Type="http://schemas.openxmlformats.org/officeDocument/2006/relationships/hyperlink" Target="https://leandergrech.github.io/Mizien/claims/CC-025/" TargetMode="External" Id="rId517"/><Relationship Type="http://schemas.openxmlformats.org/officeDocument/2006/relationships/hyperlink" Target="https://leandergrech.github.io/Mizien/claims/CC-025/" TargetMode="External" Id="rId518"/><Relationship Type="http://schemas.openxmlformats.org/officeDocument/2006/relationships/hyperlink" Target="https://leandergrech.github.io/Mizien/claims/CC-025/" TargetMode="External" Id="rId519"/><Relationship Type="http://schemas.openxmlformats.org/officeDocument/2006/relationships/hyperlink" Target="https://leandergrech.github.io/Mizien/claims/CC-025/" TargetMode="External" Id="rId520"/><Relationship Type="http://schemas.openxmlformats.org/officeDocument/2006/relationships/hyperlink" Target="https://leandergrech.github.io/Mizien/claims/CC-025/" TargetMode="External" Id="rId521"/><Relationship Type="http://schemas.openxmlformats.org/officeDocument/2006/relationships/hyperlink" Target="https://leandergrech.github.io/Mizien/claims/CC-025/" TargetMode="External" Id="rId522"/><Relationship Type="http://schemas.openxmlformats.org/officeDocument/2006/relationships/hyperlink" Target="https://leandergrech.github.io/Mizien/claims/CC-025/" TargetMode="External" Id="rId523"/><Relationship Type="http://schemas.openxmlformats.org/officeDocument/2006/relationships/hyperlink" Target="https://leandergrech.github.io/Mizien/claims/CC-025/" TargetMode="External" Id="rId524"/><Relationship Type="http://schemas.openxmlformats.org/officeDocument/2006/relationships/hyperlink" Target="https://leandergrech.github.io/Mizien/claims/CC-025/" TargetMode="External" Id="rId525"/><Relationship Type="http://schemas.openxmlformats.org/officeDocument/2006/relationships/hyperlink" Target="https://leandergrech.github.io/Mizien/claims/CC-026/" TargetMode="External" Id="rId526"/><Relationship Type="http://schemas.openxmlformats.org/officeDocument/2006/relationships/hyperlink" Target="https://leandergrech.github.io/Mizien/claims/CC-026/" TargetMode="External" Id="rId527"/><Relationship Type="http://schemas.openxmlformats.org/officeDocument/2006/relationships/hyperlink" Target="https://leandergrech.github.io/Mizien/claims/CC-026/" TargetMode="External" Id="rId528"/><Relationship Type="http://schemas.openxmlformats.org/officeDocument/2006/relationships/hyperlink" Target="https://leandergrech.github.io/Mizien/claims/CC-026/" TargetMode="External" Id="rId529"/><Relationship Type="http://schemas.openxmlformats.org/officeDocument/2006/relationships/hyperlink" Target="https://leandergrech.github.io/Mizien/claims/CC-026/" TargetMode="External" Id="rId530"/><Relationship Type="http://schemas.openxmlformats.org/officeDocument/2006/relationships/hyperlink" Target="https://leandergrech.github.io/Mizien/claims/CC-026/" TargetMode="External" Id="rId531"/><Relationship Type="http://schemas.openxmlformats.org/officeDocument/2006/relationships/hyperlink" Target="https://leandergrech.github.io/Mizien/claims/CC-026/" TargetMode="External" Id="rId532"/><Relationship Type="http://schemas.openxmlformats.org/officeDocument/2006/relationships/hyperlink" Target="https://leandergrech.github.io/Mizien/claims/CC-026/" TargetMode="External" Id="rId533"/><Relationship Type="http://schemas.openxmlformats.org/officeDocument/2006/relationships/hyperlink" Target="https://leandergrech.github.io/Mizien/claims/CC-026/" TargetMode="External" Id="rId534"/><Relationship Type="http://schemas.openxmlformats.org/officeDocument/2006/relationships/hyperlink" Target="https://leandergrech.github.io/Mizien/claims/CC-026/" TargetMode="External" Id="rId535"/><Relationship Type="http://schemas.openxmlformats.org/officeDocument/2006/relationships/hyperlink" Target="https://leandergrech.github.io/Mizien/claims/CC-026/" TargetMode="External" Id="rId536"/><Relationship Type="http://schemas.openxmlformats.org/officeDocument/2006/relationships/hyperlink" Target="https://leandergrech.github.io/Mizien/claims/CC-026/" TargetMode="External" Id="rId537"/><Relationship Type="http://schemas.openxmlformats.org/officeDocument/2006/relationships/hyperlink" Target="https://leandergrech.github.io/Mizien/claims/CC-026/" TargetMode="External" Id="rId538"/><Relationship Type="http://schemas.openxmlformats.org/officeDocument/2006/relationships/hyperlink" Target="https://leandergrech.github.io/Mizien/claims/CC-026/" TargetMode="External" Id="rId539"/><Relationship Type="http://schemas.openxmlformats.org/officeDocument/2006/relationships/hyperlink" Target="https://leandergrech.github.io/Mizien/claims/CC-026/" TargetMode="External" Id="rId540"/><Relationship Type="http://schemas.openxmlformats.org/officeDocument/2006/relationships/hyperlink" Target="https://leandergrech.github.io/Mizien/claims/CC-026/" TargetMode="External" Id="rId541"/><Relationship Type="http://schemas.openxmlformats.org/officeDocument/2006/relationships/hyperlink" Target="https://leandergrech.github.io/Mizien/claims/CC-026/" TargetMode="External" Id="rId542"/><Relationship Type="http://schemas.openxmlformats.org/officeDocument/2006/relationships/hyperlink" Target="https://leandergrech.github.io/Mizien/claims/CC-026/" TargetMode="External" Id="rId543"/><Relationship Type="http://schemas.openxmlformats.org/officeDocument/2006/relationships/hyperlink" Target="https://leandergrech.github.io/Mizien/claims/CC-029/" TargetMode="External" Id="rId544"/><Relationship Type="http://schemas.openxmlformats.org/officeDocument/2006/relationships/hyperlink" Target="https://leandergrech.github.io/Mizien/claims/CC-029/" TargetMode="External" Id="rId545"/><Relationship Type="http://schemas.openxmlformats.org/officeDocument/2006/relationships/hyperlink" Target="https://leandergrech.github.io/Mizien/claims/CC-029/" TargetMode="External" Id="rId546"/><Relationship Type="http://schemas.openxmlformats.org/officeDocument/2006/relationships/hyperlink" Target="https://leandergrech.github.io/Mizien/claims/CC-029/" TargetMode="External" Id="rId547"/><Relationship Type="http://schemas.openxmlformats.org/officeDocument/2006/relationships/hyperlink" Target="https://leandergrech.github.io/Mizien/claims/CC-029/" TargetMode="External" Id="rId548"/><Relationship Type="http://schemas.openxmlformats.org/officeDocument/2006/relationships/hyperlink" Target="https://leandergrech.github.io/Mizien/claims/CC-029/" TargetMode="External" Id="rId549"/><Relationship Type="http://schemas.openxmlformats.org/officeDocument/2006/relationships/hyperlink" Target="https://leandergrech.github.io/Mizien/claims/CC-029/" TargetMode="External" Id="rId550"/><Relationship Type="http://schemas.openxmlformats.org/officeDocument/2006/relationships/hyperlink" Target="https://leandergrech.github.io/Mizien/claims/CC-029/" TargetMode="External" Id="rId551"/><Relationship Type="http://schemas.openxmlformats.org/officeDocument/2006/relationships/hyperlink" Target="https://leandergrech.github.io/Mizien/claims/CC-029/" TargetMode="External" Id="rId552"/><Relationship Type="http://schemas.openxmlformats.org/officeDocument/2006/relationships/hyperlink" Target="https://leandergrech.github.io/Mizien/claims/CC-029/" TargetMode="External" Id="rId553"/><Relationship Type="http://schemas.openxmlformats.org/officeDocument/2006/relationships/hyperlink" Target="https://leandergrech.github.io/Mizien/claims/CC-029/" TargetMode="External" Id="rId554"/><Relationship Type="http://schemas.openxmlformats.org/officeDocument/2006/relationships/hyperlink" Target="https://leandergrech.github.io/Mizien/claims/CC-029/" TargetMode="External" Id="rId555"/><Relationship Type="http://schemas.openxmlformats.org/officeDocument/2006/relationships/hyperlink" Target="https://leandergrech.github.io/Mizien/claims/CC-029/" TargetMode="External" Id="rId556"/><Relationship Type="http://schemas.openxmlformats.org/officeDocument/2006/relationships/hyperlink" Target="https://leandergrech.github.io/Mizien/claims/CC-029/" TargetMode="External" Id="rId557"/><Relationship Type="http://schemas.openxmlformats.org/officeDocument/2006/relationships/hyperlink" Target="https://leandergrech.github.io/Mizien/claims/CC-030/" TargetMode="External" Id="rId558"/><Relationship Type="http://schemas.openxmlformats.org/officeDocument/2006/relationships/hyperlink" Target="https://leandergrech.github.io/Mizien/claims/CC-030/" TargetMode="External" Id="rId559"/><Relationship Type="http://schemas.openxmlformats.org/officeDocument/2006/relationships/hyperlink" Target="https://leandergrech.github.io/Mizien/claims/CC-030/" TargetMode="External" Id="rId560"/><Relationship Type="http://schemas.openxmlformats.org/officeDocument/2006/relationships/hyperlink" Target="https://leandergrech.github.io/Mizien/claims/CC-030/" TargetMode="External" Id="rId561"/><Relationship Type="http://schemas.openxmlformats.org/officeDocument/2006/relationships/hyperlink" Target="https://leandergrech.github.io/Mizien/claims/CC-030/" TargetMode="External" Id="rId562"/><Relationship Type="http://schemas.openxmlformats.org/officeDocument/2006/relationships/hyperlink" Target="https://leandergrech.github.io/Mizien/claims/CC-030/" TargetMode="External" Id="rId563"/><Relationship Type="http://schemas.openxmlformats.org/officeDocument/2006/relationships/hyperlink" Target="https://leandergrech.github.io/Mizien/claims/CC-030/" TargetMode="External" Id="rId564"/><Relationship Type="http://schemas.openxmlformats.org/officeDocument/2006/relationships/hyperlink" Target="https://leandergrech.github.io/Mizien/claims/CC-030/" TargetMode="External" Id="rId565"/><Relationship Type="http://schemas.openxmlformats.org/officeDocument/2006/relationships/hyperlink" Target="https://leandergrech.github.io/Mizien/claims/CC-030/" TargetMode="External" Id="rId566"/><Relationship Type="http://schemas.openxmlformats.org/officeDocument/2006/relationships/hyperlink" Target="https://leandergrech.github.io/Mizien/claims/CC-030/" TargetMode="External" Id="rId567"/><Relationship Type="http://schemas.openxmlformats.org/officeDocument/2006/relationships/hyperlink" Target="https://leandergrech.github.io/Mizien/claims/CC-030/" TargetMode="External" Id="rId568"/><Relationship Type="http://schemas.openxmlformats.org/officeDocument/2006/relationships/hyperlink" Target="https://leandergrech.github.io/Mizien/claims/CC-030/" TargetMode="External" Id="rId569"/><Relationship Type="http://schemas.openxmlformats.org/officeDocument/2006/relationships/hyperlink" Target="https://leandergrech.github.io/Mizien/claims/CC-030/" TargetMode="External" Id="rId570"/><Relationship Type="http://schemas.openxmlformats.org/officeDocument/2006/relationships/hyperlink" Target="https://leandergrech.github.io/Mizien/claims/CC-030/" TargetMode="External" Id="rId571"/><Relationship Type="http://schemas.openxmlformats.org/officeDocument/2006/relationships/hyperlink" Target="https://leandergrech.github.io/Mizien/claims/CC-030/" TargetMode="External" Id="rId572"/><Relationship Type="http://schemas.openxmlformats.org/officeDocument/2006/relationships/hyperlink" Target="https://leandergrech.github.io/Mizien/claims/CC-030/" TargetMode="External" Id="rId573"/><Relationship Type="http://schemas.openxmlformats.org/officeDocument/2006/relationships/hyperlink" Target="https://leandergrech.github.io/Mizien/claims/CC-030/" TargetMode="External" Id="rId574"/><Relationship Type="http://schemas.openxmlformats.org/officeDocument/2006/relationships/hyperlink" Target="https://leandergrech.github.io/Mizien/claims/CC-030/" TargetMode="External" Id="rId575"/><Relationship Type="http://schemas.openxmlformats.org/officeDocument/2006/relationships/hyperlink" Target="https://leandergrech.github.io/Mizien/claims/CC-030/" TargetMode="External" Id="rId576"/><Relationship Type="http://schemas.openxmlformats.org/officeDocument/2006/relationships/hyperlink" Target="https://leandergrech.github.io/Mizien/claims/CC-030/" TargetMode="External" Id="rId577"/><Relationship Type="http://schemas.openxmlformats.org/officeDocument/2006/relationships/hyperlink" Target="https://leandergrech.github.io/Mizien/claims/CC-030/" TargetMode="External" Id="rId578"/><Relationship Type="http://schemas.openxmlformats.org/officeDocument/2006/relationships/hyperlink" Target="https://leandergrech.github.io/Mizien/claims/CC-030/" TargetMode="External" Id="rId579"/><Relationship Type="http://schemas.openxmlformats.org/officeDocument/2006/relationships/hyperlink" Target="https://leandergrech.github.io/Mizien/claims/CC-030/" TargetMode="External" Id="rId580"/><Relationship Type="http://schemas.openxmlformats.org/officeDocument/2006/relationships/hyperlink" Target="https://leandergrech.github.io/Mizien/claims/CC-030/" TargetMode="External" Id="rId581"/><Relationship Type="http://schemas.openxmlformats.org/officeDocument/2006/relationships/hyperlink" Target="https://leandergrech.github.io/Mizien/claims/CC-030/" TargetMode="External" Id="rId582"/><Relationship Type="http://schemas.openxmlformats.org/officeDocument/2006/relationships/hyperlink" Target="https://leandergrech.github.io/Mizien/claims/CC-030/" TargetMode="External" Id="rId583"/><Relationship Type="http://schemas.openxmlformats.org/officeDocument/2006/relationships/hyperlink" Target="https://leandergrech.github.io/Mizien/claims/CC-030/" TargetMode="External" Id="rId584"/><Relationship Type="http://schemas.openxmlformats.org/officeDocument/2006/relationships/hyperlink" Target="https://leandergrech.github.io/Mizien/claims/CC-030/" TargetMode="External" Id="rId585"/><Relationship Type="http://schemas.openxmlformats.org/officeDocument/2006/relationships/hyperlink" Target="https://leandergrech.github.io/Mizien/claims/CC-030/" TargetMode="External" Id="rId586"/><Relationship Type="http://schemas.openxmlformats.org/officeDocument/2006/relationships/hyperlink" Target="https://leandergrech.github.io/Mizien/claims/CC-030/" TargetMode="External" Id="rId587"/><Relationship Type="http://schemas.openxmlformats.org/officeDocument/2006/relationships/hyperlink" Target="https://leandergrech.github.io/Mizien/claims/CC-030/" TargetMode="External" Id="rId588"/><Relationship Type="http://schemas.openxmlformats.org/officeDocument/2006/relationships/hyperlink" Target="https://leandergrech.github.io/Mizien/claims/CC-030/" TargetMode="External" Id="rId589"/><Relationship Type="http://schemas.openxmlformats.org/officeDocument/2006/relationships/hyperlink" Target="https://leandergrech.github.io/Mizien/claims/CC-030/" TargetMode="External" Id="rId590"/><Relationship Type="http://schemas.openxmlformats.org/officeDocument/2006/relationships/hyperlink" Target="https://leandergrech.github.io/Mizien/claims/CC-030/" TargetMode="External" Id="rId591"/><Relationship Type="http://schemas.openxmlformats.org/officeDocument/2006/relationships/hyperlink" Target="https://leandergrech.github.io/Mizien/claims/CC-030/" TargetMode="External" Id="rId592"/><Relationship Type="http://schemas.openxmlformats.org/officeDocument/2006/relationships/hyperlink" Target="https://leandergrech.github.io/Mizien/claims/CC-030/" TargetMode="External" Id="rId593"/><Relationship Type="http://schemas.openxmlformats.org/officeDocument/2006/relationships/hyperlink" Target="https://leandergrech.github.io/Mizien/claims/CC-030/" TargetMode="External" Id="rId594"/><Relationship Type="http://schemas.openxmlformats.org/officeDocument/2006/relationships/hyperlink" Target="https://leandergrech.github.io/Mizien/claims/CC-030/" TargetMode="External" Id="rId595"/><Relationship Type="http://schemas.openxmlformats.org/officeDocument/2006/relationships/hyperlink" Target="https://leandergrech.github.io/Mizien/claims/CC-030/" TargetMode="External" Id="rId596"/><Relationship Type="http://schemas.openxmlformats.org/officeDocument/2006/relationships/hyperlink" Target="https://leandergrech.github.io/Mizien/claims/CC-030/" TargetMode="External" Id="rId597"/><Relationship Type="http://schemas.openxmlformats.org/officeDocument/2006/relationships/hyperlink" Target="https://leandergrech.github.io/Mizien/claims/CC-030/" TargetMode="External" Id="rId598"/><Relationship Type="http://schemas.openxmlformats.org/officeDocument/2006/relationships/hyperlink" Target="https://leandergrech.github.io/Mizien/claims/CC-030/" TargetMode="External" Id="rId599"/><Relationship Type="http://schemas.openxmlformats.org/officeDocument/2006/relationships/hyperlink" Target="https://leandergrech.github.io/Mizien/claims/CC-030/" TargetMode="External" Id="rId600"/><Relationship Type="http://schemas.openxmlformats.org/officeDocument/2006/relationships/hyperlink" Target="https://leandergrech.github.io/Mizien/claims/CC-030/" TargetMode="External" Id="rId601"/><Relationship Type="http://schemas.openxmlformats.org/officeDocument/2006/relationships/hyperlink" Target="https://leandergrech.github.io/Mizien/claims/CC-030/" TargetMode="External" Id="rId602"/><Relationship Type="http://schemas.openxmlformats.org/officeDocument/2006/relationships/hyperlink" Target="https://leandergrech.github.io/Mizien/claims/CC-030/" TargetMode="External" Id="rId603"/><Relationship Type="http://schemas.openxmlformats.org/officeDocument/2006/relationships/hyperlink" Target="https://leandergrech.github.io/Mizien/claims/CC-031/" TargetMode="External" Id="rId604"/><Relationship Type="http://schemas.openxmlformats.org/officeDocument/2006/relationships/hyperlink" Target="https://leandergrech.github.io/Mizien/claims/CC-031/" TargetMode="External" Id="rId605"/><Relationship Type="http://schemas.openxmlformats.org/officeDocument/2006/relationships/hyperlink" Target="https://leandergrech.github.io/Mizien/claims/CC-031/" TargetMode="External" Id="rId606"/><Relationship Type="http://schemas.openxmlformats.org/officeDocument/2006/relationships/hyperlink" Target="https://leandergrech.github.io/Mizien/claims/CC-031/" TargetMode="External" Id="rId607"/><Relationship Type="http://schemas.openxmlformats.org/officeDocument/2006/relationships/hyperlink" Target="https://leandergrech.github.io/Mizien/claims/CC-031/" TargetMode="External" Id="rId608"/><Relationship Type="http://schemas.openxmlformats.org/officeDocument/2006/relationships/hyperlink" Target="https://leandergrech.github.io/Mizien/claims/CC-031/" TargetMode="External" Id="rId609"/><Relationship Type="http://schemas.openxmlformats.org/officeDocument/2006/relationships/hyperlink" Target="https://leandergrech.github.io/Mizien/claims/CC-031/" TargetMode="External" Id="rId610"/><Relationship Type="http://schemas.openxmlformats.org/officeDocument/2006/relationships/hyperlink" Target="https://leandergrech.github.io/Mizien/claims/CC-031/" TargetMode="External" Id="rId611"/><Relationship Type="http://schemas.openxmlformats.org/officeDocument/2006/relationships/hyperlink" Target="https://leandergrech.github.io/Mizien/claims/CC-031/" TargetMode="External" Id="rId612"/><Relationship Type="http://schemas.openxmlformats.org/officeDocument/2006/relationships/hyperlink" Target="https://leandergrech.github.io/Mizien/claims/CC-031/" TargetMode="External" Id="rId613"/><Relationship Type="http://schemas.openxmlformats.org/officeDocument/2006/relationships/hyperlink" Target="https://leandergrech.github.io/Mizien/claims/CC-031/" TargetMode="External" Id="rId614"/><Relationship Type="http://schemas.openxmlformats.org/officeDocument/2006/relationships/hyperlink" Target="https://leandergrech.github.io/Mizien/claims/CC-031/" TargetMode="External" Id="rId615"/><Relationship Type="http://schemas.openxmlformats.org/officeDocument/2006/relationships/hyperlink" Target="https://leandergrech.github.io/Mizien/claims/CC-031/" TargetMode="External" Id="rId616"/><Relationship Type="http://schemas.openxmlformats.org/officeDocument/2006/relationships/hyperlink" Target="https://leandergrech.github.io/Mizien/claims/CC-031/" TargetMode="External" Id="rId617"/><Relationship Type="http://schemas.openxmlformats.org/officeDocument/2006/relationships/hyperlink" Target="https://leandergrech.github.io/Mizien/claims/CC-031/" TargetMode="External" Id="rId618"/><Relationship Type="http://schemas.openxmlformats.org/officeDocument/2006/relationships/hyperlink" Target="https://leandergrech.github.io/Mizien/claims/CC-031/" TargetMode="External" Id="rId619"/><Relationship Type="http://schemas.openxmlformats.org/officeDocument/2006/relationships/hyperlink" Target="https://leandergrech.github.io/Mizien/claims/CC-031/" TargetMode="External" Id="rId620"/><Relationship Type="http://schemas.openxmlformats.org/officeDocument/2006/relationships/hyperlink" Target="https://leandergrech.github.io/Mizien/claims/CC-031/" TargetMode="External" Id="rId621"/><Relationship Type="http://schemas.openxmlformats.org/officeDocument/2006/relationships/hyperlink" Target="https://leandergrech.github.io/Mizien/claims/CC-031/" TargetMode="External" Id="rId622"/><Relationship Type="http://schemas.openxmlformats.org/officeDocument/2006/relationships/hyperlink" Target="https://leandergrech.github.io/Mizien/claims/CC-031/" TargetMode="External" Id="rId623"/><Relationship Type="http://schemas.openxmlformats.org/officeDocument/2006/relationships/hyperlink" Target="https://leandergrech.github.io/Mizien/claims/CC-031/" TargetMode="External" Id="rId624"/><Relationship Type="http://schemas.openxmlformats.org/officeDocument/2006/relationships/hyperlink" Target="https://leandergrech.github.io/Mizien/claims/CC-032/" TargetMode="External" Id="rId625"/><Relationship Type="http://schemas.openxmlformats.org/officeDocument/2006/relationships/hyperlink" Target="https://leandergrech.github.io/Mizien/claims/CC-032/" TargetMode="External" Id="rId626"/><Relationship Type="http://schemas.openxmlformats.org/officeDocument/2006/relationships/hyperlink" Target="https://leandergrech.github.io/Mizien/claims/CC-032/" TargetMode="External" Id="rId627"/><Relationship Type="http://schemas.openxmlformats.org/officeDocument/2006/relationships/hyperlink" Target="https://leandergrech.github.io/Mizien/claims/CC-032/" TargetMode="External" Id="rId628"/><Relationship Type="http://schemas.openxmlformats.org/officeDocument/2006/relationships/hyperlink" Target="https://leandergrech.github.io/Mizien/claims/CC-032/" TargetMode="External" Id="rId629"/><Relationship Type="http://schemas.openxmlformats.org/officeDocument/2006/relationships/hyperlink" Target="https://leandergrech.github.io/Mizien/claims/CC-032/" TargetMode="External" Id="rId630"/><Relationship Type="http://schemas.openxmlformats.org/officeDocument/2006/relationships/hyperlink" Target="https://leandergrech.github.io/Mizien/claims/CC-032/" TargetMode="External" Id="rId631"/><Relationship Type="http://schemas.openxmlformats.org/officeDocument/2006/relationships/hyperlink" Target="https://leandergrech.github.io/Mizien/claims/CC-032/" TargetMode="External" Id="rId632"/><Relationship Type="http://schemas.openxmlformats.org/officeDocument/2006/relationships/hyperlink" Target="https://leandergrech.github.io/Mizien/claims/CC-032/" TargetMode="External" Id="rId633"/><Relationship Type="http://schemas.openxmlformats.org/officeDocument/2006/relationships/hyperlink" Target="https://leandergrech.github.io/Mizien/claims/CC-032/" TargetMode="External" Id="rId634"/><Relationship Type="http://schemas.openxmlformats.org/officeDocument/2006/relationships/hyperlink" Target="https://leandergrech.github.io/Mizien/claims/CC-032/" TargetMode="External" Id="rId635"/><Relationship Type="http://schemas.openxmlformats.org/officeDocument/2006/relationships/hyperlink" Target="https://leandergrech.github.io/Mizien/claims/CC-032/" TargetMode="External" Id="rId636"/><Relationship Type="http://schemas.openxmlformats.org/officeDocument/2006/relationships/hyperlink" Target="https://leandergrech.github.io/Mizien/claims/CC-032/" TargetMode="External" Id="rId637"/><Relationship Type="http://schemas.openxmlformats.org/officeDocument/2006/relationships/hyperlink" Target="https://leandergrech.github.io/Mizien/claims/CC-032/" TargetMode="External" Id="rId638"/><Relationship Type="http://schemas.openxmlformats.org/officeDocument/2006/relationships/hyperlink" Target="https://leandergrech.github.io/Mizien/claims/CC-032/" TargetMode="External" Id="rId639"/><Relationship Type="http://schemas.openxmlformats.org/officeDocument/2006/relationships/hyperlink" Target="https://leandergrech.github.io/Mizien/claims/CC-032/" TargetMode="External" Id="rId640"/><Relationship Type="http://schemas.openxmlformats.org/officeDocument/2006/relationships/hyperlink" Target="https://leandergrech.github.io/Mizien/claims/CC-032/" TargetMode="External" Id="rId641"/><Relationship Type="http://schemas.openxmlformats.org/officeDocument/2006/relationships/hyperlink" Target="https://leandergrech.github.io/Mizien/claims/CC-032/" TargetMode="External" Id="rId642"/><Relationship Type="http://schemas.openxmlformats.org/officeDocument/2006/relationships/hyperlink" Target="https://leandergrech.github.io/Mizien/claims/CC-032/" TargetMode="External" Id="rId643"/><Relationship Type="http://schemas.openxmlformats.org/officeDocument/2006/relationships/hyperlink" Target="https://leandergrech.github.io/Mizien/claims/CC-032/" TargetMode="External" Id="rId644"/><Relationship Type="http://schemas.openxmlformats.org/officeDocument/2006/relationships/hyperlink" Target="https://leandergrech.github.io/Mizien/claims/CC-032/" TargetMode="External" Id="rId645"/><Relationship Type="http://schemas.openxmlformats.org/officeDocument/2006/relationships/hyperlink" Target="https://leandergrech.github.io/Mizien/claims/CC-032/" TargetMode="External" Id="rId646"/><Relationship Type="http://schemas.openxmlformats.org/officeDocument/2006/relationships/hyperlink" Target="https://leandergrech.github.io/Mizien/claims/CC-032/" TargetMode="External" Id="rId647"/><Relationship Type="http://schemas.openxmlformats.org/officeDocument/2006/relationships/hyperlink" Target="https://leandergrech.github.io/Mizien/claims/CC-032/" TargetMode="External" Id="rId648"/><Relationship Type="http://schemas.openxmlformats.org/officeDocument/2006/relationships/hyperlink" Target="https://leandergrech.github.io/Mizien/claims/CC-032/" TargetMode="External" Id="rId649"/><Relationship Type="http://schemas.openxmlformats.org/officeDocument/2006/relationships/hyperlink" Target="https://leandergrech.github.io/Mizien/claims/CC-032/" TargetMode="External" Id="rId650"/><Relationship Type="http://schemas.openxmlformats.org/officeDocument/2006/relationships/hyperlink" Target="https://leandergrech.github.io/Mizien/claims/CC-034/" TargetMode="External" Id="rId651"/><Relationship Type="http://schemas.openxmlformats.org/officeDocument/2006/relationships/hyperlink" Target="https://leandergrech.github.io/Mizien/claims/CC-034/" TargetMode="External" Id="rId652"/><Relationship Type="http://schemas.openxmlformats.org/officeDocument/2006/relationships/hyperlink" Target="https://leandergrech.github.io/Mizien/claims/CC-034/" TargetMode="External" Id="rId653"/><Relationship Type="http://schemas.openxmlformats.org/officeDocument/2006/relationships/hyperlink" Target="https://leandergrech.github.io/Mizien/claims/CC-034/" TargetMode="External" Id="rId654"/><Relationship Type="http://schemas.openxmlformats.org/officeDocument/2006/relationships/hyperlink" Target="https://leandergrech.github.io/Mizien/claims/CC-034/" TargetMode="External" Id="rId655"/><Relationship Type="http://schemas.openxmlformats.org/officeDocument/2006/relationships/hyperlink" Target="https://leandergrech.github.io/Mizien/claims/CC-034/" TargetMode="External" Id="rId656"/><Relationship Type="http://schemas.openxmlformats.org/officeDocument/2006/relationships/hyperlink" Target="https://leandergrech.github.io/Mizien/claims/CC-034/" TargetMode="External" Id="rId657"/><Relationship Type="http://schemas.openxmlformats.org/officeDocument/2006/relationships/hyperlink" Target="https://leandergrech.github.io/Mizien/claims/CC-034/" TargetMode="External" Id="rId658"/><Relationship Type="http://schemas.openxmlformats.org/officeDocument/2006/relationships/hyperlink" Target="https://leandergrech.github.io/Mizien/claims/CC-034/" TargetMode="External" Id="rId659"/><Relationship Type="http://schemas.openxmlformats.org/officeDocument/2006/relationships/hyperlink" Target="https://leandergrech.github.io/Mizien/claims/CC-034/" TargetMode="External" Id="rId660"/><Relationship Type="http://schemas.openxmlformats.org/officeDocument/2006/relationships/hyperlink" Target="https://leandergrech.github.io/Mizien/claims/CC-034/" TargetMode="External" Id="rId661"/><Relationship Type="http://schemas.openxmlformats.org/officeDocument/2006/relationships/hyperlink" Target="https://leandergrech.github.io/Mizien/claims/CC-034/" TargetMode="External" Id="rId662"/><Relationship Type="http://schemas.openxmlformats.org/officeDocument/2006/relationships/hyperlink" Target="https://leandergrech.github.io/Mizien/claims/CC-034/" TargetMode="External" Id="rId663"/><Relationship Type="http://schemas.openxmlformats.org/officeDocument/2006/relationships/hyperlink" Target="https://leandergrech.github.io/Mizien/claims/CC-034/" TargetMode="External" Id="rId664"/><Relationship Type="http://schemas.openxmlformats.org/officeDocument/2006/relationships/hyperlink" Target="https://leandergrech.github.io/Mizien/claims/CC-034/" TargetMode="External" Id="rId665"/><Relationship Type="http://schemas.openxmlformats.org/officeDocument/2006/relationships/hyperlink" Target="https://leandergrech.github.io/Mizien/claims/CC-034/" TargetMode="External" Id="rId666"/><Relationship Type="http://schemas.openxmlformats.org/officeDocument/2006/relationships/hyperlink" Target="https://leandergrech.github.io/Mizien/claims/CC-034/" TargetMode="External" Id="rId667"/><Relationship Type="http://schemas.openxmlformats.org/officeDocument/2006/relationships/hyperlink" Target="https://leandergrech.github.io/Mizien/claims/CC-034/" TargetMode="External" Id="rId668"/><Relationship Type="http://schemas.openxmlformats.org/officeDocument/2006/relationships/hyperlink" Target="https://leandergrech.github.io/Mizien/claims/CC-034/" TargetMode="External" Id="rId669"/><Relationship Type="http://schemas.openxmlformats.org/officeDocument/2006/relationships/hyperlink" Target="https://leandergrech.github.io/Mizien/claims/CC-034/" TargetMode="External" Id="rId670"/><Relationship Type="http://schemas.openxmlformats.org/officeDocument/2006/relationships/hyperlink" Target="https://leandergrech.github.io/Mizien/claims/CC-034/" TargetMode="External" Id="rId671"/><Relationship Type="http://schemas.openxmlformats.org/officeDocument/2006/relationships/hyperlink" Target="https://leandergrech.github.io/Mizien/claims/CC-034/" TargetMode="External" Id="rId672"/><Relationship Type="http://schemas.openxmlformats.org/officeDocument/2006/relationships/hyperlink" Target="https://leandergrech.github.io/Mizien/claims/CC-034/" TargetMode="External" Id="rId673"/><Relationship Type="http://schemas.openxmlformats.org/officeDocument/2006/relationships/hyperlink" Target="https://leandergrech.github.io/Mizien/claims/CC-034/" TargetMode="External" Id="rId674"/><Relationship Type="http://schemas.openxmlformats.org/officeDocument/2006/relationships/hyperlink" Target="https://leandergrech.github.io/Mizien/claims/CC-034/" TargetMode="External" Id="rId675"/><Relationship Type="http://schemas.openxmlformats.org/officeDocument/2006/relationships/hyperlink" Target="https://leandergrech.github.io/Mizien/claims/CC-034/" TargetMode="External" Id="rId676"/><Relationship Type="http://schemas.openxmlformats.org/officeDocument/2006/relationships/hyperlink" Target="https://leandergrech.github.io/Mizien/claims/CC-034/" TargetMode="External" Id="rId677"/><Relationship Type="http://schemas.openxmlformats.org/officeDocument/2006/relationships/hyperlink" Target="https://leandergrech.github.io/Mizien/claims/CC-034/" TargetMode="External" Id="rId678"/><Relationship Type="http://schemas.openxmlformats.org/officeDocument/2006/relationships/hyperlink" Target="https://leandergrech.github.io/Mizien/claims/CC-034/" TargetMode="External" Id="rId679"/><Relationship Type="http://schemas.openxmlformats.org/officeDocument/2006/relationships/hyperlink" Target="https://leandergrech.github.io/Mizien/claims/CC-034/" TargetMode="External" Id="rId680"/><Relationship Type="http://schemas.openxmlformats.org/officeDocument/2006/relationships/hyperlink" Target="https://leandergrech.github.io/Mizien/claims/CC-034/" TargetMode="External" Id="rId681"/><Relationship Type="http://schemas.openxmlformats.org/officeDocument/2006/relationships/hyperlink" Target="https://leandergrech.github.io/Mizien/claims/CC-034/" TargetMode="External" Id="rId682"/><Relationship Type="http://schemas.openxmlformats.org/officeDocument/2006/relationships/hyperlink" Target="https://leandergrech.github.io/Mizien/claims/CC-034/" TargetMode="External" Id="rId683"/><Relationship Type="http://schemas.openxmlformats.org/officeDocument/2006/relationships/hyperlink" Target="https://leandergrech.github.io/Mizien/claims/CC-034/" TargetMode="External" Id="rId684"/><Relationship Type="http://schemas.openxmlformats.org/officeDocument/2006/relationships/hyperlink" Target="https://leandergrech.github.io/Mizien/claims/CC-034/" TargetMode="External" Id="rId685"/><Relationship Type="http://schemas.openxmlformats.org/officeDocument/2006/relationships/hyperlink" Target="https://leandergrech.github.io/Mizien/claims/CC-034/" TargetMode="External" Id="rId686"/><Relationship Type="http://schemas.openxmlformats.org/officeDocument/2006/relationships/hyperlink" Target="https://leandergrech.github.io/Mizien/claims/CC-034/" TargetMode="External" Id="rId687"/><Relationship Type="http://schemas.openxmlformats.org/officeDocument/2006/relationships/hyperlink" Target="https://leandergrech.github.io/Mizien/claims/CC-034/" TargetMode="External" Id="rId688"/><Relationship Type="http://schemas.openxmlformats.org/officeDocument/2006/relationships/hyperlink" Target="https://leandergrech.github.io/Mizien/claims/CC-034/" TargetMode="External" Id="rId689"/><Relationship Type="http://schemas.openxmlformats.org/officeDocument/2006/relationships/hyperlink" Target="https://leandergrech.github.io/Mizien/claims/CC-034/" TargetMode="External" Id="rId690"/><Relationship Type="http://schemas.openxmlformats.org/officeDocument/2006/relationships/hyperlink" Target="https://leandergrech.github.io/Mizien/claims/CC-034/" TargetMode="External" Id="rId691"/><Relationship Type="http://schemas.openxmlformats.org/officeDocument/2006/relationships/hyperlink" Target="https://leandergrech.github.io/Mizien/claims/CC-034/" TargetMode="External" Id="rId692"/><Relationship Type="http://schemas.openxmlformats.org/officeDocument/2006/relationships/hyperlink" Target="https://leandergrech.github.io/Mizien/claims/CC-034/" TargetMode="External" Id="rId693"/><Relationship Type="http://schemas.openxmlformats.org/officeDocument/2006/relationships/hyperlink" Target="https://leandergrech.github.io/Mizien/claims/CC-034/" TargetMode="External" Id="rId694"/><Relationship Type="http://schemas.openxmlformats.org/officeDocument/2006/relationships/hyperlink" Target="https://leandergrech.github.io/Mizien/claims/CC-034/" TargetMode="External" Id="rId695"/><Relationship Type="http://schemas.openxmlformats.org/officeDocument/2006/relationships/hyperlink" Target="https://leandergrech.github.io/Mizien/claims/CC-034/" TargetMode="External" Id="rId696"/><Relationship Type="http://schemas.openxmlformats.org/officeDocument/2006/relationships/hyperlink" Target="https://leandergrech.github.io/Mizien/claims/CC-034/" TargetMode="External" Id="rId697"/><Relationship Type="http://schemas.openxmlformats.org/officeDocument/2006/relationships/hyperlink" Target="https://leandergrech.github.io/Mizien/claims/CC-034/" TargetMode="External" Id="rId698"/><Relationship Type="http://schemas.openxmlformats.org/officeDocument/2006/relationships/hyperlink" Target="https://leandergrech.github.io/Mizien/claims/CC-034/" TargetMode="External" Id="rId699"/><Relationship Type="http://schemas.openxmlformats.org/officeDocument/2006/relationships/hyperlink" Target="https://leandergrech.github.io/Mizien/claims/CC-034/" TargetMode="External" Id="rId700"/><Relationship Type="http://schemas.openxmlformats.org/officeDocument/2006/relationships/hyperlink" Target="https://leandergrech.github.io/Mizien/claims/CC-034/" TargetMode="External" Id="rId701"/><Relationship Type="http://schemas.openxmlformats.org/officeDocument/2006/relationships/hyperlink" Target="https://leandergrech.github.io/Mizien/claims/CC-034/" TargetMode="External" Id="rId702"/><Relationship Type="http://schemas.openxmlformats.org/officeDocument/2006/relationships/hyperlink" Target="https://leandergrech.github.io/Mizien/claims/CC-034/" TargetMode="External" Id="rId703"/><Relationship Type="http://schemas.openxmlformats.org/officeDocument/2006/relationships/hyperlink" Target="https://leandergrech.github.io/Mizien/claims/CC-034/" TargetMode="External" Id="rId704"/><Relationship Type="http://schemas.openxmlformats.org/officeDocument/2006/relationships/hyperlink" Target="https://leandergrech.github.io/Mizien/claims/CC-034/" TargetMode="External" Id="rId705"/><Relationship Type="http://schemas.openxmlformats.org/officeDocument/2006/relationships/hyperlink" Target="https://leandergrech.github.io/Mizien/claims/CC-034/" TargetMode="External" Id="rId706"/><Relationship Type="http://schemas.openxmlformats.org/officeDocument/2006/relationships/hyperlink" Target="https://leandergrech.github.io/Mizien/claims/CC-034/" TargetMode="External" Id="rId707"/><Relationship Type="http://schemas.openxmlformats.org/officeDocument/2006/relationships/hyperlink" Target="https://leandergrech.github.io/Mizien/claims/CC-034/" TargetMode="External" Id="rId708"/><Relationship Type="http://schemas.openxmlformats.org/officeDocument/2006/relationships/hyperlink" Target="https://leandergrech.github.io/Mizien/claims/CC-034/" TargetMode="External" Id="rId709"/><Relationship Type="http://schemas.openxmlformats.org/officeDocument/2006/relationships/hyperlink" Target="https://leandergrech.github.io/Mizien/claims/CC-034/" TargetMode="External" Id="rId710"/><Relationship Type="http://schemas.openxmlformats.org/officeDocument/2006/relationships/hyperlink" Target="https://leandergrech.github.io/Mizien/claims/CC-034/" TargetMode="External" Id="rId711"/><Relationship Type="http://schemas.openxmlformats.org/officeDocument/2006/relationships/hyperlink" Target="https://leandergrech.github.io/Mizien/claims/CC-034/" TargetMode="External" Id="rId712"/><Relationship Type="http://schemas.openxmlformats.org/officeDocument/2006/relationships/hyperlink" Target="https://leandergrech.github.io/Mizien/claims/CC-034/" TargetMode="External" Id="rId713"/><Relationship Type="http://schemas.openxmlformats.org/officeDocument/2006/relationships/hyperlink" Target="https://leandergrech.github.io/Mizien/claims/CC-034/" TargetMode="External" Id="rId714"/><Relationship Type="http://schemas.openxmlformats.org/officeDocument/2006/relationships/hyperlink" Target="https://leandergrech.github.io/Mizien/claims/CC-034/" TargetMode="External" Id="rId715"/><Relationship Type="http://schemas.openxmlformats.org/officeDocument/2006/relationships/hyperlink" Target="https://leandergrech.github.io/Mizien/claims/CC-034/" TargetMode="External" Id="rId716"/><Relationship Type="http://schemas.openxmlformats.org/officeDocument/2006/relationships/hyperlink" Target="https://leandergrech.github.io/Mizien/claims/CC-034/" TargetMode="External" Id="rId717"/><Relationship Type="http://schemas.openxmlformats.org/officeDocument/2006/relationships/hyperlink" Target="https://leandergrech.github.io/Mizien/claims/CC-034/" TargetMode="External" Id="rId718"/><Relationship Type="http://schemas.openxmlformats.org/officeDocument/2006/relationships/hyperlink" Target="https://leandergrech.github.io/Mizien/claims/CC-034/" TargetMode="External" Id="rId719"/><Relationship Type="http://schemas.openxmlformats.org/officeDocument/2006/relationships/hyperlink" Target="https://leandergrech.github.io/Mizien/claims/CC-034/" TargetMode="External" Id="rId720"/><Relationship Type="http://schemas.openxmlformats.org/officeDocument/2006/relationships/hyperlink" Target="https://leandergrech.github.io/Mizien/claims/CC-034/" TargetMode="External" Id="rId721"/><Relationship Type="http://schemas.openxmlformats.org/officeDocument/2006/relationships/hyperlink" Target="https://leandergrech.github.io/Mizien/claims/CC-034/" TargetMode="External" Id="rId722"/><Relationship Type="http://schemas.openxmlformats.org/officeDocument/2006/relationships/hyperlink" Target="https://leandergrech.github.io/Mizien/claims/CC-034/" TargetMode="External" Id="rId723"/><Relationship Type="http://schemas.openxmlformats.org/officeDocument/2006/relationships/hyperlink" Target="https://leandergrech.github.io/Mizien/claims/CC-034/" TargetMode="External" Id="rId724"/><Relationship Type="http://schemas.openxmlformats.org/officeDocument/2006/relationships/hyperlink" Target="https://leandergrech.github.io/Mizien/claims/CC-034/" TargetMode="External" Id="rId725"/><Relationship Type="http://schemas.openxmlformats.org/officeDocument/2006/relationships/hyperlink" Target="https://leandergrech.github.io/Mizien/claims/CC-034/" TargetMode="External" Id="rId726"/><Relationship Type="http://schemas.openxmlformats.org/officeDocument/2006/relationships/hyperlink" Target="https://leandergrech.github.io/Mizien/claims/CC-034/" TargetMode="External" Id="rId727"/><Relationship Type="http://schemas.openxmlformats.org/officeDocument/2006/relationships/hyperlink" Target="https://leandergrech.github.io/Mizien/claims/CC-034/" TargetMode="External" Id="rId728"/><Relationship Type="http://schemas.openxmlformats.org/officeDocument/2006/relationships/hyperlink" Target="https://leandergrech.github.io/Mizien/claims/CC-034/" TargetMode="External" Id="rId729"/><Relationship Type="http://schemas.openxmlformats.org/officeDocument/2006/relationships/hyperlink" Target="https://leandergrech.github.io/Mizien/claims/CC-034/" TargetMode="External" Id="rId730"/><Relationship Type="http://schemas.openxmlformats.org/officeDocument/2006/relationships/hyperlink" Target="https://leandergrech.github.io/Mizien/claims/CC-034/" TargetMode="External" Id="rId731"/><Relationship Type="http://schemas.openxmlformats.org/officeDocument/2006/relationships/hyperlink" Target="https://leandergrech.github.io/Mizien/claims/CC-034/" TargetMode="External" Id="rId732"/><Relationship Type="http://schemas.openxmlformats.org/officeDocument/2006/relationships/hyperlink" Target="https://leandergrech.github.io/Mizien/claims/CC-034/" TargetMode="External" Id="rId733"/><Relationship Type="http://schemas.openxmlformats.org/officeDocument/2006/relationships/hyperlink" Target="https://leandergrech.github.io/Mizien/claims/CC-034/" TargetMode="External" Id="rId734"/><Relationship Type="http://schemas.openxmlformats.org/officeDocument/2006/relationships/hyperlink" Target="https://leandergrech.github.io/Mizien/claims/CC-034/" TargetMode="External" Id="rId735"/><Relationship Type="http://schemas.openxmlformats.org/officeDocument/2006/relationships/hyperlink" Target="https://leandergrech.github.io/Mizien/claims/CC-034/" TargetMode="External" Id="rId736"/><Relationship Type="http://schemas.openxmlformats.org/officeDocument/2006/relationships/hyperlink" Target="https://leandergrech.github.io/Mizien/claims/CC-034/" TargetMode="External" Id="rId737"/><Relationship Type="http://schemas.openxmlformats.org/officeDocument/2006/relationships/hyperlink" Target="https://leandergrech.github.io/Mizien/claims/CC-034/" TargetMode="External" Id="rId738"/><Relationship Type="http://schemas.openxmlformats.org/officeDocument/2006/relationships/hyperlink" Target="https://leandergrech.github.io/Mizien/claims/CC-034/" TargetMode="External" Id="rId739"/><Relationship Type="http://schemas.openxmlformats.org/officeDocument/2006/relationships/hyperlink" Target="https://leandergrech.github.io/Mizien/claims/CC-034/" TargetMode="External" Id="rId740"/><Relationship Type="http://schemas.openxmlformats.org/officeDocument/2006/relationships/hyperlink" Target="https://leandergrech.github.io/Mizien/claims/CC-034/" TargetMode="External" Id="rId741"/><Relationship Type="http://schemas.openxmlformats.org/officeDocument/2006/relationships/hyperlink" Target="https://leandergrech.github.io/Mizien/claims/CC-034/" TargetMode="External" Id="rId742"/><Relationship Type="http://schemas.openxmlformats.org/officeDocument/2006/relationships/hyperlink" Target="https://leandergrech.github.io/Mizien/claims/CC-034/" TargetMode="External" Id="rId743"/><Relationship Type="http://schemas.openxmlformats.org/officeDocument/2006/relationships/hyperlink" Target="https://leandergrech.github.io/Mizien/claims/CC-034/" TargetMode="External" Id="rId744"/><Relationship Type="http://schemas.openxmlformats.org/officeDocument/2006/relationships/hyperlink" Target="https://leandergrech.github.io/Mizien/claims/CC-034/" TargetMode="External" Id="rId745"/><Relationship Type="http://schemas.openxmlformats.org/officeDocument/2006/relationships/hyperlink" Target="https://leandergrech.github.io/Mizien/claims/CC-034/" TargetMode="External" Id="rId746"/><Relationship Type="http://schemas.openxmlformats.org/officeDocument/2006/relationships/hyperlink" Target="https://leandergrech.github.io/Mizien/claims/CC-034/" TargetMode="External" Id="rId747"/><Relationship Type="http://schemas.openxmlformats.org/officeDocument/2006/relationships/hyperlink" Target="https://leandergrech.github.io/Mizien/claims/CC-034/" TargetMode="External" Id="rId748"/><Relationship Type="http://schemas.openxmlformats.org/officeDocument/2006/relationships/hyperlink" Target="https://leandergrech.github.io/Mizien/claims/CC-034/" TargetMode="External" Id="rId749"/><Relationship Type="http://schemas.openxmlformats.org/officeDocument/2006/relationships/hyperlink" Target="https://leandergrech.github.io/Mizien/claims/CC-034/" TargetMode="External" Id="rId750"/><Relationship Type="http://schemas.openxmlformats.org/officeDocument/2006/relationships/hyperlink" Target="https://leandergrech.github.io/Mizien/claims/CC-034/" TargetMode="External" Id="rId751"/><Relationship Type="http://schemas.openxmlformats.org/officeDocument/2006/relationships/hyperlink" Target="https://leandergrech.github.io/Mizien/claims/CC-034/" TargetMode="External" Id="rId752"/><Relationship Type="http://schemas.openxmlformats.org/officeDocument/2006/relationships/hyperlink" Target="https://leandergrech.github.io/Mizien/claims/CC-034/" TargetMode="External" Id="rId753"/><Relationship Type="http://schemas.openxmlformats.org/officeDocument/2006/relationships/hyperlink" Target="https://leandergrech.github.io/Mizien/claims/CC-035/" TargetMode="External" Id="rId754"/><Relationship Type="http://schemas.openxmlformats.org/officeDocument/2006/relationships/hyperlink" Target="https://leandergrech.github.io/Mizien/claims/CC-035/" TargetMode="External" Id="rId755"/><Relationship Type="http://schemas.openxmlformats.org/officeDocument/2006/relationships/hyperlink" Target="https://leandergrech.github.io/Mizien/claims/CC-035/" TargetMode="External" Id="rId756"/><Relationship Type="http://schemas.openxmlformats.org/officeDocument/2006/relationships/hyperlink" Target="https://leandergrech.github.io/Mizien/claims/CC-035/" TargetMode="External" Id="rId757"/><Relationship Type="http://schemas.openxmlformats.org/officeDocument/2006/relationships/hyperlink" Target="https://leandergrech.github.io/Mizien/claims/CC-035/" TargetMode="External" Id="rId758"/><Relationship Type="http://schemas.openxmlformats.org/officeDocument/2006/relationships/hyperlink" Target="https://leandergrech.github.io/Mizien/claims/CC-035/" TargetMode="External" Id="rId759"/><Relationship Type="http://schemas.openxmlformats.org/officeDocument/2006/relationships/hyperlink" Target="https://leandergrech.github.io/Mizien/claims/CC-035/" TargetMode="External" Id="rId760"/><Relationship Type="http://schemas.openxmlformats.org/officeDocument/2006/relationships/hyperlink" Target="https://leandergrech.github.io/Mizien/claims/CC-035/" TargetMode="External" Id="rId761"/><Relationship Type="http://schemas.openxmlformats.org/officeDocument/2006/relationships/hyperlink" Target="https://leandergrech.github.io/Mizien/claims/CC-035/" TargetMode="External" Id="rId762"/><Relationship Type="http://schemas.openxmlformats.org/officeDocument/2006/relationships/hyperlink" Target="https://leandergrech.github.io/Mizien/claims/CC-035/" TargetMode="External" Id="rId763"/><Relationship Type="http://schemas.openxmlformats.org/officeDocument/2006/relationships/hyperlink" Target="https://leandergrech.github.io/Mizien/claims/CC-035/" TargetMode="External" Id="rId764"/><Relationship Type="http://schemas.openxmlformats.org/officeDocument/2006/relationships/hyperlink" Target="https://leandergrech.github.io/Mizien/claims/CC-035/" TargetMode="External" Id="rId765"/><Relationship Type="http://schemas.openxmlformats.org/officeDocument/2006/relationships/hyperlink" Target="https://leandergrech.github.io/Mizien/claims/CC-035/" TargetMode="External" Id="rId766"/><Relationship Type="http://schemas.openxmlformats.org/officeDocument/2006/relationships/hyperlink" Target="https://leandergrech.github.io/Mizien/claims/CC-035/" TargetMode="External" Id="rId767"/><Relationship Type="http://schemas.openxmlformats.org/officeDocument/2006/relationships/hyperlink" Target="https://leandergrech.github.io/Mizien/claims/CC-035/" TargetMode="External" Id="rId768"/><Relationship Type="http://schemas.openxmlformats.org/officeDocument/2006/relationships/hyperlink" Target="https://leandergrech.github.io/Mizien/claims/CC-035/" TargetMode="External" Id="rId769"/><Relationship Type="http://schemas.openxmlformats.org/officeDocument/2006/relationships/hyperlink" Target="https://leandergrech.github.io/Mizien/claims/CC-035/" TargetMode="External" Id="rId770"/><Relationship Type="http://schemas.openxmlformats.org/officeDocument/2006/relationships/hyperlink" Target="https://leandergrech.github.io/Mizien/claims/CC-035/" TargetMode="External" Id="rId771"/><Relationship Type="http://schemas.openxmlformats.org/officeDocument/2006/relationships/hyperlink" Target="https://leandergrech.github.io/Mizien/claims/CC-035/" TargetMode="External" Id="rId772"/><Relationship Type="http://schemas.openxmlformats.org/officeDocument/2006/relationships/hyperlink" Target="https://leandergrech.github.io/Mizien/claims/CC-035/" TargetMode="External" Id="rId773"/><Relationship Type="http://schemas.openxmlformats.org/officeDocument/2006/relationships/hyperlink" Target="https://leandergrech.github.io/Mizien/claims/CC-035/" TargetMode="External" Id="rId774"/><Relationship Type="http://schemas.openxmlformats.org/officeDocument/2006/relationships/hyperlink" Target="https://leandergrech.github.io/Mizien/claims/CC-035/" TargetMode="External" Id="rId775"/><Relationship Type="http://schemas.openxmlformats.org/officeDocument/2006/relationships/hyperlink" Target="https://leandergrech.github.io/Mizien/claims/CC-035/" TargetMode="External" Id="rId776"/><Relationship Type="http://schemas.openxmlformats.org/officeDocument/2006/relationships/hyperlink" Target="https://leandergrech.github.io/Mizien/claims/CC-035/" TargetMode="External" Id="rId777"/><Relationship Type="http://schemas.openxmlformats.org/officeDocument/2006/relationships/hyperlink" Target="https://leandergrech.github.io/Mizien/claims/CC-035/" TargetMode="External" Id="rId778"/><Relationship Type="http://schemas.openxmlformats.org/officeDocument/2006/relationships/hyperlink" Target="https://leandergrech.github.io/Mizien/claims/CC-035/" TargetMode="External" Id="rId779"/><Relationship Type="http://schemas.openxmlformats.org/officeDocument/2006/relationships/hyperlink" Target="https://leandergrech.github.io/Mizien/claims/CC-035/" TargetMode="External" Id="rId780"/><Relationship Type="http://schemas.openxmlformats.org/officeDocument/2006/relationships/hyperlink" Target="https://leandergrech.github.io/Mizien/claims/CC-035/" TargetMode="External" Id="rId781"/><Relationship Type="http://schemas.openxmlformats.org/officeDocument/2006/relationships/hyperlink" Target="https://leandergrech.github.io/Mizien/claims/CC-035/" TargetMode="External" Id="rId782"/><Relationship Type="http://schemas.openxmlformats.org/officeDocument/2006/relationships/hyperlink" Target="https://leandergrech.github.io/Mizien/claims/CC-035/" TargetMode="External" Id="rId783"/><Relationship Type="http://schemas.openxmlformats.org/officeDocument/2006/relationships/hyperlink" Target="https://leandergrech.github.io/Mizien/claims/CC-035/" TargetMode="External" Id="rId784"/><Relationship Type="http://schemas.openxmlformats.org/officeDocument/2006/relationships/hyperlink" Target="https://leandergrech.github.io/Mizien/claims/CC-035/" TargetMode="External" Id="rId785"/><Relationship Type="http://schemas.openxmlformats.org/officeDocument/2006/relationships/hyperlink" Target="https://leandergrech.github.io/Mizien/claims/CC-035/" TargetMode="External" Id="rId786"/><Relationship Type="http://schemas.openxmlformats.org/officeDocument/2006/relationships/hyperlink" Target="https://leandergrech.github.io/Mizien/claims/CC-035/" TargetMode="External" Id="rId787"/><Relationship Type="http://schemas.openxmlformats.org/officeDocument/2006/relationships/hyperlink" Target="https://leandergrech.github.io/Mizien/claims/CC-035/" TargetMode="External" Id="rId788"/><Relationship Type="http://schemas.openxmlformats.org/officeDocument/2006/relationships/hyperlink" Target="https://leandergrech.github.io/Mizien/claims/CC-035/" TargetMode="External" Id="rId789"/><Relationship Type="http://schemas.openxmlformats.org/officeDocument/2006/relationships/hyperlink" Target="https://leandergrech.github.io/Mizien/claims/CC-035/" TargetMode="External" Id="rId790"/><Relationship Type="http://schemas.openxmlformats.org/officeDocument/2006/relationships/hyperlink" Target="https://leandergrech.github.io/Mizien/claims/CC-035/" TargetMode="External" Id="rId791"/><Relationship Type="http://schemas.openxmlformats.org/officeDocument/2006/relationships/hyperlink" Target="https://leandergrech.github.io/Mizien/claims/CC-035/" TargetMode="External" Id="rId792"/><Relationship Type="http://schemas.openxmlformats.org/officeDocument/2006/relationships/hyperlink" Target="https://leandergrech.github.io/Mizien/claims/CC-035/" TargetMode="External" Id="rId793"/><Relationship Type="http://schemas.openxmlformats.org/officeDocument/2006/relationships/hyperlink" Target="https://leandergrech.github.io/Mizien/claims/CC-035/" TargetMode="External" Id="rId794"/><Relationship Type="http://schemas.openxmlformats.org/officeDocument/2006/relationships/hyperlink" Target="https://leandergrech.github.io/Mizien/claims/CC-035/" TargetMode="External" Id="rId795"/><Relationship Type="http://schemas.openxmlformats.org/officeDocument/2006/relationships/hyperlink" Target="https://leandergrech.github.io/Mizien/claims/CC-035/" TargetMode="External" Id="rId796"/><Relationship Type="http://schemas.openxmlformats.org/officeDocument/2006/relationships/hyperlink" Target="https://leandergrech.github.io/Mizien/claims/CC-035/" TargetMode="External" Id="rId797"/><Relationship Type="http://schemas.openxmlformats.org/officeDocument/2006/relationships/hyperlink" Target="https://leandergrech.github.io/Mizien/claims/CC-035/" TargetMode="External" Id="rId798"/><Relationship Type="http://schemas.openxmlformats.org/officeDocument/2006/relationships/hyperlink" Target="https://leandergrech.github.io/Mizien/claims/CC-035/" TargetMode="External" Id="rId799"/><Relationship Type="http://schemas.openxmlformats.org/officeDocument/2006/relationships/hyperlink" Target="https://leandergrech.github.io/Mizien/claims/CC-035/" TargetMode="External" Id="rId800"/><Relationship Type="http://schemas.openxmlformats.org/officeDocument/2006/relationships/hyperlink" Target="https://leandergrech.github.io/Mizien/claims/CC-035/" TargetMode="External" Id="rId801"/><Relationship Type="http://schemas.openxmlformats.org/officeDocument/2006/relationships/hyperlink" Target="https://leandergrech.github.io/Mizien/claims/CC-035/" TargetMode="External" Id="rId802"/><Relationship Type="http://schemas.openxmlformats.org/officeDocument/2006/relationships/hyperlink" Target="https://leandergrech.github.io/Mizien/claims/CC-035/" TargetMode="External" Id="rId803"/><Relationship Type="http://schemas.openxmlformats.org/officeDocument/2006/relationships/hyperlink" Target="https://leandergrech.github.io/Mizien/claims/CC-035/" TargetMode="External" Id="rId804"/><Relationship Type="http://schemas.openxmlformats.org/officeDocument/2006/relationships/hyperlink" Target="https://leandergrech.github.io/Mizien/claims/CC-035/" TargetMode="External" Id="rId805"/><Relationship Type="http://schemas.openxmlformats.org/officeDocument/2006/relationships/hyperlink" Target="https://leandergrech.github.io/Mizien/claims/CC-035/" TargetMode="External" Id="rId806"/><Relationship Type="http://schemas.openxmlformats.org/officeDocument/2006/relationships/hyperlink" Target="https://leandergrech.github.io/Mizien/claims/CC-035/" TargetMode="External" Id="rId807"/><Relationship Type="http://schemas.openxmlformats.org/officeDocument/2006/relationships/hyperlink" Target="https://leandergrech.github.io/Mizien/claims/CC-035/" TargetMode="External" Id="rId808"/><Relationship Type="http://schemas.openxmlformats.org/officeDocument/2006/relationships/hyperlink" Target="https://leandergrech.github.io/Mizien/claims/CC-035/" TargetMode="External" Id="rId809"/><Relationship Type="http://schemas.openxmlformats.org/officeDocument/2006/relationships/hyperlink" Target="https://leandergrech.github.io/Mizien/claims/CC-035/" TargetMode="External" Id="rId810"/><Relationship Type="http://schemas.openxmlformats.org/officeDocument/2006/relationships/hyperlink" Target="https://leandergrech.github.io/Mizien/claims/CC-035/" TargetMode="External" Id="rId811"/><Relationship Type="http://schemas.openxmlformats.org/officeDocument/2006/relationships/hyperlink" Target="https://leandergrech.github.io/Mizien/claims/CC-035/" TargetMode="External" Id="rId812"/><Relationship Type="http://schemas.openxmlformats.org/officeDocument/2006/relationships/hyperlink" Target="https://leandergrech.github.io/Mizien/claims/CC-035/" TargetMode="External" Id="rId813"/><Relationship Type="http://schemas.openxmlformats.org/officeDocument/2006/relationships/hyperlink" Target="https://leandergrech.github.io/Mizien/claims/CC-035/" TargetMode="External" Id="rId814"/><Relationship Type="http://schemas.openxmlformats.org/officeDocument/2006/relationships/hyperlink" Target="https://leandergrech.github.io/Mizien/claims/CC-035/" TargetMode="External" Id="rId815"/><Relationship Type="http://schemas.openxmlformats.org/officeDocument/2006/relationships/hyperlink" Target="https://leandergrech.github.io/Mizien/claims/CC-035/" TargetMode="External" Id="rId816"/><Relationship Type="http://schemas.openxmlformats.org/officeDocument/2006/relationships/hyperlink" Target="https://leandergrech.github.io/Mizien/claims/CC-035/" TargetMode="External" Id="rId817"/><Relationship Type="http://schemas.openxmlformats.org/officeDocument/2006/relationships/hyperlink" Target="https://leandergrech.github.io/Mizien/claims/CC-035/" TargetMode="External" Id="rId818"/><Relationship Type="http://schemas.openxmlformats.org/officeDocument/2006/relationships/hyperlink" Target="https://leandergrech.github.io/Mizien/claims/CC-035/" TargetMode="External" Id="rId819"/><Relationship Type="http://schemas.openxmlformats.org/officeDocument/2006/relationships/hyperlink" Target="https://leandergrech.github.io/Mizien/claims/CC-035/" TargetMode="External" Id="rId820"/><Relationship Type="http://schemas.openxmlformats.org/officeDocument/2006/relationships/hyperlink" Target="https://leandergrech.github.io/Mizien/claims/CC-035/" TargetMode="External" Id="rId821"/><Relationship Type="http://schemas.openxmlformats.org/officeDocument/2006/relationships/hyperlink" Target="https://leandergrech.github.io/Mizien/claims/CC-035/" TargetMode="External" Id="rId822"/><Relationship Type="http://schemas.openxmlformats.org/officeDocument/2006/relationships/hyperlink" Target="https://leandergrech.github.io/Mizien/claims/CC-037/" TargetMode="External" Id="rId823"/><Relationship Type="http://schemas.openxmlformats.org/officeDocument/2006/relationships/hyperlink" Target="https://leandergrech.github.io/Mizien/claims/CC-037/" TargetMode="External" Id="rId824"/><Relationship Type="http://schemas.openxmlformats.org/officeDocument/2006/relationships/hyperlink" Target="https://leandergrech.github.io/Mizien/claims/CC-037/" TargetMode="External" Id="rId825"/><Relationship Type="http://schemas.openxmlformats.org/officeDocument/2006/relationships/hyperlink" Target="https://leandergrech.github.io/Mizien/claims/CC-037/" TargetMode="External" Id="rId826"/><Relationship Type="http://schemas.openxmlformats.org/officeDocument/2006/relationships/hyperlink" Target="https://leandergrech.github.io/Mizien/claims/CC-037/" TargetMode="External" Id="rId827"/><Relationship Type="http://schemas.openxmlformats.org/officeDocument/2006/relationships/hyperlink" Target="https://leandergrech.github.io/Mizien/claims/CC-037/" TargetMode="External" Id="rId828"/><Relationship Type="http://schemas.openxmlformats.org/officeDocument/2006/relationships/hyperlink" Target="https://leandergrech.github.io/Mizien/claims/CC-037/" TargetMode="External" Id="rId829"/><Relationship Type="http://schemas.openxmlformats.org/officeDocument/2006/relationships/hyperlink" Target="https://leandergrech.github.io/Mizien/claims/CC-037/" TargetMode="External" Id="rId830"/><Relationship Type="http://schemas.openxmlformats.org/officeDocument/2006/relationships/hyperlink" Target="https://leandergrech.github.io/Mizien/claims/CC-037/" TargetMode="External" Id="rId831"/><Relationship Type="http://schemas.openxmlformats.org/officeDocument/2006/relationships/hyperlink" Target="https://leandergrech.github.io/Mizien/claims/CC-037/" TargetMode="External" Id="rId832"/><Relationship Type="http://schemas.openxmlformats.org/officeDocument/2006/relationships/hyperlink" Target="https://leandergrech.github.io/Mizien/claims/CC-037/" TargetMode="External" Id="rId833"/><Relationship Type="http://schemas.openxmlformats.org/officeDocument/2006/relationships/hyperlink" Target="https://leandergrech.github.io/Mizien/claims/CC-037/" TargetMode="External" Id="rId834"/><Relationship Type="http://schemas.openxmlformats.org/officeDocument/2006/relationships/hyperlink" Target="https://leandergrech.github.io/Mizien/claims/CC-037/" TargetMode="External" Id="rId835"/><Relationship Type="http://schemas.openxmlformats.org/officeDocument/2006/relationships/hyperlink" Target="https://leandergrech.github.io/Mizien/claims/CC-037/" TargetMode="External" Id="rId836"/><Relationship Type="http://schemas.openxmlformats.org/officeDocument/2006/relationships/hyperlink" Target="https://leandergrech.github.io/Mizien/claims/CC-037/" TargetMode="External" Id="rId837"/><Relationship Type="http://schemas.openxmlformats.org/officeDocument/2006/relationships/hyperlink" Target="https://leandergrech.github.io/Mizien/claims/CC-037/" TargetMode="External" Id="rId838"/><Relationship Type="http://schemas.openxmlformats.org/officeDocument/2006/relationships/hyperlink" Target="https://leandergrech.github.io/Mizien/claims/CC-037/" TargetMode="External" Id="rId839"/><Relationship Type="http://schemas.openxmlformats.org/officeDocument/2006/relationships/hyperlink" Target="https://leandergrech.github.io/Mizien/claims/CC-037/" TargetMode="External" Id="rId840"/><Relationship Type="http://schemas.openxmlformats.org/officeDocument/2006/relationships/hyperlink" Target="https://leandergrech.github.io/Mizien/claims/CC-037/" TargetMode="External" Id="rId841"/><Relationship Type="http://schemas.openxmlformats.org/officeDocument/2006/relationships/hyperlink" Target="https://leandergrech.github.io/Mizien/claims/CC-037/" TargetMode="External" Id="rId842"/><Relationship Type="http://schemas.openxmlformats.org/officeDocument/2006/relationships/hyperlink" Target="https://leandergrech.github.io/Mizien/claims/CC-037/" TargetMode="External" Id="rId843"/><Relationship Type="http://schemas.openxmlformats.org/officeDocument/2006/relationships/hyperlink" Target="https://leandergrech.github.io/Mizien/claims/CC-037/" TargetMode="External" Id="rId844"/><Relationship Type="http://schemas.openxmlformats.org/officeDocument/2006/relationships/hyperlink" Target="https://leandergrech.github.io/Mizien/claims/CC-037/" TargetMode="External" Id="rId845"/><Relationship Type="http://schemas.openxmlformats.org/officeDocument/2006/relationships/hyperlink" Target="https://leandergrech.github.io/Mizien/claims/CC-037/" TargetMode="External" Id="rId846"/><Relationship Type="http://schemas.openxmlformats.org/officeDocument/2006/relationships/hyperlink" Target="https://leandergrech.github.io/Mizien/claims/CC-037/" TargetMode="External" Id="rId847"/><Relationship Type="http://schemas.openxmlformats.org/officeDocument/2006/relationships/hyperlink" Target="https://leandergrech.github.io/Mizien/claims/CC-037/" TargetMode="External" Id="rId848"/><Relationship Type="http://schemas.openxmlformats.org/officeDocument/2006/relationships/hyperlink" Target="https://leandergrech.github.io/Mizien/claims/CC-037/" TargetMode="External" Id="rId849"/><Relationship Type="http://schemas.openxmlformats.org/officeDocument/2006/relationships/hyperlink" Target="https://leandergrech.github.io/Mizien/claims/CC-037/" TargetMode="External" Id="rId850"/><Relationship Type="http://schemas.openxmlformats.org/officeDocument/2006/relationships/hyperlink" Target="https://leandergrech.github.io/Mizien/claims/CC-037/" TargetMode="External" Id="rId851"/><Relationship Type="http://schemas.openxmlformats.org/officeDocument/2006/relationships/hyperlink" Target="https://leandergrech.github.io/Mizien/claims/CC-037/" TargetMode="External" Id="rId852"/><Relationship Type="http://schemas.openxmlformats.org/officeDocument/2006/relationships/hyperlink" Target="https://leandergrech.github.io/Mizien/claims/CC-037/" TargetMode="External" Id="rId853"/><Relationship Type="http://schemas.openxmlformats.org/officeDocument/2006/relationships/hyperlink" Target="https://leandergrech.github.io/Mizien/claims/CC-037/" TargetMode="External" Id="rId854"/><Relationship Type="http://schemas.openxmlformats.org/officeDocument/2006/relationships/hyperlink" Target="https://leandergrech.github.io/Mizien/claims/CC-037/" TargetMode="External" Id="rId855"/><Relationship Type="http://schemas.openxmlformats.org/officeDocument/2006/relationships/hyperlink" Target="https://leandergrech.github.io/Mizien/claims/CC-037/" TargetMode="External" Id="rId856"/><Relationship Type="http://schemas.openxmlformats.org/officeDocument/2006/relationships/hyperlink" Target="https://leandergrech.github.io/Mizien/claims/CC-037/" TargetMode="External" Id="rId857"/><Relationship Type="http://schemas.openxmlformats.org/officeDocument/2006/relationships/hyperlink" Target="https://leandergrech.github.io/Mizien/claims/CC-037/" TargetMode="External" Id="rId858"/><Relationship Type="http://schemas.openxmlformats.org/officeDocument/2006/relationships/hyperlink" Target="https://leandergrech.github.io/Mizien/claims/CC-037/" TargetMode="External" Id="rId859"/><Relationship Type="http://schemas.openxmlformats.org/officeDocument/2006/relationships/hyperlink" Target="https://leandergrech.github.io/Mizien/claims/CC-037/" TargetMode="External" Id="rId860"/><Relationship Type="http://schemas.openxmlformats.org/officeDocument/2006/relationships/hyperlink" Target="https://leandergrech.github.io/Mizien/claims/CC-037/" TargetMode="External" Id="rId861"/><Relationship Type="http://schemas.openxmlformats.org/officeDocument/2006/relationships/hyperlink" Target="https://leandergrech.github.io/Mizien/claims/CC-037/" TargetMode="External" Id="rId862"/><Relationship Type="http://schemas.openxmlformats.org/officeDocument/2006/relationships/hyperlink" Target="https://leandergrech.github.io/Mizien/claims/CC-037/" TargetMode="External" Id="rId863"/><Relationship Type="http://schemas.openxmlformats.org/officeDocument/2006/relationships/hyperlink" Target="https://leandergrech.github.io/Mizien/claims/CC-037/" TargetMode="External" Id="rId864"/><Relationship Type="http://schemas.openxmlformats.org/officeDocument/2006/relationships/hyperlink" Target="https://leandergrech.github.io/Mizien/claims/CC-037/" TargetMode="External" Id="rId865"/><Relationship Type="http://schemas.openxmlformats.org/officeDocument/2006/relationships/hyperlink" Target="https://leandergrech.github.io/Mizien/claims/CC-037/" TargetMode="External" Id="rId866"/><Relationship Type="http://schemas.openxmlformats.org/officeDocument/2006/relationships/hyperlink" Target="https://leandergrech.github.io/Mizien/claims/CC-037/" TargetMode="External" Id="rId867"/><Relationship Type="http://schemas.openxmlformats.org/officeDocument/2006/relationships/hyperlink" Target="https://leandergrech.github.io/Mizien/claims/CC-037/" TargetMode="External" Id="rId868"/><Relationship Type="http://schemas.openxmlformats.org/officeDocument/2006/relationships/hyperlink" Target="https://leandergrech.github.io/Mizien/claims/CC-039/" TargetMode="External" Id="rId869"/><Relationship Type="http://schemas.openxmlformats.org/officeDocument/2006/relationships/hyperlink" Target="https://leandergrech.github.io/Mizien/claims/CC-039/" TargetMode="External" Id="rId870"/><Relationship Type="http://schemas.openxmlformats.org/officeDocument/2006/relationships/hyperlink" Target="https://leandergrech.github.io/Mizien/claims/CC-039/" TargetMode="External" Id="rId871"/><Relationship Type="http://schemas.openxmlformats.org/officeDocument/2006/relationships/hyperlink" Target="https://leandergrech.github.io/Mizien/claims/CC-039/" TargetMode="External" Id="rId872"/><Relationship Type="http://schemas.openxmlformats.org/officeDocument/2006/relationships/hyperlink" Target="https://leandergrech.github.io/Mizien/claims/CC-039/" TargetMode="External" Id="rId873"/><Relationship Type="http://schemas.openxmlformats.org/officeDocument/2006/relationships/hyperlink" Target="https://leandergrech.github.io/Mizien/claims/CC-039/" TargetMode="External" Id="rId874"/><Relationship Type="http://schemas.openxmlformats.org/officeDocument/2006/relationships/hyperlink" Target="https://leandergrech.github.io/Mizien/claims/CC-039/" TargetMode="External" Id="rId875"/><Relationship Type="http://schemas.openxmlformats.org/officeDocument/2006/relationships/hyperlink" Target="https://leandergrech.github.io/Mizien/claims/CC-039/" TargetMode="External" Id="rId876"/><Relationship Type="http://schemas.openxmlformats.org/officeDocument/2006/relationships/hyperlink" Target="https://leandergrech.github.io/Mizien/claims/CC-039/" TargetMode="External" Id="rId877"/><Relationship Type="http://schemas.openxmlformats.org/officeDocument/2006/relationships/hyperlink" Target="https://leandergrech.github.io/Mizien/claims/CC-039/" TargetMode="External" Id="rId878"/><Relationship Type="http://schemas.openxmlformats.org/officeDocument/2006/relationships/hyperlink" Target="https://leandergrech.github.io/Mizien/claims/CC-039/" TargetMode="External" Id="rId879"/><Relationship Type="http://schemas.openxmlformats.org/officeDocument/2006/relationships/hyperlink" Target="https://leandergrech.github.io/Mizien/claims/CC-039/" TargetMode="External" Id="rId880"/><Relationship Type="http://schemas.openxmlformats.org/officeDocument/2006/relationships/hyperlink" Target="https://leandergrech.github.io/Mizien/claims/CC-039/" TargetMode="External" Id="rId881"/><Relationship Type="http://schemas.openxmlformats.org/officeDocument/2006/relationships/hyperlink" Target="https://leandergrech.github.io/Mizien/claims/CC-039/" TargetMode="External" Id="rId882"/><Relationship Type="http://schemas.openxmlformats.org/officeDocument/2006/relationships/hyperlink" Target="https://leandergrech.github.io/Mizien/claims/CC-039/" TargetMode="External" Id="rId883"/><Relationship Type="http://schemas.openxmlformats.org/officeDocument/2006/relationships/hyperlink" Target="https://leandergrech.github.io/Mizien/claims/CC-039/" TargetMode="External" Id="rId884"/><Relationship Type="http://schemas.openxmlformats.org/officeDocument/2006/relationships/hyperlink" Target="https://leandergrech.github.io/Mizien/claims/CC-039/" TargetMode="External" Id="rId885"/><Relationship Type="http://schemas.openxmlformats.org/officeDocument/2006/relationships/hyperlink" Target="https://leandergrech.github.io/Mizien/claims/CC-039/" TargetMode="External" Id="rId886"/><Relationship Type="http://schemas.openxmlformats.org/officeDocument/2006/relationships/hyperlink" Target="https://leandergrech.github.io/Mizien/claims/CC-039/" TargetMode="External" Id="rId887"/><Relationship Type="http://schemas.openxmlformats.org/officeDocument/2006/relationships/hyperlink" Target="https://leandergrech.github.io/Mizien/claims/CC-039/" TargetMode="External" Id="rId888"/><Relationship Type="http://schemas.openxmlformats.org/officeDocument/2006/relationships/hyperlink" Target="https://leandergrech.github.io/Mizien/claims/CC-039/" TargetMode="External" Id="rId889"/><Relationship Type="http://schemas.openxmlformats.org/officeDocument/2006/relationships/hyperlink" Target="https://leandergrech.github.io/Mizien/claims/CC-039/" TargetMode="External" Id="rId890"/><Relationship Type="http://schemas.openxmlformats.org/officeDocument/2006/relationships/hyperlink" Target="https://leandergrech.github.io/Mizien/claims/CC-039/" TargetMode="External" Id="rId891"/><Relationship Type="http://schemas.openxmlformats.org/officeDocument/2006/relationships/hyperlink" Target="https://leandergrech.github.io/Mizien/claims/CC-039/" TargetMode="External" Id="rId892"/><Relationship Type="http://schemas.openxmlformats.org/officeDocument/2006/relationships/hyperlink" Target="https://leandergrech.github.io/Mizien/claims/CC-039/" TargetMode="External" Id="rId893"/><Relationship Type="http://schemas.openxmlformats.org/officeDocument/2006/relationships/hyperlink" Target="https://leandergrech.github.io/Mizien/claims/CC-039/" TargetMode="External" Id="rId894"/><Relationship Type="http://schemas.openxmlformats.org/officeDocument/2006/relationships/hyperlink" Target="https://leandergrech.github.io/Mizien/claims/CC-039/" TargetMode="External" Id="rId895"/><Relationship Type="http://schemas.openxmlformats.org/officeDocument/2006/relationships/hyperlink" Target="https://leandergrech.github.io/Mizien/claims/CC-039/" TargetMode="External" Id="rId896"/><Relationship Type="http://schemas.openxmlformats.org/officeDocument/2006/relationships/hyperlink" Target="https://leandergrech.github.io/Mizien/claims/CC-039/" TargetMode="External" Id="rId897"/><Relationship Type="http://schemas.openxmlformats.org/officeDocument/2006/relationships/hyperlink" Target="https://leandergrech.github.io/Mizien/claims/CC-039/" TargetMode="External" Id="rId898"/><Relationship Type="http://schemas.openxmlformats.org/officeDocument/2006/relationships/hyperlink" Target="https://leandergrech.github.io/Mizien/claims/CC-039/" TargetMode="External" Id="rId899"/><Relationship Type="http://schemas.openxmlformats.org/officeDocument/2006/relationships/hyperlink" Target="https://leandergrech.github.io/Mizien/claims/CC-039/" TargetMode="External" Id="rId900"/><Relationship Type="http://schemas.openxmlformats.org/officeDocument/2006/relationships/hyperlink" Target="https://leandergrech.github.io/Mizien/claims/CC-039/" TargetMode="External" Id="rId901"/><Relationship Type="http://schemas.openxmlformats.org/officeDocument/2006/relationships/hyperlink" Target="https://leandergrech.github.io/Mizien/claims/CC-039/" TargetMode="External" Id="rId902"/><Relationship Type="http://schemas.openxmlformats.org/officeDocument/2006/relationships/hyperlink" Target="https://leandergrech.github.io/Mizien/claims/CC-039/" TargetMode="External" Id="rId903"/><Relationship Type="http://schemas.openxmlformats.org/officeDocument/2006/relationships/hyperlink" Target="https://leandergrech.github.io/Mizien/claims/CC-039/" TargetMode="External" Id="rId904"/><Relationship Type="http://schemas.openxmlformats.org/officeDocument/2006/relationships/hyperlink" Target="https://leandergrech.github.io/Mizien/claims/CC-039/" TargetMode="External" Id="rId905"/><Relationship Type="http://schemas.openxmlformats.org/officeDocument/2006/relationships/hyperlink" Target="https://leandergrech.github.io/Mizien/claims/CC-039/" TargetMode="External" Id="rId906"/><Relationship Type="http://schemas.openxmlformats.org/officeDocument/2006/relationships/hyperlink" Target="https://leandergrech.github.io/Mizien/claims/CC-039/" TargetMode="External" Id="rId907"/><Relationship Type="http://schemas.openxmlformats.org/officeDocument/2006/relationships/hyperlink" Target="https://leandergrech.github.io/Mizien/claims/CC-039/" TargetMode="External" Id="rId908"/><Relationship Type="http://schemas.openxmlformats.org/officeDocument/2006/relationships/hyperlink" Target="https://leandergrech.github.io/Mizien/claims/CC-039/" TargetMode="External" Id="rId909"/><Relationship Type="http://schemas.openxmlformats.org/officeDocument/2006/relationships/hyperlink" Target="https://leandergrech.github.io/Mizien/claims/CC-039/" TargetMode="External" Id="rId910"/><Relationship Type="http://schemas.openxmlformats.org/officeDocument/2006/relationships/hyperlink" Target="https://leandergrech.github.io/Mizien/claims/CC-039/" TargetMode="External" Id="rId911"/><Relationship Type="http://schemas.openxmlformats.org/officeDocument/2006/relationships/hyperlink" Target="https://leandergrech.github.io/Mizien/claims/CC-039/" TargetMode="External" Id="rId912"/><Relationship Type="http://schemas.openxmlformats.org/officeDocument/2006/relationships/hyperlink" Target="https://leandergrech.github.io/Mizien/claims/CC-039/" TargetMode="External" Id="rId913"/><Relationship Type="http://schemas.openxmlformats.org/officeDocument/2006/relationships/hyperlink" Target="https://leandergrech.github.io/Mizien/claims/CC-039/" TargetMode="External" Id="rId914"/><Relationship Type="http://schemas.openxmlformats.org/officeDocument/2006/relationships/hyperlink" Target="https://leandergrech.github.io/Mizien/claims/CC-039/" TargetMode="External" Id="rId915"/><Relationship Type="http://schemas.openxmlformats.org/officeDocument/2006/relationships/hyperlink" Target="https://leandergrech.github.io/Mizien/claims/CC-039/" TargetMode="External" Id="rId916"/><Relationship Type="http://schemas.openxmlformats.org/officeDocument/2006/relationships/hyperlink" Target="https://leandergrech.github.io/Mizien/claims/CC-039/" TargetMode="External" Id="rId917"/><Relationship Type="http://schemas.openxmlformats.org/officeDocument/2006/relationships/hyperlink" Target="https://leandergrech.github.io/Mizien/claims/CC-039/" TargetMode="External" Id="rId918"/><Relationship Type="http://schemas.openxmlformats.org/officeDocument/2006/relationships/hyperlink" Target="https://leandergrech.github.io/Mizien/claims/CC-039/" TargetMode="External" Id="rId919"/><Relationship Type="http://schemas.openxmlformats.org/officeDocument/2006/relationships/hyperlink" Target="https://leandergrech.github.io/Mizien/claims/CC-040/" TargetMode="External" Id="rId920"/><Relationship Type="http://schemas.openxmlformats.org/officeDocument/2006/relationships/hyperlink" Target="https://leandergrech.github.io/Mizien/claims/CC-040/" TargetMode="External" Id="rId921"/><Relationship Type="http://schemas.openxmlformats.org/officeDocument/2006/relationships/hyperlink" Target="https://leandergrech.github.io/Mizien/claims/CC-040/" TargetMode="External" Id="rId922"/><Relationship Type="http://schemas.openxmlformats.org/officeDocument/2006/relationships/hyperlink" Target="https://leandergrech.github.io/Mizien/claims/CC-040/" TargetMode="External" Id="rId923"/><Relationship Type="http://schemas.openxmlformats.org/officeDocument/2006/relationships/hyperlink" Target="https://leandergrech.github.io/Mizien/claims/CC-040/" TargetMode="External" Id="rId924"/><Relationship Type="http://schemas.openxmlformats.org/officeDocument/2006/relationships/hyperlink" Target="https://leandergrech.github.io/Mizien/claims/CC-040/" TargetMode="External" Id="rId925"/><Relationship Type="http://schemas.openxmlformats.org/officeDocument/2006/relationships/hyperlink" Target="https://leandergrech.github.io/Mizien/claims/CC-040/" TargetMode="External" Id="rId926"/><Relationship Type="http://schemas.openxmlformats.org/officeDocument/2006/relationships/hyperlink" Target="https://leandergrech.github.io/Mizien/claims/CC-040/" TargetMode="External" Id="rId927"/><Relationship Type="http://schemas.openxmlformats.org/officeDocument/2006/relationships/hyperlink" Target="https://leandergrech.github.io/Mizien/claims/CC-040/" TargetMode="External" Id="rId928"/><Relationship Type="http://schemas.openxmlformats.org/officeDocument/2006/relationships/hyperlink" Target="https://leandergrech.github.io/Mizien/claims/CC-040/" TargetMode="External" Id="rId929"/><Relationship Type="http://schemas.openxmlformats.org/officeDocument/2006/relationships/hyperlink" Target="https://leandergrech.github.io/Mizien/claims/CC-040/" TargetMode="External" Id="rId930"/><Relationship Type="http://schemas.openxmlformats.org/officeDocument/2006/relationships/hyperlink" Target="https://leandergrech.github.io/Mizien/claims/CC-040/" TargetMode="External" Id="rId931"/><Relationship Type="http://schemas.openxmlformats.org/officeDocument/2006/relationships/hyperlink" Target="https://leandergrech.github.io/Mizien/claims/CC-040/" TargetMode="External" Id="rId932"/><Relationship Type="http://schemas.openxmlformats.org/officeDocument/2006/relationships/hyperlink" Target="https://leandergrech.github.io/Mizien/claims/CC-040/" TargetMode="External" Id="rId933"/><Relationship Type="http://schemas.openxmlformats.org/officeDocument/2006/relationships/hyperlink" Target="https://leandergrech.github.io/Mizien/claims/CC-040/" TargetMode="External" Id="rId934"/><Relationship Type="http://schemas.openxmlformats.org/officeDocument/2006/relationships/hyperlink" Target="https://leandergrech.github.io/Mizien/claims/CC-040/" TargetMode="External" Id="rId935"/><Relationship Type="http://schemas.openxmlformats.org/officeDocument/2006/relationships/hyperlink" Target="https://leandergrech.github.io/Mizien/claims/CC-045/" TargetMode="External" Id="rId936"/><Relationship Type="http://schemas.openxmlformats.org/officeDocument/2006/relationships/hyperlink" Target="https://leandergrech.github.io/Mizien/claims/CC-045/" TargetMode="External" Id="rId937"/><Relationship Type="http://schemas.openxmlformats.org/officeDocument/2006/relationships/hyperlink" Target="https://leandergrech.github.io/Mizien/claims/CC-045/" TargetMode="External" Id="rId938"/><Relationship Type="http://schemas.openxmlformats.org/officeDocument/2006/relationships/hyperlink" Target="https://leandergrech.github.io/Mizien/claims/CC-045/" TargetMode="External" Id="rId939"/><Relationship Type="http://schemas.openxmlformats.org/officeDocument/2006/relationships/hyperlink" Target="https://leandergrech.github.io/Mizien/claims/CC-045/" TargetMode="External" Id="rId940"/><Relationship Type="http://schemas.openxmlformats.org/officeDocument/2006/relationships/hyperlink" Target="https://leandergrech.github.io/Mizien/claims/CC-045/" TargetMode="External" Id="rId941"/><Relationship Type="http://schemas.openxmlformats.org/officeDocument/2006/relationships/hyperlink" Target="https://leandergrech.github.io/Mizien/claims/CC-045/" TargetMode="External" Id="rId942"/><Relationship Type="http://schemas.openxmlformats.org/officeDocument/2006/relationships/hyperlink" Target="https://leandergrech.github.io/Mizien/claims/CC-045/" TargetMode="External" Id="rId943"/><Relationship Type="http://schemas.openxmlformats.org/officeDocument/2006/relationships/hyperlink" Target="https://leandergrech.github.io/Mizien/claims/CC-045/" TargetMode="External" Id="rId944"/><Relationship Type="http://schemas.openxmlformats.org/officeDocument/2006/relationships/hyperlink" Target="https://leandergrech.github.io/Mizien/claims/CC-045/" TargetMode="External" Id="rId945"/><Relationship Type="http://schemas.openxmlformats.org/officeDocument/2006/relationships/hyperlink" Target="https://leandergrech.github.io/Mizien/claims/CC-045/" TargetMode="External" Id="rId946"/><Relationship Type="http://schemas.openxmlformats.org/officeDocument/2006/relationships/hyperlink" Target="https://leandergrech.github.io/Mizien/claims/CC-045/" TargetMode="External" Id="rId947"/><Relationship Type="http://schemas.openxmlformats.org/officeDocument/2006/relationships/hyperlink" Target="https://leandergrech.github.io/Mizien/claims/CC-045/" TargetMode="External" Id="rId948"/><Relationship Type="http://schemas.openxmlformats.org/officeDocument/2006/relationships/hyperlink" Target="https://leandergrech.github.io/Mizien/claims/CC-045/" TargetMode="External" Id="rId949"/><Relationship Type="http://schemas.openxmlformats.org/officeDocument/2006/relationships/hyperlink" Target="https://leandergrech.github.io/Mizien/claims/CC-045/" TargetMode="External" Id="rId950"/><Relationship Type="http://schemas.openxmlformats.org/officeDocument/2006/relationships/hyperlink" Target="https://leandergrech.github.io/Mizien/claims/CC-047/" TargetMode="External" Id="rId951"/><Relationship Type="http://schemas.openxmlformats.org/officeDocument/2006/relationships/hyperlink" Target="https://leandergrech.github.io/Mizien/claims/CC-047/" TargetMode="External" Id="rId952"/><Relationship Type="http://schemas.openxmlformats.org/officeDocument/2006/relationships/hyperlink" Target="https://leandergrech.github.io/Mizien/claims/CC-047/" TargetMode="External" Id="rId953"/><Relationship Type="http://schemas.openxmlformats.org/officeDocument/2006/relationships/hyperlink" Target="https://leandergrech.github.io/Mizien/claims/CC-047/" TargetMode="External" Id="rId954"/><Relationship Type="http://schemas.openxmlformats.org/officeDocument/2006/relationships/hyperlink" Target="https://leandergrech.github.io/Mizien/claims/CC-047/" TargetMode="External" Id="rId955"/><Relationship Type="http://schemas.openxmlformats.org/officeDocument/2006/relationships/hyperlink" Target="https://leandergrech.github.io/Mizien/claims/CC-047/" TargetMode="External" Id="rId956"/><Relationship Type="http://schemas.openxmlformats.org/officeDocument/2006/relationships/hyperlink" Target="https://leandergrech.github.io/Mizien/claims/CC-047/" TargetMode="External" Id="rId957"/><Relationship Type="http://schemas.openxmlformats.org/officeDocument/2006/relationships/hyperlink" Target="https://leandergrech.github.io/Mizien/claims/CC-047/" TargetMode="External" Id="rId958"/><Relationship Type="http://schemas.openxmlformats.org/officeDocument/2006/relationships/hyperlink" Target="https://leandergrech.github.io/Mizien/claims/CC-047/" TargetMode="External" Id="rId959"/><Relationship Type="http://schemas.openxmlformats.org/officeDocument/2006/relationships/hyperlink" Target="https://leandergrech.github.io/Mizien/claims/CC-047/" TargetMode="External" Id="rId960"/><Relationship Type="http://schemas.openxmlformats.org/officeDocument/2006/relationships/hyperlink" Target="https://leandergrech.github.io/Mizien/claims/CC-050/" TargetMode="External" Id="rId961"/><Relationship Type="http://schemas.openxmlformats.org/officeDocument/2006/relationships/hyperlink" Target="https://leandergrech.github.io/Mizien/claims/CC-050/" TargetMode="External" Id="rId962"/><Relationship Type="http://schemas.openxmlformats.org/officeDocument/2006/relationships/hyperlink" Target="https://leandergrech.github.io/Mizien/claims/CC-050/" TargetMode="External" Id="rId963"/><Relationship Type="http://schemas.openxmlformats.org/officeDocument/2006/relationships/hyperlink" Target="https://leandergrech.github.io/Mizien/claims/CC-051/" TargetMode="External" Id="rId964"/><Relationship Type="http://schemas.openxmlformats.org/officeDocument/2006/relationships/hyperlink" Target="https://leandergrech.github.io/Mizien/claims/CC-051/" TargetMode="External" Id="rId965"/><Relationship Type="http://schemas.openxmlformats.org/officeDocument/2006/relationships/hyperlink" Target="https://leandergrech.github.io/Mizien/claims/CC-051/" TargetMode="External" Id="rId966"/><Relationship Type="http://schemas.openxmlformats.org/officeDocument/2006/relationships/hyperlink" Target="https://leandergrech.github.io/Mizien/claims/CC-051/" TargetMode="External" Id="rId967"/><Relationship Type="http://schemas.openxmlformats.org/officeDocument/2006/relationships/hyperlink" Target="https://leandergrech.github.io/Mizien/claims/CC-051/" TargetMode="External" Id="rId968"/><Relationship Type="http://schemas.openxmlformats.org/officeDocument/2006/relationships/hyperlink" Target="https://leandergrech.github.io/Mizien/claims/CC-051/" TargetMode="External" Id="rId969"/><Relationship Type="http://schemas.openxmlformats.org/officeDocument/2006/relationships/hyperlink" Target="https://leandergrech.github.io/Mizien/claims/CC-051/" TargetMode="External" Id="rId970"/><Relationship Type="http://schemas.openxmlformats.org/officeDocument/2006/relationships/hyperlink" Target="https://leandergrech.github.io/Mizien/claims/CC-051/" TargetMode="External" Id="rId971"/><Relationship Type="http://schemas.openxmlformats.org/officeDocument/2006/relationships/hyperlink" Target="https://leandergrech.github.io/Mizien/claims/CC-051/" TargetMode="External" Id="rId972"/><Relationship Type="http://schemas.openxmlformats.org/officeDocument/2006/relationships/hyperlink" Target="https://leandergrech.github.io/Mizien/claims/CC-051/" TargetMode="External" Id="rId973"/><Relationship Type="http://schemas.openxmlformats.org/officeDocument/2006/relationships/hyperlink" Target="https://leandergrech.github.io/Mizien/claims/CC-051/" TargetMode="External" Id="rId974"/><Relationship Type="http://schemas.openxmlformats.org/officeDocument/2006/relationships/hyperlink" Target="https://leandergrech.github.io/Mizien/claims/CC-051/" TargetMode="External" Id="rId975"/><Relationship Type="http://schemas.openxmlformats.org/officeDocument/2006/relationships/hyperlink" Target="https://leandergrech.github.io/Mizien/claims/CC-051/" TargetMode="External" Id="rId976"/><Relationship Type="http://schemas.openxmlformats.org/officeDocument/2006/relationships/hyperlink" Target="https://leandergrech.github.io/Mizien/claims/CC-051/" TargetMode="External" Id="rId977"/><Relationship Type="http://schemas.openxmlformats.org/officeDocument/2006/relationships/hyperlink" Target="https://leandergrech.github.io/Mizien/claims/CC-051/" TargetMode="External" Id="rId978"/><Relationship Type="http://schemas.openxmlformats.org/officeDocument/2006/relationships/hyperlink" Target="https://leandergrech.github.io/Mizien/claims/CC-051/" TargetMode="External" Id="rId979"/><Relationship Type="http://schemas.openxmlformats.org/officeDocument/2006/relationships/hyperlink" Target="https://leandergrech.github.io/Mizien/claims/CC-051/" TargetMode="External" Id="rId980"/><Relationship Type="http://schemas.openxmlformats.org/officeDocument/2006/relationships/hyperlink" Target="https://leandergrech.github.io/Mizien/claims/CC-051/" TargetMode="External" Id="rId981"/><Relationship Type="http://schemas.openxmlformats.org/officeDocument/2006/relationships/hyperlink" Target="https://leandergrech.github.io/Mizien/claims/CC-051/" TargetMode="External" Id="rId982"/><Relationship Type="http://schemas.openxmlformats.org/officeDocument/2006/relationships/hyperlink" Target="https://leandergrech.github.io/Mizien/claims/CC-051/" TargetMode="External" Id="rId983"/><Relationship Type="http://schemas.openxmlformats.org/officeDocument/2006/relationships/hyperlink" Target="https://leandergrech.github.io/Mizien/claims/CC-051/" TargetMode="External" Id="rId984"/><Relationship Type="http://schemas.openxmlformats.org/officeDocument/2006/relationships/hyperlink" Target="https://leandergrech.github.io/Mizien/claims/CC-051/" TargetMode="External" Id="rId985"/><Relationship Type="http://schemas.openxmlformats.org/officeDocument/2006/relationships/hyperlink" Target="https://leandergrech.github.io/Mizien/claims/CC-051/" TargetMode="External" Id="rId986"/><Relationship Type="http://schemas.openxmlformats.org/officeDocument/2006/relationships/hyperlink" Target="https://leandergrech.github.io/Mizien/claims/CC-051/" TargetMode="External" Id="rId987"/><Relationship Type="http://schemas.openxmlformats.org/officeDocument/2006/relationships/hyperlink" Target="https://leandergrech.github.io/Mizien/claims/CC-053/" TargetMode="External" Id="rId988"/><Relationship Type="http://schemas.openxmlformats.org/officeDocument/2006/relationships/hyperlink" Target="https://leandergrech.github.io/Mizien/claims/CC-053/" TargetMode="External" Id="rId989"/><Relationship Type="http://schemas.openxmlformats.org/officeDocument/2006/relationships/hyperlink" Target="https://leandergrech.github.io/Mizien/claims/CC-053/" TargetMode="External" Id="rId990"/><Relationship Type="http://schemas.openxmlformats.org/officeDocument/2006/relationships/hyperlink" Target="https://leandergrech.github.io/Mizien/claims/CC-053/" TargetMode="External" Id="rId991"/><Relationship Type="http://schemas.openxmlformats.org/officeDocument/2006/relationships/hyperlink" Target="https://leandergrech.github.io/Mizien/claims/CC-053/" TargetMode="External" Id="rId992"/><Relationship Type="http://schemas.openxmlformats.org/officeDocument/2006/relationships/hyperlink" Target="https://leandergrech.github.io/Mizien/claims/CC-053/" TargetMode="External" Id="rId993"/><Relationship Type="http://schemas.openxmlformats.org/officeDocument/2006/relationships/hyperlink" Target="https://leandergrech.github.io/Mizien/claims/CC-053/" TargetMode="External" Id="rId994"/><Relationship Type="http://schemas.openxmlformats.org/officeDocument/2006/relationships/hyperlink" Target="https://leandergrech.github.io/Mizien/claims/CC-053/" TargetMode="External" Id="rId995"/><Relationship Type="http://schemas.openxmlformats.org/officeDocument/2006/relationships/hyperlink" Target="https://leandergrech.github.io/Mizien/claims/CC-053/" TargetMode="External" Id="rId996"/><Relationship Type="http://schemas.openxmlformats.org/officeDocument/2006/relationships/hyperlink" Target="https://leandergrech.github.io/Mizien/claims/CC-053/" TargetMode="External" Id="rId997"/><Relationship Type="http://schemas.openxmlformats.org/officeDocument/2006/relationships/hyperlink" Target="https://leandergrech.github.io/Mizien/claims/CC-053/" TargetMode="External" Id="rId998"/><Relationship Type="http://schemas.openxmlformats.org/officeDocument/2006/relationships/hyperlink" Target="https://leandergrech.github.io/Mizien/claims/CC-053/" TargetMode="External" Id="rId999"/><Relationship Type="http://schemas.openxmlformats.org/officeDocument/2006/relationships/hyperlink" Target="https://leandergrech.github.io/Mizien/claims/CC-053/" TargetMode="External" Id="rId1000"/><Relationship Type="http://schemas.openxmlformats.org/officeDocument/2006/relationships/hyperlink" Target="https://leandergrech.github.io/Mizien/claims/CC-055/" TargetMode="External" Id="rId1001"/><Relationship Type="http://schemas.openxmlformats.org/officeDocument/2006/relationships/hyperlink" Target="https://leandergrech.github.io/Mizien/claims/CC-055/" TargetMode="External" Id="rId1002"/><Relationship Type="http://schemas.openxmlformats.org/officeDocument/2006/relationships/hyperlink" Target="https://leandergrech.github.io/Mizien/claims/CC-055/" TargetMode="External" Id="rId1003"/><Relationship Type="http://schemas.openxmlformats.org/officeDocument/2006/relationships/hyperlink" Target="https://leandergrech.github.io/Mizien/claims/CC-055/" TargetMode="External" Id="rId1004"/><Relationship Type="http://schemas.openxmlformats.org/officeDocument/2006/relationships/hyperlink" Target="https://leandergrech.github.io/Mizien/claims/CC-055/" TargetMode="External" Id="rId1005"/><Relationship Type="http://schemas.openxmlformats.org/officeDocument/2006/relationships/hyperlink" Target="https://leandergrech.github.io/Mizien/claims/CC-055/" TargetMode="External" Id="rId1006"/><Relationship Type="http://schemas.openxmlformats.org/officeDocument/2006/relationships/hyperlink" Target="https://leandergrech.github.io/Mizien/claims/CC-062/" TargetMode="External" Id="rId1007"/><Relationship Type="http://schemas.openxmlformats.org/officeDocument/2006/relationships/hyperlink" Target="https://leandergrech.github.io/Mizien/claims/CC-062/" TargetMode="External" Id="rId1008"/><Relationship Type="http://schemas.openxmlformats.org/officeDocument/2006/relationships/hyperlink" Target="https://leandergrech.github.io/Mizien/claims/CC-062/" TargetMode="External" Id="rId1009"/><Relationship Type="http://schemas.openxmlformats.org/officeDocument/2006/relationships/hyperlink" Target="https://leandergrech.github.io/Mizien/claims/CC-062/" TargetMode="External" Id="rId1010"/><Relationship Type="http://schemas.openxmlformats.org/officeDocument/2006/relationships/hyperlink" Target="https://leandergrech.github.io/Mizien/claims/CC-062/" TargetMode="External" Id="rId1011"/><Relationship Type="http://schemas.openxmlformats.org/officeDocument/2006/relationships/hyperlink" Target="https://leandergrech.github.io/Mizien/claims/CC-062/" TargetMode="External" Id="rId1012"/><Relationship Type="http://schemas.openxmlformats.org/officeDocument/2006/relationships/hyperlink" Target="https://leandergrech.github.io/Mizien/claims/CC-062/" TargetMode="External" Id="rId1013"/><Relationship Type="http://schemas.openxmlformats.org/officeDocument/2006/relationships/hyperlink" Target="https://leandergrech.github.io/Mizien/claims/CC-062/" TargetMode="External" Id="rId1014"/><Relationship Type="http://schemas.openxmlformats.org/officeDocument/2006/relationships/hyperlink" Target="https://leandergrech.github.io/Mizien/claims/CC-062/" TargetMode="External" Id="rId1015"/><Relationship Type="http://schemas.openxmlformats.org/officeDocument/2006/relationships/hyperlink" Target="https://leandergrech.github.io/Mizien/claims/CC-062/" TargetMode="External" Id="rId1016"/><Relationship Type="http://schemas.openxmlformats.org/officeDocument/2006/relationships/hyperlink" Target="https://leandergrech.github.io/Mizien/claims/CC-062/" TargetMode="External" Id="rId1017"/><Relationship Type="http://schemas.openxmlformats.org/officeDocument/2006/relationships/hyperlink" Target="https://leandergrech.github.io/Mizien/claims/CC-062/" TargetMode="External" Id="rId1018"/><Relationship Type="http://schemas.openxmlformats.org/officeDocument/2006/relationships/hyperlink" Target="https://leandergrech.github.io/Mizien/claims/CC-062/" TargetMode="External" Id="rId1019"/><Relationship Type="http://schemas.openxmlformats.org/officeDocument/2006/relationships/hyperlink" Target="https://leandergrech.github.io/Mizien/claims/CC-062/" TargetMode="External" Id="rId1020"/><Relationship Type="http://schemas.openxmlformats.org/officeDocument/2006/relationships/hyperlink" Target="https://leandergrech.github.io/Mizien/claims/CC-062/" TargetMode="External" Id="rId1021"/><Relationship Type="http://schemas.openxmlformats.org/officeDocument/2006/relationships/hyperlink" Target="https://leandergrech.github.io/Mizien/claims/CC-062/" TargetMode="External" Id="rId1022"/><Relationship Type="http://schemas.openxmlformats.org/officeDocument/2006/relationships/hyperlink" Target="https://leandergrech.github.io/Mizien/claims/CC-062/" TargetMode="External" Id="rId1023"/><Relationship Type="http://schemas.openxmlformats.org/officeDocument/2006/relationships/hyperlink" Target="https://leandergrech.github.io/Mizien/claims/CC-062/" TargetMode="External" Id="rId1024"/><Relationship Type="http://schemas.openxmlformats.org/officeDocument/2006/relationships/hyperlink" Target="https://leandergrech.github.io/Mizien/claims/CC-062/" TargetMode="External" Id="rId1025"/><Relationship Type="http://schemas.openxmlformats.org/officeDocument/2006/relationships/hyperlink" Target="https://leandergrech.github.io/Mizien/claims/CC-062/" TargetMode="External" Id="rId1026"/><Relationship Type="http://schemas.openxmlformats.org/officeDocument/2006/relationships/hyperlink" Target="https://leandergrech.github.io/Mizien/claims/CC-062/" TargetMode="External" Id="rId1027"/><Relationship Type="http://schemas.openxmlformats.org/officeDocument/2006/relationships/hyperlink" Target="https://leandergrech.github.io/Mizien/claims/CC-062/" TargetMode="External" Id="rId1028"/><Relationship Type="http://schemas.openxmlformats.org/officeDocument/2006/relationships/hyperlink" Target="https://leandergrech.github.io/Mizien/claims/CC-062/" TargetMode="External" Id="rId1029"/><Relationship Type="http://schemas.openxmlformats.org/officeDocument/2006/relationships/hyperlink" Target="https://leandergrech.github.io/Mizien/claims/CC-062/" TargetMode="External" Id="rId1030"/><Relationship Type="http://schemas.openxmlformats.org/officeDocument/2006/relationships/hyperlink" Target="https://leandergrech.github.io/Mizien/claims/CC-062/" TargetMode="External" Id="rId1031"/><Relationship Type="http://schemas.openxmlformats.org/officeDocument/2006/relationships/hyperlink" Target="https://leandergrech.github.io/Mizien/claims/CC-062/" TargetMode="External" Id="rId1032"/><Relationship Type="http://schemas.openxmlformats.org/officeDocument/2006/relationships/hyperlink" Target="https://leandergrech.github.io/Mizien/claims/CC-062/" TargetMode="External" Id="rId1033"/><Relationship Type="http://schemas.openxmlformats.org/officeDocument/2006/relationships/hyperlink" Target="https://leandergrech.github.io/Mizien/claims/CC-062/" TargetMode="External" Id="rId1034"/><Relationship Type="http://schemas.openxmlformats.org/officeDocument/2006/relationships/hyperlink" Target="https://leandergrech.github.io/Mizien/claims/CC-062/" TargetMode="External" Id="rId1035"/><Relationship Type="http://schemas.openxmlformats.org/officeDocument/2006/relationships/hyperlink" Target="https://leandergrech.github.io/Mizien/claims/CC-062/" TargetMode="External" Id="rId1036"/><Relationship Type="http://schemas.openxmlformats.org/officeDocument/2006/relationships/hyperlink" Target="https://leandergrech.github.io/Mizien/claims/CC-062/" TargetMode="External" Id="rId1037"/><Relationship Type="http://schemas.openxmlformats.org/officeDocument/2006/relationships/hyperlink" Target="https://leandergrech.github.io/Mizien/claims/CC-062/" TargetMode="External" Id="rId1038"/><Relationship Type="http://schemas.openxmlformats.org/officeDocument/2006/relationships/hyperlink" Target="https://leandergrech.github.io/Mizien/claims/CC-062/" TargetMode="External" Id="rId1039"/><Relationship Type="http://schemas.openxmlformats.org/officeDocument/2006/relationships/hyperlink" Target="https://leandergrech.github.io/Mizien/claims/CC-062/" TargetMode="External" Id="rId1040"/><Relationship Type="http://schemas.openxmlformats.org/officeDocument/2006/relationships/hyperlink" Target="https://leandergrech.github.io/Mizien/claims/CC-062/" TargetMode="External" Id="rId1041"/><Relationship Type="http://schemas.openxmlformats.org/officeDocument/2006/relationships/hyperlink" Target="https://leandergrech.github.io/Mizien/claims/CC-062/" TargetMode="External" Id="rId1042"/><Relationship Type="http://schemas.openxmlformats.org/officeDocument/2006/relationships/hyperlink" Target="https://leandergrech.github.io/Mizien/claims/CC-062/" TargetMode="External" Id="rId1043"/><Relationship Type="http://schemas.openxmlformats.org/officeDocument/2006/relationships/hyperlink" Target="https://leandergrech.github.io/Mizien/claims/CC-062/" TargetMode="External" Id="rId1044"/><Relationship Type="http://schemas.openxmlformats.org/officeDocument/2006/relationships/hyperlink" Target="https://leandergrech.github.io/Mizien/claims/CC-062/" TargetMode="External" Id="rId1045"/><Relationship Type="http://schemas.openxmlformats.org/officeDocument/2006/relationships/hyperlink" Target="https://leandergrech.github.io/Mizien/claims/CC-062/" TargetMode="External" Id="rId1046"/><Relationship Type="http://schemas.openxmlformats.org/officeDocument/2006/relationships/hyperlink" Target="https://leandergrech.github.io/Mizien/claims/CC-062/" TargetMode="External" Id="rId1047"/><Relationship Type="http://schemas.openxmlformats.org/officeDocument/2006/relationships/hyperlink" Target="https://leandergrech.github.io/Mizien/claims/CC-062/" TargetMode="External" Id="rId1048"/><Relationship Type="http://schemas.openxmlformats.org/officeDocument/2006/relationships/hyperlink" Target="https://leandergrech.github.io/Mizien/claims/CC-062/" TargetMode="External" Id="rId1049"/><Relationship Type="http://schemas.openxmlformats.org/officeDocument/2006/relationships/hyperlink" Target="https://leandergrech.github.io/Mizien/claims/CC-062/" TargetMode="External" Id="rId1050"/><Relationship Type="http://schemas.openxmlformats.org/officeDocument/2006/relationships/hyperlink" Target="https://leandergrech.github.io/Mizien/claims/CC-062/" TargetMode="External" Id="rId1051"/><Relationship Type="http://schemas.openxmlformats.org/officeDocument/2006/relationships/hyperlink" Target="https://leandergrech.github.io/Mizien/claims/CC-062/" TargetMode="External" Id="rId1052"/><Relationship Type="http://schemas.openxmlformats.org/officeDocument/2006/relationships/hyperlink" Target="https://leandergrech.github.io/Mizien/claims/CC-062/" TargetMode="External" Id="rId1053"/><Relationship Type="http://schemas.openxmlformats.org/officeDocument/2006/relationships/hyperlink" Target="https://leandergrech.github.io/Mizien/claims/CC-062/" TargetMode="External" Id="rId1054"/><Relationship Type="http://schemas.openxmlformats.org/officeDocument/2006/relationships/hyperlink" Target="https://leandergrech.github.io/Mizien/claims/CC-063/" TargetMode="External" Id="rId1055"/><Relationship Type="http://schemas.openxmlformats.org/officeDocument/2006/relationships/hyperlink" Target="https://leandergrech.github.io/Mizien/claims/CC-063/" TargetMode="External" Id="rId1056"/><Relationship Type="http://schemas.openxmlformats.org/officeDocument/2006/relationships/hyperlink" Target="https://leandergrech.github.io/Mizien/claims/CC-063/" TargetMode="External" Id="rId1057"/><Relationship Type="http://schemas.openxmlformats.org/officeDocument/2006/relationships/hyperlink" Target="https://leandergrech.github.io/Mizien/claims/CC-063/" TargetMode="External" Id="rId1058"/><Relationship Type="http://schemas.openxmlformats.org/officeDocument/2006/relationships/hyperlink" Target="https://leandergrech.github.io/Mizien/claims/CC-063/" TargetMode="External" Id="rId1059"/><Relationship Type="http://schemas.openxmlformats.org/officeDocument/2006/relationships/hyperlink" Target="https://leandergrech.github.io/Mizien/claims/CC-063/" TargetMode="External" Id="rId1060"/><Relationship Type="http://schemas.openxmlformats.org/officeDocument/2006/relationships/hyperlink" Target="https://leandergrech.github.io/Mizien/claims/CC-063/" TargetMode="External" Id="rId1061"/><Relationship Type="http://schemas.openxmlformats.org/officeDocument/2006/relationships/hyperlink" Target="https://leandergrech.github.io/Mizien/claims/CC-063/" TargetMode="External" Id="rId1062"/><Relationship Type="http://schemas.openxmlformats.org/officeDocument/2006/relationships/hyperlink" Target="https://leandergrech.github.io/Mizien/claims/CC-063/" TargetMode="External" Id="rId1063"/><Relationship Type="http://schemas.openxmlformats.org/officeDocument/2006/relationships/hyperlink" Target="https://leandergrech.github.io/Mizien/claims/CC-063/" TargetMode="External" Id="rId1064"/><Relationship Type="http://schemas.openxmlformats.org/officeDocument/2006/relationships/hyperlink" Target="https://leandergrech.github.io/Mizien/claims/CC-063/" TargetMode="External" Id="rId1065"/><Relationship Type="http://schemas.openxmlformats.org/officeDocument/2006/relationships/hyperlink" Target="https://leandergrech.github.io/Mizien/claims/CC-063/" TargetMode="External" Id="rId1066"/><Relationship Type="http://schemas.openxmlformats.org/officeDocument/2006/relationships/hyperlink" Target="https://leandergrech.github.io/Mizien/claims/CC-063/" TargetMode="External" Id="rId1067"/><Relationship Type="http://schemas.openxmlformats.org/officeDocument/2006/relationships/hyperlink" Target="https://leandergrech.github.io/Mizien/claims/CC-063/" TargetMode="External" Id="rId1068"/><Relationship Type="http://schemas.openxmlformats.org/officeDocument/2006/relationships/hyperlink" Target="https://leandergrech.github.io/Mizien/claims/CC-063/" TargetMode="External" Id="rId1069"/><Relationship Type="http://schemas.openxmlformats.org/officeDocument/2006/relationships/hyperlink" Target="https://leandergrech.github.io/Mizien/claims/CC-063/" TargetMode="External" Id="rId1070"/><Relationship Type="http://schemas.openxmlformats.org/officeDocument/2006/relationships/hyperlink" Target="https://leandergrech.github.io/Mizien/claims/CC-063/" TargetMode="External" Id="rId1071"/><Relationship Type="http://schemas.openxmlformats.org/officeDocument/2006/relationships/hyperlink" Target="https://leandergrech.github.io/Mizien/claims/CC-063/" TargetMode="External" Id="rId1072"/><Relationship Type="http://schemas.openxmlformats.org/officeDocument/2006/relationships/hyperlink" Target="https://leandergrech.github.io/Mizien/claims/CC-063/" TargetMode="External" Id="rId1073"/><Relationship Type="http://schemas.openxmlformats.org/officeDocument/2006/relationships/hyperlink" Target="https://leandergrech.github.io/Mizien/claims/CC-063/" TargetMode="External" Id="rId1074"/><Relationship Type="http://schemas.openxmlformats.org/officeDocument/2006/relationships/hyperlink" Target="https://leandergrech.github.io/Mizien/claims/CC-063/" TargetMode="External" Id="rId1075"/><Relationship Type="http://schemas.openxmlformats.org/officeDocument/2006/relationships/hyperlink" Target="https://leandergrech.github.io/Mizien/claims/CC-063/" TargetMode="External" Id="rId1076"/><Relationship Type="http://schemas.openxmlformats.org/officeDocument/2006/relationships/hyperlink" Target="https://leandergrech.github.io/Mizien/claims/CC-063/" TargetMode="External" Id="rId1077"/><Relationship Type="http://schemas.openxmlformats.org/officeDocument/2006/relationships/hyperlink" Target="https://leandergrech.github.io/Mizien/claims/CC-063/" TargetMode="External" Id="rId1078"/><Relationship Type="http://schemas.openxmlformats.org/officeDocument/2006/relationships/hyperlink" Target="https://leandergrech.github.io/Mizien/claims/CC-063/" TargetMode="External" Id="rId1079"/><Relationship Type="http://schemas.openxmlformats.org/officeDocument/2006/relationships/hyperlink" Target="https://leandergrech.github.io/Mizien/claims/CC-063/" TargetMode="External" Id="rId1080"/><Relationship Type="http://schemas.openxmlformats.org/officeDocument/2006/relationships/hyperlink" Target="https://leandergrech.github.io/Mizien/claims/CC-063/" TargetMode="External" Id="rId1081"/><Relationship Type="http://schemas.openxmlformats.org/officeDocument/2006/relationships/hyperlink" Target="https://leandergrech.github.io/Mizien/claims/CC-063/" TargetMode="External" Id="rId1082"/><Relationship Type="http://schemas.openxmlformats.org/officeDocument/2006/relationships/hyperlink" Target="https://leandergrech.github.io/Mizien/claims/CC-065/" TargetMode="External" Id="rId1083"/><Relationship Type="http://schemas.openxmlformats.org/officeDocument/2006/relationships/hyperlink" Target="https://leandergrech.github.io/Mizien/claims/CC-065/" TargetMode="External" Id="rId1084"/><Relationship Type="http://schemas.openxmlformats.org/officeDocument/2006/relationships/hyperlink" Target="https://leandergrech.github.io/Mizien/claims/CC-065/" TargetMode="External" Id="rId1085"/><Relationship Type="http://schemas.openxmlformats.org/officeDocument/2006/relationships/hyperlink" Target="https://leandergrech.github.io/Mizien/claims/CC-065/" TargetMode="External" Id="rId1086"/><Relationship Type="http://schemas.openxmlformats.org/officeDocument/2006/relationships/hyperlink" Target="https://leandergrech.github.io/Mizien/claims/CC-065/" TargetMode="External" Id="rId1087"/><Relationship Type="http://schemas.openxmlformats.org/officeDocument/2006/relationships/hyperlink" Target="https://leandergrech.github.io/Mizien/claims/CC-065/" TargetMode="External" Id="rId1088"/><Relationship Type="http://schemas.openxmlformats.org/officeDocument/2006/relationships/hyperlink" Target="https://leandergrech.github.io/Mizien/claims/CC-065/" TargetMode="External" Id="rId1089"/><Relationship Type="http://schemas.openxmlformats.org/officeDocument/2006/relationships/hyperlink" Target="https://leandergrech.github.io/Mizien/claims/CC-065/" TargetMode="External" Id="rId1090"/><Relationship Type="http://schemas.openxmlformats.org/officeDocument/2006/relationships/hyperlink" Target="https://leandergrech.github.io/Mizien/claims/CC-065/" TargetMode="External" Id="rId1091"/><Relationship Type="http://schemas.openxmlformats.org/officeDocument/2006/relationships/hyperlink" Target="https://leandergrech.github.io/Mizien/claims/CC-065/" TargetMode="External" Id="rId1092"/><Relationship Type="http://schemas.openxmlformats.org/officeDocument/2006/relationships/hyperlink" Target="https://leandergrech.github.io/Mizien/claims/CC-071/" TargetMode="External" Id="rId1093"/><Relationship Type="http://schemas.openxmlformats.org/officeDocument/2006/relationships/hyperlink" Target="https://leandergrech.github.io/Mizien/claims/CC-071/" TargetMode="External" Id="rId1094"/><Relationship Type="http://schemas.openxmlformats.org/officeDocument/2006/relationships/hyperlink" Target="https://leandergrech.github.io/Mizien/claims/CC-071/" TargetMode="External" Id="rId1095"/><Relationship Type="http://schemas.openxmlformats.org/officeDocument/2006/relationships/hyperlink" Target="https://leandergrech.github.io/Mizien/claims/CC-071/" TargetMode="External" Id="rId1096"/><Relationship Type="http://schemas.openxmlformats.org/officeDocument/2006/relationships/hyperlink" Target="https://leandergrech.github.io/Mizien/claims/CC-071/" TargetMode="External" Id="rId1097"/><Relationship Type="http://schemas.openxmlformats.org/officeDocument/2006/relationships/hyperlink" Target="https://leandergrech.github.io/Mizien/claims/CC-071/" TargetMode="External" Id="rId1098"/><Relationship Type="http://schemas.openxmlformats.org/officeDocument/2006/relationships/hyperlink" Target="https://leandergrech.github.io/Mizien/claims/CC-071/" TargetMode="External" Id="rId1099"/><Relationship Type="http://schemas.openxmlformats.org/officeDocument/2006/relationships/hyperlink" Target="https://leandergrech.github.io/Mizien/claims/CC-071/" TargetMode="External" Id="rId1100"/><Relationship Type="http://schemas.openxmlformats.org/officeDocument/2006/relationships/hyperlink" Target="https://leandergrech.github.io/Mizien/claims/CC-071/" TargetMode="External" Id="rId1101"/><Relationship Type="http://schemas.openxmlformats.org/officeDocument/2006/relationships/hyperlink" Target="https://leandergrech.github.io/Mizien/claims/CC-071/" TargetMode="External" Id="rId1102"/><Relationship Type="http://schemas.openxmlformats.org/officeDocument/2006/relationships/hyperlink" Target="https://leandergrech.github.io/Mizien/claims/CC-071/" TargetMode="External" Id="rId1103"/><Relationship Type="http://schemas.openxmlformats.org/officeDocument/2006/relationships/hyperlink" Target="https://leandergrech.github.io/Mizien/claims/CC-071/" TargetMode="External" Id="rId1104"/><Relationship Type="http://schemas.openxmlformats.org/officeDocument/2006/relationships/hyperlink" Target="https://leandergrech.github.io/Mizien/claims/CC-071/" TargetMode="External" Id="rId1105"/><Relationship Type="http://schemas.openxmlformats.org/officeDocument/2006/relationships/hyperlink" Target="https://leandergrech.github.io/Mizien/claims/CC-071/" TargetMode="External" Id="rId1106"/><Relationship Type="http://schemas.openxmlformats.org/officeDocument/2006/relationships/hyperlink" Target="https://leandergrech.github.io/Mizien/claims/CC-071/" TargetMode="External" Id="rId1107"/><Relationship Type="http://schemas.openxmlformats.org/officeDocument/2006/relationships/hyperlink" Target="https://leandergrech.github.io/Mizien/claims/CC-071/" TargetMode="External" Id="rId1108"/><Relationship Type="http://schemas.openxmlformats.org/officeDocument/2006/relationships/hyperlink" Target="https://leandergrech.github.io/Mizien/claims/CC-071/" TargetMode="External" Id="rId1109"/><Relationship Type="http://schemas.openxmlformats.org/officeDocument/2006/relationships/hyperlink" Target="https://leandergrech.github.io/Mizien/claims/CC-071/" TargetMode="External" Id="rId1110"/><Relationship Type="http://schemas.openxmlformats.org/officeDocument/2006/relationships/hyperlink" Target="https://leandergrech.github.io/Mizien/claims/CC-075/" TargetMode="External" Id="rId1111"/><Relationship Type="http://schemas.openxmlformats.org/officeDocument/2006/relationships/hyperlink" Target="https://leandergrech.github.io/Mizien/claims/CC-075/" TargetMode="External" Id="rId1112"/><Relationship Type="http://schemas.openxmlformats.org/officeDocument/2006/relationships/hyperlink" Target="https://leandergrech.github.io/Mizien/claims/CC-075/" TargetMode="External" Id="rId1113"/><Relationship Type="http://schemas.openxmlformats.org/officeDocument/2006/relationships/hyperlink" Target="https://leandergrech.github.io/Mizien/claims/CC-075/" TargetMode="External" Id="rId1114"/><Relationship Type="http://schemas.openxmlformats.org/officeDocument/2006/relationships/hyperlink" Target="https://leandergrech.github.io/Mizien/claims/CC-075/" TargetMode="External" Id="rId1115"/><Relationship Type="http://schemas.openxmlformats.org/officeDocument/2006/relationships/hyperlink" Target="https://leandergrech.github.io/Mizien/claims/CC-075/" TargetMode="External" Id="rId1116"/><Relationship Type="http://schemas.openxmlformats.org/officeDocument/2006/relationships/hyperlink" Target="https://leandergrech.github.io/Mizien/claims/CC-075/" TargetMode="External" Id="rId1117"/><Relationship Type="http://schemas.openxmlformats.org/officeDocument/2006/relationships/hyperlink" Target="https://leandergrech.github.io/Mizien/claims/CC-075/" TargetMode="External" Id="rId1118"/><Relationship Type="http://schemas.openxmlformats.org/officeDocument/2006/relationships/hyperlink" Target="https://leandergrech.github.io/Mizien/claims/CC-075/" TargetMode="External" Id="rId1119"/><Relationship Type="http://schemas.openxmlformats.org/officeDocument/2006/relationships/hyperlink" Target="https://leandergrech.github.io/Mizien/claims/CC-075/" TargetMode="External" Id="rId1120"/><Relationship Type="http://schemas.openxmlformats.org/officeDocument/2006/relationships/hyperlink" Target="https://leandergrech.github.io/Mizien/claims/CC-075/" TargetMode="External" Id="rId1121"/><Relationship Type="http://schemas.openxmlformats.org/officeDocument/2006/relationships/hyperlink" Target="https://leandergrech.github.io/Mizien/claims/CC-075/" TargetMode="External" Id="rId1122"/><Relationship Type="http://schemas.openxmlformats.org/officeDocument/2006/relationships/hyperlink" Target="https://leandergrech.github.io/Mizien/claims/CC-075/" TargetMode="External" Id="rId1123"/><Relationship Type="http://schemas.openxmlformats.org/officeDocument/2006/relationships/hyperlink" Target="https://leandergrech.github.io/Mizien/claims/CC-075/" TargetMode="External" Id="rId1124"/><Relationship Type="http://schemas.openxmlformats.org/officeDocument/2006/relationships/hyperlink" Target="https://leandergrech.github.io/Mizien/claims/CC-075/" TargetMode="External" Id="rId1125"/><Relationship Type="http://schemas.openxmlformats.org/officeDocument/2006/relationships/hyperlink" Target="https://leandergrech.github.io/Mizien/claims/CC-075/" TargetMode="External" Id="rId1126"/><Relationship Type="http://schemas.openxmlformats.org/officeDocument/2006/relationships/hyperlink" Target="https://leandergrech.github.io/Mizien/claims/CC-075/" TargetMode="External" Id="rId1127"/><Relationship Type="http://schemas.openxmlformats.org/officeDocument/2006/relationships/hyperlink" Target="https://leandergrech.github.io/Mizien/claims/CC-075/" TargetMode="External" Id="rId1128"/><Relationship Type="http://schemas.openxmlformats.org/officeDocument/2006/relationships/hyperlink" Target="https://leandergrech.github.io/Mizien/claims/CC-075/" TargetMode="External" Id="rId1129"/><Relationship Type="http://schemas.openxmlformats.org/officeDocument/2006/relationships/hyperlink" Target="https://leandergrech.github.io/Mizien/claims/CC-075/" TargetMode="External" Id="rId1130"/><Relationship Type="http://schemas.openxmlformats.org/officeDocument/2006/relationships/hyperlink" Target="https://leandergrech.github.io/Mizien/claims/CC-075/" TargetMode="External" Id="rId1131"/><Relationship Type="http://schemas.openxmlformats.org/officeDocument/2006/relationships/hyperlink" Target="https://leandergrech.github.io/Mizien/claims/CC-075/" TargetMode="External" Id="rId1132"/><Relationship Type="http://schemas.openxmlformats.org/officeDocument/2006/relationships/hyperlink" Target="https://leandergrech.github.io/Mizien/claims/CC-075/" TargetMode="External" Id="rId1133"/><Relationship Type="http://schemas.openxmlformats.org/officeDocument/2006/relationships/hyperlink" Target="https://leandergrech.github.io/Mizien/claims/CC-075/" TargetMode="External" Id="rId1134"/><Relationship Type="http://schemas.openxmlformats.org/officeDocument/2006/relationships/hyperlink" Target="https://leandergrech.github.io/Mizien/claims/CC-075/" TargetMode="External" Id="rId1135"/><Relationship Type="http://schemas.openxmlformats.org/officeDocument/2006/relationships/hyperlink" Target="https://leandergrech.github.io/Mizien/claims/CC-075/" TargetMode="External" Id="rId1136"/><Relationship Type="http://schemas.openxmlformats.org/officeDocument/2006/relationships/hyperlink" Target="https://leandergrech.github.io/Mizien/claims/CC-075/" TargetMode="External" Id="rId1137"/><Relationship Type="http://schemas.openxmlformats.org/officeDocument/2006/relationships/hyperlink" Target="https://leandergrech.github.io/Mizien/claims/CC-075/" TargetMode="External" Id="rId1138"/><Relationship Type="http://schemas.openxmlformats.org/officeDocument/2006/relationships/hyperlink" Target="https://leandergrech.github.io/Mizien/claims/CC-075/" TargetMode="External" Id="rId1139"/><Relationship Type="http://schemas.openxmlformats.org/officeDocument/2006/relationships/hyperlink" Target="https://leandergrech.github.io/Mizien/claims/CC-075/" TargetMode="External" Id="rId1140"/><Relationship Type="http://schemas.openxmlformats.org/officeDocument/2006/relationships/hyperlink" Target="https://leandergrech.github.io/Mizien/claims/CC-075/" TargetMode="External" Id="rId1141"/><Relationship Type="http://schemas.openxmlformats.org/officeDocument/2006/relationships/hyperlink" Target="https://leandergrech.github.io/Mizien/claims/CC-075/" TargetMode="External" Id="rId1142"/><Relationship Type="http://schemas.openxmlformats.org/officeDocument/2006/relationships/hyperlink" Target="https://leandergrech.github.io/Mizien/claims/CC-075/" TargetMode="External" Id="rId1143"/><Relationship Type="http://schemas.openxmlformats.org/officeDocument/2006/relationships/hyperlink" Target="https://leandergrech.github.io/Mizien/claims/CC-075/" TargetMode="External" Id="rId1144"/><Relationship Type="http://schemas.openxmlformats.org/officeDocument/2006/relationships/hyperlink" Target="https://leandergrech.github.io/Mizien/claims/CC-075/" TargetMode="External" Id="rId1145"/><Relationship Type="http://schemas.openxmlformats.org/officeDocument/2006/relationships/hyperlink" Target="https://leandergrech.github.io/Mizien/claims/CC-075/" TargetMode="External" Id="rId1146"/><Relationship Type="http://schemas.openxmlformats.org/officeDocument/2006/relationships/hyperlink" Target="https://leandergrech.github.io/Mizien/claims/CC-075/" TargetMode="External" Id="rId1147"/><Relationship Type="http://schemas.openxmlformats.org/officeDocument/2006/relationships/hyperlink" Target="https://leandergrech.github.io/Mizien/claims/CC-075/" TargetMode="External" Id="rId1148"/><Relationship Type="http://schemas.openxmlformats.org/officeDocument/2006/relationships/hyperlink" Target="https://leandergrech.github.io/Mizien/claims/CC-075/" TargetMode="External" Id="rId1149"/><Relationship Type="http://schemas.openxmlformats.org/officeDocument/2006/relationships/hyperlink" Target="https://leandergrech.github.io/Mizien/claims/CC-075/" TargetMode="External" Id="rId1150"/><Relationship Type="http://schemas.openxmlformats.org/officeDocument/2006/relationships/hyperlink" Target="https://leandergrech.github.io/Mizien/claims/CC-075/" TargetMode="External" Id="rId1151"/><Relationship Type="http://schemas.openxmlformats.org/officeDocument/2006/relationships/hyperlink" Target="https://leandergrech.github.io/Mizien/claims/CC-075/" TargetMode="External" Id="rId1152"/><Relationship Type="http://schemas.openxmlformats.org/officeDocument/2006/relationships/hyperlink" Target="https://leandergrech.github.io/Mizien/claims/CC-075/" TargetMode="External" Id="rId1153"/><Relationship Type="http://schemas.openxmlformats.org/officeDocument/2006/relationships/hyperlink" Target="https://leandergrech.github.io/Mizien/claims/CC-075/" TargetMode="External" Id="rId1154"/><Relationship Type="http://schemas.openxmlformats.org/officeDocument/2006/relationships/hyperlink" Target="https://leandergrech.github.io/Mizien/claims/CC-075/" TargetMode="External" Id="rId1155"/><Relationship Type="http://schemas.openxmlformats.org/officeDocument/2006/relationships/hyperlink" Target="https://leandergrech.github.io/Mizien/claims/CC-075/" TargetMode="External" Id="rId1156"/><Relationship Type="http://schemas.openxmlformats.org/officeDocument/2006/relationships/hyperlink" Target="https://leandergrech.github.io/Mizien/claims/CC-075/" TargetMode="External" Id="rId1157"/><Relationship Type="http://schemas.openxmlformats.org/officeDocument/2006/relationships/hyperlink" Target="https://leandergrech.github.io/Mizien/claims/CC-075/" TargetMode="External" Id="rId1158"/><Relationship Type="http://schemas.openxmlformats.org/officeDocument/2006/relationships/hyperlink" Target="https://leandergrech.github.io/Mizien/claims/CC-075/" TargetMode="External" Id="rId1159"/><Relationship Type="http://schemas.openxmlformats.org/officeDocument/2006/relationships/hyperlink" Target="https://leandergrech.github.io/Mizien/claims/CC-075/" TargetMode="External" Id="rId1160"/><Relationship Type="http://schemas.openxmlformats.org/officeDocument/2006/relationships/hyperlink" Target="https://leandergrech.github.io/Mizien/claims/CC-075/" TargetMode="External" Id="rId1161"/><Relationship Type="http://schemas.openxmlformats.org/officeDocument/2006/relationships/hyperlink" Target="https://leandergrech.github.io/Mizien/claims/CC-075/" TargetMode="External" Id="rId1162"/><Relationship Type="http://schemas.openxmlformats.org/officeDocument/2006/relationships/hyperlink" Target="https://leandergrech.github.io/Mizien/claims/CC-075/" TargetMode="External" Id="rId1163"/><Relationship Type="http://schemas.openxmlformats.org/officeDocument/2006/relationships/hyperlink" Target="https://leandergrech.github.io/Mizien/claims/CC-075/" TargetMode="External" Id="rId1164"/><Relationship Type="http://schemas.openxmlformats.org/officeDocument/2006/relationships/hyperlink" Target="https://leandergrech.github.io/Mizien/claims/CC-075/" TargetMode="External" Id="rId1165"/><Relationship Type="http://schemas.openxmlformats.org/officeDocument/2006/relationships/hyperlink" Target="https://leandergrech.github.io/Mizien/claims/CC-075/" TargetMode="External" Id="rId1166"/><Relationship Type="http://schemas.openxmlformats.org/officeDocument/2006/relationships/hyperlink" Target="https://leandergrech.github.io/Mizien/claims/CC-075/" TargetMode="External" Id="rId1167"/><Relationship Type="http://schemas.openxmlformats.org/officeDocument/2006/relationships/hyperlink" Target="https://leandergrech.github.io/Mizien/claims/CC-075/" TargetMode="External" Id="rId1168"/><Relationship Type="http://schemas.openxmlformats.org/officeDocument/2006/relationships/hyperlink" Target="https://leandergrech.github.io/Mizien/claims/CC-075/" TargetMode="External" Id="rId1169"/><Relationship Type="http://schemas.openxmlformats.org/officeDocument/2006/relationships/hyperlink" Target="https://leandergrech.github.io/Mizien/claims/CC-075/" TargetMode="External" Id="rId1170"/><Relationship Type="http://schemas.openxmlformats.org/officeDocument/2006/relationships/hyperlink" Target="https://leandergrech.github.io/Mizien/claims/CC-075/" TargetMode="External" Id="rId1171"/><Relationship Type="http://schemas.openxmlformats.org/officeDocument/2006/relationships/hyperlink" Target="https://leandergrech.github.io/Mizien/claims/CC-075/" TargetMode="External" Id="rId1172"/><Relationship Type="http://schemas.openxmlformats.org/officeDocument/2006/relationships/hyperlink" Target="https://leandergrech.github.io/Mizien/claims/CC-075/" TargetMode="External" Id="rId1173"/><Relationship Type="http://schemas.openxmlformats.org/officeDocument/2006/relationships/hyperlink" Target="https://leandergrech.github.io/Mizien/claims/CC-075/" TargetMode="External" Id="rId1174"/><Relationship Type="http://schemas.openxmlformats.org/officeDocument/2006/relationships/hyperlink" Target="https://leandergrech.github.io/Mizien/claims/CC-075/" TargetMode="External" Id="rId1175"/><Relationship Type="http://schemas.openxmlformats.org/officeDocument/2006/relationships/hyperlink" Target="https://leandergrech.github.io/Mizien/claims/CC-075/" TargetMode="External" Id="rId1176"/><Relationship Type="http://schemas.openxmlformats.org/officeDocument/2006/relationships/hyperlink" Target="https://leandergrech.github.io/Mizien/claims/CC-075/" TargetMode="External" Id="rId1177"/><Relationship Type="http://schemas.openxmlformats.org/officeDocument/2006/relationships/hyperlink" Target="https://leandergrech.github.io/Mizien/claims/CC-075/" TargetMode="External" Id="rId1178"/><Relationship Type="http://schemas.openxmlformats.org/officeDocument/2006/relationships/hyperlink" Target="https://leandergrech.github.io/Mizien/claims/CC-076/" TargetMode="External" Id="rId1179"/><Relationship Type="http://schemas.openxmlformats.org/officeDocument/2006/relationships/hyperlink" Target="https://leandergrech.github.io/Mizien/claims/CC-076/" TargetMode="External" Id="rId1180"/><Relationship Type="http://schemas.openxmlformats.org/officeDocument/2006/relationships/hyperlink" Target="https://leandergrech.github.io/Mizien/claims/CC-076/" TargetMode="External" Id="rId1181"/><Relationship Type="http://schemas.openxmlformats.org/officeDocument/2006/relationships/hyperlink" Target="https://leandergrech.github.io/Mizien/claims/CC-076/" TargetMode="External" Id="rId1182"/><Relationship Type="http://schemas.openxmlformats.org/officeDocument/2006/relationships/hyperlink" Target="https://leandergrech.github.io/Mizien/claims/CC-076/" TargetMode="External" Id="rId1183"/><Relationship Type="http://schemas.openxmlformats.org/officeDocument/2006/relationships/hyperlink" Target="https://leandergrech.github.io/Mizien/claims/CC-076/" TargetMode="External" Id="rId1184"/><Relationship Type="http://schemas.openxmlformats.org/officeDocument/2006/relationships/hyperlink" Target="https://leandergrech.github.io/Mizien/claims/CC-076/" TargetMode="External" Id="rId1185"/><Relationship Type="http://schemas.openxmlformats.org/officeDocument/2006/relationships/hyperlink" Target="https://leandergrech.github.io/Mizien/claims/CC-076/" TargetMode="External" Id="rId1186"/><Relationship Type="http://schemas.openxmlformats.org/officeDocument/2006/relationships/hyperlink" Target="https://leandergrech.github.io/Mizien/claims/CC-076/" TargetMode="External" Id="rId1187"/><Relationship Type="http://schemas.openxmlformats.org/officeDocument/2006/relationships/hyperlink" Target="https://leandergrech.github.io/Mizien/claims/CC-076/" TargetMode="External" Id="rId1188"/><Relationship Type="http://schemas.openxmlformats.org/officeDocument/2006/relationships/hyperlink" Target="https://leandergrech.github.io/Mizien/claims/CC-076/" TargetMode="External" Id="rId1189"/><Relationship Type="http://schemas.openxmlformats.org/officeDocument/2006/relationships/hyperlink" Target="https://leandergrech.github.io/Mizien/claims/CC-076/" TargetMode="External" Id="rId1190"/><Relationship Type="http://schemas.openxmlformats.org/officeDocument/2006/relationships/hyperlink" Target="https://leandergrech.github.io/Mizien/claims/CC-076/" TargetMode="External" Id="rId1191"/><Relationship Type="http://schemas.openxmlformats.org/officeDocument/2006/relationships/hyperlink" Target="https://leandergrech.github.io/Mizien/claims/CC-076/" TargetMode="External" Id="rId1192"/><Relationship Type="http://schemas.openxmlformats.org/officeDocument/2006/relationships/hyperlink" Target="https://leandergrech.github.io/Mizien/claims/CC-076/" TargetMode="External" Id="rId1193"/><Relationship Type="http://schemas.openxmlformats.org/officeDocument/2006/relationships/hyperlink" Target="https://leandergrech.github.io/Mizien/claims/CC-076/" TargetMode="External" Id="rId1194"/><Relationship Type="http://schemas.openxmlformats.org/officeDocument/2006/relationships/hyperlink" Target="https://leandergrech.github.io/Mizien/claims/CC-076/" TargetMode="External" Id="rId1195"/><Relationship Type="http://schemas.openxmlformats.org/officeDocument/2006/relationships/hyperlink" Target="https://leandergrech.github.io/Mizien/claims/CC-076/" TargetMode="External" Id="rId1196"/><Relationship Type="http://schemas.openxmlformats.org/officeDocument/2006/relationships/hyperlink" Target="https://leandergrech.github.io/Mizien/claims/CC-076/" TargetMode="External" Id="rId1197"/><Relationship Type="http://schemas.openxmlformats.org/officeDocument/2006/relationships/hyperlink" Target="https://leandergrech.github.io/Mizien/claims/CC-076/" TargetMode="External" Id="rId1198"/><Relationship Type="http://schemas.openxmlformats.org/officeDocument/2006/relationships/hyperlink" Target="https://leandergrech.github.io/Mizien/claims/CC-076/" TargetMode="External" Id="rId1199"/><Relationship Type="http://schemas.openxmlformats.org/officeDocument/2006/relationships/hyperlink" Target="https://leandergrech.github.io/Mizien/claims/CC-076/" TargetMode="External" Id="rId1200"/><Relationship Type="http://schemas.openxmlformats.org/officeDocument/2006/relationships/hyperlink" Target="https://leandergrech.github.io/Mizien/claims/CC-076/" TargetMode="External" Id="rId1201"/><Relationship Type="http://schemas.openxmlformats.org/officeDocument/2006/relationships/hyperlink" Target="https://leandergrech.github.io/Mizien/claims/CC-076/" TargetMode="External" Id="rId1202"/><Relationship Type="http://schemas.openxmlformats.org/officeDocument/2006/relationships/hyperlink" Target="https://leandergrech.github.io/Mizien/claims/CC-076/" TargetMode="External" Id="rId1203"/><Relationship Type="http://schemas.openxmlformats.org/officeDocument/2006/relationships/hyperlink" Target="https://leandergrech.github.io/Mizien/claims/CC-076/" TargetMode="External" Id="rId1204"/><Relationship Type="http://schemas.openxmlformats.org/officeDocument/2006/relationships/hyperlink" Target="https://leandergrech.github.io/Mizien/claims/CC-088/" TargetMode="External" Id="rId1205"/><Relationship Type="http://schemas.openxmlformats.org/officeDocument/2006/relationships/hyperlink" Target="https://leandergrech.github.io/Mizien/claims/CC-088/" TargetMode="External" Id="rId1206"/><Relationship Type="http://schemas.openxmlformats.org/officeDocument/2006/relationships/hyperlink" Target="https://leandergrech.github.io/Mizien/claims/CC-088/" TargetMode="External" Id="rId1207"/><Relationship Type="http://schemas.openxmlformats.org/officeDocument/2006/relationships/hyperlink" Target="https://leandergrech.github.io/Mizien/claims/CC-088/" TargetMode="External" Id="rId1208"/><Relationship Type="http://schemas.openxmlformats.org/officeDocument/2006/relationships/hyperlink" Target="https://leandergrech.github.io/Mizien/claims/CC-088/" TargetMode="External" Id="rId1209"/><Relationship Type="http://schemas.openxmlformats.org/officeDocument/2006/relationships/hyperlink" Target="https://leandergrech.github.io/Mizien/claims/CC-088/" TargetMode="External" Id="rId1210"/><Relationship Type="http://schemas.openxmlformats.org/officeDocument/2006/relationships/hyperlink" Target="https://leandergrech.github.io/Mizien/claims/CC-088/" TargetMode="External" Id="rId1211"/><Relationship Type="http://schemas.openxmlformats.org/officeDocument/2006/relationships/hyperlink" Target="https://leandergrech.github.io/Mizien/claims/CC-088/" TargetMode="External" Id="rId1212"/><Relationship Type="http://schemas.openxmlformats.org/officeDocument/2006/relationships/hyperlink" Target="https://leandergrech.github.io/Mizien/claims/CC-088/" TargetMode="External" Id="rId1213"/><Relationship Type="http://schemas.openxmlformats.org/officeDocument/2006/relationships/hyperlink" Target="https://leandergrech.github.io/Mizien/claims/CC-088/" TargetMode="External" Id="rId1214"/><Relationship Type="http://schemas.openxmlformats.org/officeDocument/2006/relationships/hyperlink" Target="https://leandergrech.github.io/Mizien/claims/CC-088/" TargetMode="External" Id="rId1215"/><Relationship Type="http://schemas.openxmlformats.org/officeDocument/2006/relationships/hyperlink" Target="https://leandergrech.github.io/Mizien/claims/CC-088/" TargetMode="External" Id="rId1216"/><Relationship Type="http://schemas.openxmlformats.org/officeDocument/2006/relationships/hyperlink" Target="https://leandergrech.github.io/Mizien/claims/CC-088/" TargetMode="External" Id="rId1217"/><Relationship Type="http://schemas.openxmlformats.org/officeDocument/2006/relationships/hyperlink" Target="https://leandergrech.github.io/Mizien/claims/CC-088/" TargetMode="External" Id="rId1218"/><Relationship Type="http://schemas.openxmlformats.org/officeDocument/2006/relationships/hyperlink" Target="https://leandergrech.github.io/Mizien/claims/CC-088/" TargetMode="External" Id="rId1219"/><Relationship Type="http://schemas.openxmlformats.org/officeDocument/2006/relationships/hyperlink" Target="https://leandergrech.github.io/Mizien/claims/CC-088/" TargetMode="External" Id="rId1220"/><Relationship Type="http://schemas.openxmlformats.org/officeDocument/2006/relationships/hyperlink" Target="https://leandergrech.github.io/Mizien/claims/CC-091/" TargetMode="External" Id="rId1221"/><Relationship Type="http://schemas.openxmlformats.org/officeDocument/2006/relationships/hyperlink" Target="https://leandergrech.github.io/Mizien/claims/CC-091/" TargetMode="External" Id="rId1222"/><Relationship Type="http://schemas.openxmlformats.org/officeDocument/2006/relationships/hyperlink" Target="https://leandergrech.github.io/Mizien/claims/CC-091/" TargetMode="External" Id="rId1223"/><Relationship Type="http://schemas.openxmlformats.org/officeDocument/2006/relationships/hyperlink" Target="https://leandergrech.github.io/Mizien/claims/CC-091/" TargetMode="External" Id="rId1224"/><Relationship Type="http://schemas.openxmlformats.org/officeDocument/2006/relationships/hyperlink" Target="https://leandergrech.github.io/Mizien/claims/CC-091/" TargetMode="External" Id="rId1225"/><Relationship Type="http://schemas.openxmlformats.org/officeDocument/2006/relationships/hyperlink" Target="https://leandergrech.github.io/Mizien/claims/CC-091/" TargetMode="External" Id="rId1226"/><Relationship Type="http://schemas.openxmlformats.org/officeDocument/2006/relationships/hyperlink" Target="https://leandergrech.github.io/Mizien/claims/CC-091/" TargetMode="External" Id="rId1227"/><Relationship Type="http://schemas.openxmlformats.org/officeDocument/2006/relationships/hyperlink" Target="https://leandergrech.github.io/Mizien/claims/CC-091/" TargetMode="External" Id="rId1228"/><Relationship Type="http://schemas.openxmlformats.org/officeDocument/2006/relationships/hyperlink" Target="https://leandergrech.github.io/Mizien/claims/CC-091/" TargetMode="External" Id="rId1229"/><Relationship Type="http://schemas.openxmlformats.org/officeDocument/2006/relationships/hyperlink" Target="https://leandergrech.github.io/Mizien/claims/CC-091/" TargetMode="External" Id="rId1230"/><Relationship Type="http://schemas.openxmlformats.org/officeDocument/2006/relationships/hyperlink" Target="https://leandergrech.github.io/Mizien/claims/CC-091/" TargetMode="External" Id="rId1231"/><Relationship Type="http://schemas.openxmlformats.org/officeDocument/2006/relationships/hyperlink" Target="https://leandergrech.github.io/Mizien/claims/CC-091/" TargetMode="External" Id="rId1232"/><Relationship Type="http://schemas.openxmlformats.org/officeDocument/2006/relationships/hyperlink" Target="https://leandergrech.github.io/Mizien/claims/CC-091/" TargetMode="External" Id="rId1233"/><Relationship Type="http://schemas.openxmlformats.org/officeDocument/2006/relationships/hyperlink" Target="https://leandergrech.github.io/Mizien/claims/CC-091/" TargetMode="External" Id="rId1234"/><Relationship Type="http://schemas.openxmlformats.org/officeDocument/2006/relationships/hyperlink" Target="https://leandergrech.github.io/Mizien/claims/CC-091/" TargetMode="External" Id="rId1235"/><Relationship Type="http://schemas.openxmlformats.org/officeDocument/2006/relationships/hyperlink" Target="https://leandergrech.github.io/Mizien/claims/CC-091/" TargetMode="External" Id="rId1236"/><Relationship Type="http://schemas.openxmlformats.org/officeDocument/2006/relationships/hyperlink" Target="https://leandergrech.github.io/Mizien/claims/CC-091/" TargetMode="External" Id="rId1237"/><Relationship Type="http://schemas.openxmlformats.org/officeDocument/2006/relationships/hyperlink" Target="https://leandergrech.github.io/Mizien/claims/CC-091/" TargetMode="External" Id="rId1238"/><Relationship Type="http://schemas.openxmlformats.org/officeDocument/2006/relationships/hyperlink" Target="https://leandergrech.github.io/Mizien/claims/CC-091/" TargetMode="External" Id="rId1239"/><Relationship Type="http://schemas.openxmlformats.org/officeDocument/2006/relationships/hyperlink" Target="https://leandergrech.github.io/Mizien/claims/CC-091/" TargetMode="External" Id="rId1240"/><Relationship Type="http://schemas.openxmlformats.org/officeDocument/2006/relationships/hyperlink" Target="https://leandergrech.github.io/Mizien/claims/CC-091/" TargetMode="External" Id="rId1241"/><Relationship Type="http://schemas.openxmlformats.org/officeDocument/2006/relationships/hyperlink" Target="https://leandergrech.github.io/Mizien/claims/CC-091/" TargetMode="External" Id="rId1242"/><Relationship Type="http://schemas.openxmlformats.org/officeDocument/2006/relationships/hyperlink" Target="https://leandergrech.github.io/Mizien/claims/CC-091/" TargetMode="External" Id="rId1243"/><Relationship Type="http://schemas.openxmlformats.org/officeDocument/2006/relationships/hyperlink" Target="https://leandergrech.github.io/Mizien/claims/CC-091/" TargetMode="External" Id="rId1244"/><Relationship Type="http://schemas.openxmlformats.org/officeDocument/2006/relationships/hyperlink" Target="https://leandergrech.github.io/Mizien/claims/CC-091/" TargetMode="External" Id="rId1245"/><Relationship Type="http://schemas.openxmlformats.org/officeDocument/2006/relationships/hyperlink" Target="https://leandergrech.github.io/Mizien/claims/CC-091/" TargetMode="External" Id="rId1246"/><Relationship Type="http://schemas.openxmlformats.org/officeDocument/2006/relationships/hyperlink" Target="https://leandergrech.github.io/Mizien/claims/CC-091/" TargetMode="External" Id="rId1247"/><Relationship Type="http://schemas.openxmlformats.org/officeDocument/2006/relationships/hyperlink" Target="https://leandergrech.github.io/Mizien/claims/CC-094/" TargetMode="External" Id="rId1248"/><Relationship Type="http://schemas.openxmlformats.org/officeDocument/2006/relationships/hyperlink" Target="https://leandergrech.github.io/Mizien/claims/CC-094/" TargetMode="External" Id="rId1249"/><Relationship Type="http://schemas.openxmlformats.org/officeDocument/2006/relationships/hyperlink" Target="https://leandergrech.github.io/Mizien/claims/CC-094/" TargetMode="External" Id="rId1250"/><Relationship Type="http://schemas.openxmlformats.org/officeDocument/2006/relationships/hyperlink" Target="https://leandergrech.github.io/Mizien/claims/CC-094/" TargetMode="External" Id="rId1251"/><Relationship Type="http://schemas.openxmlformats.org/officeDocument/2006/relationships/hyperlink" Target="https://leandergrech.github.io/Mizien/claims/CC-094/" TargetMode="External" Id="rId1252"/><Relationship Type="http://schemas.openxmlformats.org/officeDocument/2006/relationships/hyperlink" Target="https://leandergrech.github.io/Mizien/claims/CC-094/" TargetMode="External" Id="rId1253"/><Relationship Type="http://schemas.openxmlformats.org/officeDocument/2006/relationships/hyperlink" Target="https://leandergrech.github.io/Mizien/claims/CC-094/" TargetMode="External" Id="rId1254"/><Relationship Type="http://schemas.openxmlformats.org/officeDocument/2006/relationships/hyperlink" Target="https://leandergrech.github.io/Mizien/claims/CC-094/" TargetMode="External" Id="rId1255"/><Relationship Type="http://schemas.openxmlformats.org/officeDocument/2006/relationships/hyperlink" Target="https://leandergrech.github.io/Mizien/claims/CC-094/" TargetMode="External" Id="rId1256"/><Relationship Type="http://schemas.openxmlformats.org/officeDocument/2006/relationships/hyperlink" Target="https://leandergrech.github.io/Mizien/claims/CC-094/" TargetMode="External" Id="rId1257"/><Relationship Type="http://schemas.openxmlformats.org/officeDocument/2006/relationships/hyperlink" Target="https://leandergrech.github.io/Mizien/claims/CC-094/" TargetMode="External" Id="rId1258"/><Relationship Type="http://schemas.openxmlformats.org/officeDocument/2006/relationships/hyperlink" Target="https://leandergrech.github.io/Mizien/claims/CC-094/" TargetMode="External" Id="rId1259"/><Relationship Type="http://schemas.openxmlformats.org/officeDocument/2006/relationships/hyperlink" Target="https://leandergrech.github.io/Mizien/claims/CC-094/" TargetMode="External" Id="rId1260"/><Relationship Type="http://schemas.openxmlformats.org/officeDocument/2006/relationships/hyperlink" Target="https://leandergrech.github.io/Mizien/claims/CC-094/" TargetMode="External" Id="rId1261"/><Relationship Type="http://schemas.openxmlformats.org/officeDocument/2006/relationships/hyperlink" Target="https://leandergrech.github.io/Mizien/claims/CC-094/" TargetMode="External" Id="rId1262"/><Relationship Type="http://schemas.openxmlformats.org/officeDocument/2006/relationships/hyperlink" Target="https://leandergrech.github.io/Mizien/claims/CC-094/" TargetMode="External" Id="rId1263"/><Relationship Type="http://schemas.openxmlformats.org/officeDocument/2006/relationships/hyperlink" Target="https://leandergrech.github.io/Mizien/claims/CC-094/" TargetMode="External" Id="rId1264"/><Relationship Type="http://schemas.openxmlformats.org/officeDocument/2006/relationships/hyperlink" Target="https://leandergrech.github.io/Mizien/claims/CC-094/" TargetMode="External" Id="rId1265"/><Relationship Type="http://schemas.openxmlformats.org/officeDocument/2006/relationships/hyperlink" Target="https://leandergrech.github.io/Mizien/claims/CC-094/" TargetMode="External" Id="rId1266"/><Relationship Type="http://schemas.openxmlformats.org/officeDocument/2006/relationships/hyperlink" Target="https://leandergrech.github.io/Mizien/claims/CC-094/" TargetMode="External" Id="rId1267"/><Relationship Type="http://schemas.openxmlformats.org/officeDocument/2006/relationships/hyperlink" Target="https://leandergrech.github.io/Mizien/claims/CC-094/" TargetMode="External" Id="rId1268"/><Relationship Type="http://schemas.openxmlformats.org/officeDocument/2006/relationships/hyperlink" Target="https://leandergrech.github.io/Mizien/claims/CC-094/" TargetMode="External" Id="rId1269"/><Relationship Type="http://schemas.openxmlformats.org/officeDocument/2006/relationships/hyperlink" Target="https://leandergrech.github.io/Mizien/claims/CC-094/" TargetMode="External" Id="rId1270"/><Relationship Type="http://schemas.openxmlformats.org/officeDocument/2006/relationships/hyperlink" Target="https://leandergrech.github.io/Mizien/claims/CC-094/" TargetMode="External" Id="rId1271"/><Relationship Type="http://schemas.openxmlformats.org/officeDocument/2006/relationships/hyperlink" Target="https://leandergrech.github.io/Mizien/claims/CC-094/" TargetMode="External" Id="rId1272"/><Relationship Type="http://schemas.openxmlformats.org/officeDocument/2006/relationships/hyperlink" Target="https://leandergrech.github.io/Mizien/claims/CC-094/" TargetMode="External" Id="rId1273"/><Relationship Type="http://schemas.openxmlformats.org/officeDocument/2006/relationships/hyperlink" Target="https://leandergrech.github.io/Mizien/claims/CC-094/" TargetMode="External" Id="rId1274"/><Relationship Type="http://schemas.openxmlformats.org/officeDocument/2006/relationships/hyperlink" Target="https://leandergrech.github.io/Mizien/claims/CC-094/" TargetMode="External" Id="rId1275"/><Relationship Type="http://schemas.openxmlformats.org/officeDocument/2006/relationships/hyperlink" Target="https://leandergrech.github.io/Mizien/claims/CC-094/" TargetMode="External" Id="rId1276"/><Relationship Type="http://schemas.openxmlformats.org/officeDocument/2006/relationships/hyperlink" Target="https://leandergrech.github.io/Mizien/claims/CC-094/" TargetMode="External" Id="rId1277"/><Relationship Type="http://schemas.openxmlformats.org/officeDocument/2006/relationships/hyperlink" Target="https://leandergrech.github.io/Mizien/claims/CC-094/" TargetMode="External" Id="rId1278"/><Relationship Type="http://schemas.openxmlformats.org/officeDocument/2006/relationships/hyperlink" Target="https://leandergrech.github.io/Mizien/claims/CC-094/" TargetMode="External" Id="rId1279"/><Relationship Type="http://schemas.openxmlformats.org/officeDocument/2006/relationships/hyperlink" Target="https://leandergrech.github.io/Mizien/claims/CC-094/" TargetMode="External" Id="rId1280"/><Relationship Type="http://schemas.openxmlformats.org/officeDocument/2006/relationships/hyperlink" Target="https://leandergrech.github.io/Mizien/claims/CC-094/" TargetMode="External" Id="rId1281"/><Relationship Type="http://schemas.openxmlformats.org/officeDocument/2006/relationships/hyperlink" Target="https://leandergrech.github.io/Mizien/claims/CC-094/" TargetMode="External" Id="rId1282"/><Relationship Type="http://schemas.openxmlformats.org/officeDocument/2006/relationships/hyperlink" Target="https://leandergrech.github.io/Mizien/claims/CC-094/" TargetMode="External" Id="rId1283"/><Relationship Type="http://schemas.openxmlformats.org/officeDocument/2006/relationships/hyperlink" Target="https://leandergrech.github.io/Mizien/claims/CC-094/" TargetMode="External" Id="rId1284"/><Relationship Type="http://schemas.openxmlformats.org/officeDocument/2006/relationships/hyperlink" Target="https://leandergrech.github.io/Mizien/claims/CC-094/" TargetMode="External" Id="rId1285"/><Relationship Type="http://schemas.openxmlformats.org/officeDocument/2006/relationships/hyperlink" Target="https://leandergrech.github.io/Mizien/claims/CC-094/" TargetMode="External" Id="rId1286"/><Relationship Type="http://schemas.openxmlformats.org/officeDocument/2006/relationships/hyperlink" Target="https://leandergrech.github.io/Mizien/claims/CC-094/" TargetMode="External" Id="rId1287"/><Relationship Type="http://schemas.openxmlformats.org/officeDocument/2006/relationships/hyperlink" Target="https://leandergrech.github.io/Mizien/claims/CC-094/" TargetMode="External" Id="rId1288"/><Relationship Type="http://schemas.openxmlformats.org/officeDocument/2006/relationships/hyperlink" Target="https://leandergrech.github.io/Mizien/claims/CC-094/" TargetMode="External" Id="rId1289"/><Relationship Type="http://schemas.openxmlformats.org/officeDocument/2006/relationships/hyperlink" Target="https://leandergrech.github.io/Mizien/claims/CC-094/" TargetMode="External" Id="rId1290"/><Relationship Type="http://schemas.openxmlformats.org/officeDocument/2006/relationships/hyperlink" Target="https://leandergrech.github.io/Mizien/claims/CC-094/" TargetMode="External" Id="rId1291"/><Relationship Type="http://schemas.openxmlformats.org/officeDocument/2006/relationships/hyperlink" Target="https://leandergrech.github.io/Mizien/claims/CC-094/" TargetMode="External" Id="rId1292"/><Relationship Type="http://schemas.openxmlformats.org/officeDocument/2006/relationships/hyperlink" Target="https://leandergrech.github.io/Mizien/claims/CC-094/" TargetMode="External" Id="rId1293"/><Relationship Type="http://schemas.openxmlformats.org/officeDocument/2006/relationships/hyperlink" Target="https://leandergrech.github.io/Mizien/claims/CC-094/" TargetMode="External" Id="rId1294"/><Relationship Type="http://schemas.openxmlformats.org/officeDocument/2006/relationships/hyperlink" Target="https://leandergrech.github.io/Mizien/claims/CC-094/" TargetMode="External" Id="rId1295"/><Relationship Type="http://schemas.openxmlformats.org/officeDocument/2006/relationships/hyperlink" Target="https://leandergrech.github.io/Mizien/claims/CC-094/" TargetMode="External" Id="rId1296"/><Relationship Type="http://schemas.openxmlformats.org/officeDocument/2006/relationships/hyperlink" Target="https://leandergrech.github.io/Mizien/claims/CC-094/" TargetMode="External" Id="rId1297"/><Relationship Type="http://schemas.openxmlformats.org/officeDocument/2006/relationships/hyperlink" Target="https://leandergrech.github.io/Mizien/claims/CC-094/" TargetMode="External" Id="rId1298"/><Relationship Type="http://schemas.openxmlformats.org/officeDocument/2006/relationships/hyperlink" Target="https://leandergrech.github.io/Mizien/claims/CC-094/" TargetMode="External" Id="rId1299"/><Relationship Type="http://schemas.openxmlformats.org/officeDocument/2006/relationships/hyperlink" Target="https://leandergrech.github.io/Mizien/claims/CC-094/" TargetMode="External" Id="rId1300"/><Relationship Type="http://schemas.openxmlformats.org/officeDocument/2006/relationships/hyperlink" Target="https://leandergrech.github.io/Mizien/claims/CC-094/" TargetMode="External" Id="rId1301"/><Relationship Type="http://schemas.openxmlformats.org/officeDocument/2006/relationships/hyperlink" Target="https://leandergrech.github.io/Mizien/claims/CC-094/" TargetMode="External" Id="rId1302"/><Relationship Type="http://schemas.openxmlformats.org/officeDocument/2006/relationships/hyperlink" Target="https://leandergrech.github.io/Mizien/claims/CC-094/" TargetMode="External" Id="rId1303"/><Relationship Type="http://schemas.openxmlformats.org/officeDocument/2006/relationships/hyperlink" Target="https://leandergrech.github.io/Mizien/claims/CC-094/" TargetMode="External" Id="rId1304"/><Relationship Type="http://schemas.openxmlformats.org/officeDocument/2006/relationships/hyperlink" Target="https://leandergrech.github.io/Mizien/claims/CC-094/" TargetMode="External" Id="rId1305"/><Relationship Type="http://schemas.openxmlformats.org/officeDocument/2006/relationships/hyperlink" Target="https://leandergrech.github.io/Mizien/claims/CC-094/" TargetMode="External" Id="rId1306"/><Relationship Type="http://schemas.openxmlformats.org/officeDocument/2006/relationships/hyperlink" Target="https://leandergrech.github.io/Mizien/claims/CC-094/" TargetMode="External" Id="rId1307"/><Relationship Type="http://schemas.openxmlformats.org/officeDocument/2006/relationships/hyperlink" Target="https://leandergrech.github.io/Mizien/claims/CC-094/" TargetMode="External" Id="rId1308"/><Relationship Type="http://schemas.openxmlformats.org/officeDocument/2006/relationships/hyperlink" Target="https://leandergrech.github.io/Mizien/claims/CC-094/" TargetMode="External" Id="rId1309"/><Relationship Type="http://schemas.openxmlformats.org/officeDocument/2006/relationships/hyperlink" Target="https://leandergrech.github.io/Mizien/claims/CC-094/" TargetMode="External" Id="rId1310"/><Relationship Type="http://schemas.openxmlformats.org/officeDocument/2006/relationships/hyperlink" Target="https://leandergrech.github.io/Mizien/claims/CC-094/" TargetMode="External" Id="rId1311"/><Relationship Type="http://schemas.openxmlformats.org/officeDocument/2006/relationships/hyperlink" Target="https://leandergrech.github.io/Mizien/claims/CC-094/" TargetMode="External" Id="rId1312"/><Relationship Type="http://schemas.openxmlformats.org/officeDocument/2006/relationships/hyperlink" Target="https://leandergrech.github.io/Mizien/claims/CC-094/" TargetMode="External" Id="rId1313"/><Relationship Type="http://schemas.openxmlformats.org/officeDocument/2006/relationships/hyperlink" Target="https://leandergrech.github.io/Mizien/claims/CC-094/" TargetMode="External" Id="rId1314"/><Relationship Type="http://schemas.openxmlformats.org/officeDocument/2006/relationships/hyperlink" Target="https://leandergrech.github.io/Mizien/claims/CC-094/" TargetMode="External" Id="rId1315"/><Relationship Type="http://schemas.openxmlformats.org/officeDocument/2006/relationships/hyperlink" Target="https://leandergrech.github.io/Mizien/claims/CC-094/" TargetMode="External" Id="rId1316"/><Relationship Type="http://schemas.openxmlformats.org/officeDocument/2006/relationships/hyperlink" Target="https://leandergrech.github.io/Mizien/claims/CC-094/" TargetMode="External" Id="rId1317"/><Relationship Type="http://schemas.openxmlformats.org/officeDocument/2006/relationships/hyperlink" Target="https://leandergrech.github.io/Mizien/claims/CC-094/" TargetMode="External" Id="rId1318"/><Relationship Type="http://schemas.openxmlformats.org/officeDocument/2006/relationships/hyperlink" Target="https://leandergrech.github.io/Mizien/claims/CC-094/" TargetMode="External" Id="rId1319"/><Relationship Type="http://schemas.openxmlformats.org/officeDocument/2006/relationships/hyperlink" Target="https://leandergrech.github.io/Mizien/claims/CC-094/" TargetMode="External" Id="rId1320"/><Relationship Type="http://schemas.openxmlformats.org/officeDocument/2006/relationships/hyperlink" Target="https://leandergrech.github.io/Mizien/claims/CC-094/" TargetMode="External" Id="rId1321"/><Relationship Type="http://schemas.openxmlformats.org/officeDocument/2006/relationships/hyperlink" Target="https://leandergrech.github.io/Mizien/claims/CC-094/" TargetMode="External" Id="rId1322"/><Relationship Type="http://schemas.openxmlformats.org/officeDocument/2006/relationships/hyperlink" Target="https://leandergrech.github.io/Mizien/claims/CC-094/" TargetMode="External" Id="rId1323"/><Relationship Type="http://schemas.openxmlformats.org/officeDocument/2006/relationships/hyperlink" Target="https://leandergrech.github.io/Mizien/claims/CC-094/" TargetMode="External" Id="rId1324"/><Relationship Type="http://schemas.openxmlformats.org/officeDocument/2006/relationships/hyperlink" Target="https://leandergrech.github.io/Mizien/claims/CC-094/" TargetMode="External" Id="rId1325"/><Relationship Type="http://schemas.openxmlformats.org/officeDocument/2006/relationships/hyperlink" Target="https://leandergrech.github.io/Mizien/claims/CC-094/" TargetMode="External" Id="rId1326"/><Relationship Type="http://schemas.openxmlformats.org/officeDocument/2006/relationships/hyperlink" Target="https://leandergrech.github.io/Mizien/claims/CC-094/" TargetMode="External" Id="rId1327"/><Relationship Type="http://schemas.openxmlformats.org/officeDocument/2006/relationships/hyperlink" Target="https://leandergrech.github.io/Mizien/claims/CC-094/" TargetMode="External" Id="rId1328"/><Relationship Type="http://schemas.openxmlformats.org/officeDocument/2006/relationships/hyperlink" Target="https://leandergrech.github.io/Mizien/claims/CC-094/" TargetMode="External" Id="rId1329"/><Relationship Type="http://schemas.openxmlformats.org/officeDocument/2006/relationships/hyperlink" Target="https://leandergrech.github.io/Mizien/claims/CC-094/" TargetMode="External" Id="rId1330"/><Relationship Type="http://schemas.openxmlformats.org/officeDocument/2006/relationships/hyperlink" Target="https://leandergrech.github.io/Mizien/claims/CC-094/" TargetMode="External" Id="rId1331"/><Relationship Type="http://schemas.openxmlformats.org/officeDocument/2006/relationships/hyperlink" Target="https://leandergrech.github.io/Mizien/claims/CC-094/" TargetMode="External" Id="rId1332"/><Relationship Type="http://schemas.openxmlformats.org/officeDocument/2006/relationships/hyperlink" Target="https://leandergrech.github.io/Mizien/claims/CC-094/" TargetMode="External" Id="rId1333"/><Relationship Type="http://schemas.openxmlformats.org/officeDocument/2006/relationships/hyperlink" Target="https://leandergrech.github.io/Mizien/claims/CC-094/" TargetMode="External" Id="rId1334"/><Relationship Type="http://schemas.openxmlformats.org/officeDocument/2006/relationships/hyperlink" Target="https://leandergrech.github.io/Mizien/claims/CC-094/" TargetMode="External" Id="rId1335"/><Relationship Type="http://schemas.openxmlformats.org/officeDocument/2006/relationships/hyperlink" Target="https://leandergrech.github.io/Mizien/claims/CC-094/" TargetMode="External" Id="rId1336"/><Relationship Type="http://schemas.openxmlformats.org/officeDocument/2006/relationships/hyperlink" Target="https://leandergrech.github.io/Mizien/claims/CC-094/" TargetMode="External" Id="rId1337"/><Relationship Type="http://schemas.openxmlformats.org/officeDocument/2006/relationships/hyperlink" Target="https://leandergrech.github.io/Mizien/claims/CC-094/" TargetMode="External" Id="rId1338"/><Relationship Type="http://schemas.openxmlformats.org/officeDocument/2006/relationships/hyperlink" Target="https://leandergrech.github.io/Mizien/claims/CC-094/" TargetMode="External" Id="rId1339"/><Relationship Type="http://schemas.openxmlformats.org/officeDocument/2006/relationships/hyperlink" Target="https://leandergrech.github.io/Mizien/claims/CC-094/" TargetMode="External" Id="rId1340"/><Relationship Type="http://schemas.openxmlformats.org/officeDocument/2006/relationships/hyperlink" Target="https://leandergrech.github.io/Mizien/claims/CC-094/" TargetMode="External" Id="rId1341"/><Relationship Type="http://schemas.openxmlformats.org/officeDocument/2006/relationships/hyperlink" Target="https://leandergrech.github.io/Mizien/claims/CC-094/" TargetMode="External" Id="rId1342"/><Relationship Type="http://schemas.openxmlformats.org/officeDocument/2006/relationships/hyperlink" Target="https://leandergrech.github.io/Mizien/claims/CC-094/" TargetMode="External" Id="rId1343"/><Relationship Type="http://schemas.openxmlformats.org/officeDocument/2006/relationships/hyperlink" Target="https://leandergrech.github.io/Mizien/claims/CC-094/" TargetMode="External" Id="rId1344"/><Relationship Type="http://schemas.openxmlformats.org/officeDocument/2006/relationships/hyperlink" Target="https://leandergrech.github.io/Mizien/claims/CC-094/" TargetMode="External" Id="rId1345"/><Relationship Type="http://schemas.openxmlformats.org/officeDocument/2006/relationships/hyperlink" Target="https://leandergrech.github.io/Mizien/claims/CC-094/" TargetMode="External" Id="rId1346"/><Relationship Type="http://schemas.openxmlformats.org/officeDocument/2006/relationships/hyperlink" Target="https://leandergrech.github.io/Mizien/claims/CC-094/" TargetMode="External" Id="rId1347"/><Relationship Type="http://schemas.openxmlformats.org/officeDocument/2006/relationships/hyperlink" Target="https://leandergrech.github.io/Mizien/claims/CC-094/" TargetMode="External" Id="rId1348"/><Relationship Type="http://schemas.openxmlformats.org/officeDocument/2006/relationships/hyperlink" Target="https://leandergrech.github.io/Mizien/claims/CC-094/" TargetMode="External" Id="rId1349"/><Relationship Type="http://schemas.openxmlformats.org/officeDocument/2006/relationships/hyperlink" Target="https://leandergrech.github.io/Mizien/claims/CC-094/" TargetMode="External" Id="rId1350"/><Relationship Type="http://schemas.openxmlformats.org/officeDocument/2006/relationships/hyperlink" Target="https://leandergrech.github.io/Mizien/claims/CC-094/" TargetMode="External" Id="rId1351"/><Relationship Type="http://schemas.openxmlformats.org/officeDocument/2006/relationships/hyperlink" Target="https://leandergrech.github.io/Mizien/claims/CC-094/" TargetMode="External" Id="rId1352"/><Relationship Type="http://schemas.openxmlformats.org/officeDocument/2006/relationships/hyperlink" Target="https://leandergrech.github.io/Mizien/claims/CC-094/" TargetMode="External" Id="rId1353"/><Relationship Type="http://schemas.openxmlformats.org/officeDocument/2006/relationships/hyperlink" Target="https://leandergrech.github.io/Mizien/claims/CC-099/" TargetMode="External" Id="rId1354"/><Relationship Type="http://schemas.openxmlformats.org/officeDocument/2006/relationships/hyperlink" Target="https://leandergrech.github.io/Mizien/claims/CC-099/" TargetMode="External" Id="rId1355"/><Relationship Type="http://schemas.openxmlformats.org/officeDocument/2006/relationships/hyperlink" Target="https://leandergrech.github.io/Mizien/claims/CC-099/" TargetMode="External" Id="rId1356"/><Relationship Type="http://schemas.openxmlformats.org/officeDocument/2006/relationships/hyperlink" Target="https://leandergrech.github.io/Mizien/claims/CC-099/" TargetMode="External" Id="rId1357"/><Relationship Type="http://schemas.openxmlformats.org/officeDocument/2006/relationships/hyperlink" Target="https://leandergrech.github.io/Mizien/claims/CC-099/" TargetMode="External" Id="rId1358"/><Relationship Type="http://schemas.openxmlformats.org/officeDocument/2006/relationships/hyperlink" Target="https://leandergrech.github.io/Mizien/claims/CC-099/" TargetMode="External" Id="rId1359"/><Relationship Type="http://schemas.openxmlformats.org/officeDocument/2006/relationships/hyperlink" Target="https://leandergrech.github.io/Mizien/claims/CC-099/" TargetMode="External" Id="rId1360"/><Relationship Type="http://schemas.openxmlformats.org/officeDocument/2006/relationships/hyperlink" Target="https://leandergrech.github.io/Mizien/claims/CC-099/" TargetMode="External" Id="rId1361"/><Relationship Type="http://schemas.openxmlformats.org/officeDocument/2006/relationships/hyperlink" Target="https://leandergrech.github.io/Mizien/claims/CC-099/" TargetMode="External" Id="rId1362"/><Relationship Type="http://schemas.openxmlformats.org/officeDocument/2006/relationships/hyperlink" Target="https://leandergrech.github.io/Mizien/claims/CC-099/" TargetMode="External" Id="rId1363"/><Relationship Type="http://schemas.openxmlformats.org/officeDocument/2006/relationships/hyperlink" Target="https://leandergrech.github.io/Mizien/claims/CC-099/" TargetMode="External" Id="rId1364"/><Relationship Type="http://schemas.openxmlformats.org/officeDocument/2006/relationships/hyperlink" Target="https://leandergrech.github.io/Mizien/claims/CC-099/" TargetMode="External" Id="rId1365"/><Relationship Type="http://schemas.openxmlformats.org/officeDocument/2006/relationships/hyperlink" Target="https://leandergrech.github.io/Mizien/claims/CC-099/" TargetMode="External" Id="rId1366"/><Relationship Type="http://schemas.openxmlformats.org/officeDocument/2006/relationships/hyperlink" Target="https://leandergrech.github.io/Mizien/claims/CC-099/" TargetMode="External" Id="rId1367"/><Relationship Type="http://schemas.openxmlformats.org/officeDocument/2006/relationships/hyperlink" Target="https://leandergrech.github.io/Mizien/claims/CC-099/" TargetMode="External" Id="rId1368"/><Relationship Type="http://schemas.openxmlformats.org/officeDocument/2006/relationships/hyperlink" Target="https://leandergrech.github.io/Mizien/claims/CC-099/" TargetMode="External" Id="rId1369"/><Relationship Type="http://schemas.openxmlformats.org/officeDocument/2006/relationships/hyperlink" Target="https://leandergrech.github.io/Mizien/claims/CC-099/" TargetMode="External" Id="rId1370"/><Relationship Type="http://schemas.openxmlformats.org/officeDocument/2006/relationships/hyperlink" Target="https://leandergrech.github.io/Mizien/claims/CC-099/" TargetMode="External" Id="rId1371"/><Relationship Type="http://schemas.openxmlformats.org/officeDocument/2006/relationships/hyperlink" Target="https://leandergrech.github.io/Mizien/claims/CC-099/" TargetMode="External" Id="rId1372"/><Relationship Type="http://schemas.openxmlformats.org/officeDocument/2006/relationships/hyperlink" Target="https://leandergrech.github.io/Mizien/claims/CC-099/" TargetMode="External" Id="rId1373"/><Relationship Type="http://schemas.openxmlformats.org/officeDocument/2006/relationships/hyperlink" Target="https://leandergrech.github.io/Mizien/claims/CC-099/" TargetMode="External" Id="rId1374"/><Relationship Type="http://schemas.openxmlformats.org/officeDocument/2006/relationships/hyperlink" Target="https://leandergrech.github.io/Mizien/claims/CC-099/" TargetMode="External" Id="rId1375"/><Relationship Type="http://schemas.openxmlformats.org/officeDocument/2006/relationships/hyperlink" Target="https://leandergrech.github.io/Mizien/claims/CC-099/" TargetMode="External" Id="rId1376"/><Relationship Type="http://schemas.openxmlformats.org/officeDocument/2006/relationships/hyperlink" Target="https://leandergrech.github.io/Mizien/claims/CC-099/" TargetMode="External" Id="rId1377"/><Relationship Type="http://schemas.openxmlformats.org/officeDocument/2006/relationships/hyperlink" Target="https://leandergrech.github.io/Mizien/claims/CC-099/" TargetMode="External" Id="rId1378"/><Relationship Type="http://schemas.openxmlformats.org/officeDocument/2006/relationships/hyperlink" Target="https://leandergrech.github.io/Mizien/claims/CC-099/" TargetMode="External" Id="rId1379"/><Relationship Type="http://schemas.openxmlformats.org/officeDocument/2006/relationships/hyperlink" Target="https://leandergrech.github.io/Mizien/claims/CC-099/" TargetMode="External" Id="rId1380"/><Relationship Type="http://schemas.openxmlformats.org/officeDocument/2006/relationships/hyperlink" Target="https://leandergrech.github.io/Mizien/claims/CC-099/" TargetMode="External" Id="rId1381"/><Relationship Type="http://schemas.openxmlformats.org/officeDocument/2006/relationships/hyperlink" Target="https://leandergrech.github.io/Mizien/claims/CC-099/" TargetMode="External" Id="rId1382"/><Relationship Type="http://schemas.openxmlformats.org/officeDocument/2006/relationships/hyperlink" Target="https://leandergrech.github.io/Mizien/claims/CC-099/" TargetMode="External" Id="rId1383"/><Relationship Type="http://schemas.openxmlformats.org/officeDocument/2006/relationships/hyperlink" Target="https://leandergrech.github.io/Mizien/claims/CC-099/" TargetMode="External" Id="rId1384"/><Relationship Type="http://schemas.openxmlformats.org/officeDocument/2006/relationships/hyperlink" Target="https://leandergrech.github.io/Mizien/claims/CC-099/" TargetMode="External" Id="rId1385"/><Relationship Type="http://schemas.openxmlformats.org/officeDocument/2006/relationships/hyperlink" Target="https://leandergrech.github.io/Mizien/claims/CC-099/" TargetMode="External" Id="rId1386"/><Relationship Type="http://schemas.openxmlformats.org/officeDocument/2006/relationships/hyperlink" Target="https://leandergrech.github.io/Mizien/claims/CC-099/" TargetMode="External" Id="rId1387"/><Relationship Type="http://schemas.openxmlformats.org/officeDocument/2006/relationships/hyperlink" Target="https://leandergrech.github.io/Mizien/claims/CC-099/" TargetMode="External" Id="rId1388"/><Relationship Type="http://schemas.openxmlformats.org/officeDocument/2006/relationships/hyperlink" Target="https://leandergrech.github.io/Mizien/claims/CC-099/" TargetMode="External" Id="rId1389"/><Relationship Type="http://schemas.openxmlformats.org/officeDocument/2006/relationships/hyperlink" Target="https://leandergrech.github.io/Mizien/claims/CC-099/" TargetMode="External" Id="rId1390"/><Relationship Type="http://schemas.openxmlformats.org/officeDocument/2006/relationships/hyperlink" Target="https://leandergrech.github.io/Mizien/claims/CC-099/" TargetMode="External" Id="rId1391"/><Relationship Type="http://schemas.openxmlformats.org/officeDocument/2006/relationships/hyperlink" Target="https://leandergrech.github.io/Mizien/claims/CC-099/" TargetMode="External" Id="rId1392"/><Relationship Type="http://schemas.openxmlformats.org/officeDocument/2006/relationships/hyperlink" Target="https://leandergrech.github.io/Mizien/claims/CC-099/" TargetMode="External" Id="rId1393"/><Relationship Type="http://schemas.openxmlformats.org/officeDocument/2006/relationships/hyperlink" Target="https://leandergrech.github.io/Mizien/claims/CC-099/" TargetMode="External" Id="rId1394"/><Relationship Type="http://schemas.openxmlformats.org/officeDocument/2006/relationships/hyperlink" Target="https://leandergrech.github.io/Mizien/claims/CC-099/" TargetMode="External" Id="rId1395"/><Relationship Type="http://schemas.openxmlformats.org/officeDocument/2006/relationships/hyperlink" Target="https://leandergrech.github.io/Mizien/claims/CC-099/" TargetMode="External" Id="rId1396"/><Relationship Type="http://schemas.openxmlformats.org/officeDocument/2006/relationships/hyperlink" Target="https://leandergrech.github.io/Mizien/claims/CC-099/" TargetMode="External" Id="rId1397"/><Relationship Type="http://schemas.openxmlformats.org/officeDocument/2006/relationships/hyperlink" Target="https://leandergrech.github.io/Mizien/claims/CC-099/" TargetMode="External" Id="rId1398"/><Relationship Type="http://schemas.openxmlformats.org/officeDocument/2006/relationships/hyperlink" Target="https://leandergrech.github.io/Mizien/claims/CC-099/" TargetMode="External" Id="rId1399"/><Relationship Type="http://schemas.openxmlformats.org/officeDocument/2006/relationships/hyperlink" Target="https://leandergrech.github.io/Mizien/claims/CC-099/" TargetMode="External" Id="rId1400"/><Relationship Type="http://schemas.openxmlformats.org/officeDocument/2006/relationships/hyperlink" Target="https://leandergrech.github.io/Mizien/claims/CC-099/" TargetMode="External" Id="rId1401"/><Relationship Type="http://schemas.openxmlformats.org/officeDocument/2006/relationships/hyperlink" Target="https://leandergrech.github.io/Mizien/claims/CC-099/" TargetMode="External" Id="rId1402"/><Relationship Type="http://schemas.openxmlformats.org/officeDocument/2006/relationships/hyperlink" Target="https://leandergrech.github.io/Mizien/claims/CC-099/" TargetMode="External" Id="rId1403"/><Relationship Type="http://schemas.openxmlformats.org/officeDocument/2006/relationships/hyperlink" Target="https://leandergrech.github.io/Mizien/claims/CC-099/" TargetMode="External" Id="rId1404"/><Relationship Type="http://schemas.openxmlformats.org/officeDocument/2006/relationships/hyperlink" Target="https://leandergrech.github.io/Mizien/claims/CC-099/" TargetMode="External" Id="rId1405"/><Relationship Type="http://schemas.openxmlformats.org/officeDocument/2006/relationships/hyperlink" Target="https://leandergrech.github.io/Mizien/claims/CC-099/" TargetMode="External" Id="rId1406"/><Relationship Type="http://schemas.openxmlformats.org/officeDocument/2006/relationships/hyperlink" Target="https://leandergrech.github.io/Mizien/claims/CC-099/" TargetMode="External" Id="rId1407"/><Relationship Type="http://schemas.openxmlformats.org/officeDocument/2006/relationships/hyperlink" Target="https://leandergrech.github.io/Mizien/claims/CC-099/" TargetMode="External" Id="rId1408"/><Relationship Type="http://schemas.openxmlformats.org/officeDocument/2006/relationships/hyperlink" Target="https://leandergrech.github.io/Mizien/claims/CC-099/" TargetMode="External" Id="rId1409"/><Relationship Type="http://schemas.openxmlformats.org/officeDocument/2006/relationships/hyperlink" Target="https://leandergrech.github.io/Mizien/claims/CC-099/" TargetMode="External" Id="rId1410"/><Relationship Type="http://schemas.openxmlformats.org/officeDocument/2006/relationships/hyperlink" Target="https://leandergrech.github.io/Mizien/claims/CC-099/" TargetMode="External" Id="rId1411"/><Relationship Type="http://schemas.openxmlformats.org/officeDocument/2006/relationships/hyperlink" Target="https://leandergrech.github.io/Mizien/claims/CC-099/" TargetMode="External" Id="rId1412"/><Relationship Type="http://schemas.openxmlformats.org/officeDocument/2006/relationships/hyperlink" Target="https://leandergrech.github.io/Mizien/claims/CC-099/" TargetMode="External" Id="rId1413"/><Relationship Type="http://schemas.openxmlformats.org/officeDocument/2006/relationships/hyperlink" Target="https://leandergrech.github.io/Mizien/claims/CC-099/" TargetMode="External" Id="rId1414"/><Relationship Type="http://schemas.openxmlformats.org/officeDocument/2006/relationships/hyperlink" Target="https://leandergrech.github.io/Mizien/claims/CC-099/" TargetMode="External" Id="rId1415"/><Relationship Type="http://schemas.openxmlformats.org/officeDocument/2006/relationships/hyperlink" Target="https://leandergrech.github.io/Mizien/claims/CC-099/" TargetMode="External" Id="rId1416"/><Relationship Type="http://schemas.openxmlformats.org/officeDocument/2006/relationships/hyperlink" Target="https://leandergrech.github.io/Mizien/claims/CC-099/" TargetMode="External" Id="rId1417"/><Relationship Type="http://schemas.openxmlformats.org/officeDocument/2006/relationships/hyperlink" Target="https://leandergrech.github.io/Mizien/claims/CC-099/" TargetMode="External" Id="rId1418"/><Relationship Type="http://schemas.openxmlformats.org/officeDocument/2006/relationships/hyperlink" Target="https://leandergrech.github.io/Mizien/claims/CC-099/" TargetMode="External" Id="rId1419"/><Relationship Type="http://schemas.openxmlformats.org/officeDocument/2006/relationships/hyperlink" Target="https://leandergrech.github.io/Mizien/claims/CC-099/" TargetMode="External" Id="rId1420"/><Relationship Type="http://schemas.openxmlformats.org/officeDocument/2006/relationships/hyperlink" Target="https://leandergrech.github.io/Mizien/claims/CC-099/" TargetMode="External" Id="rId1421"/><Relationship Type="http://schemas.openxmlformats.org/officeDocument/2006/relationships/hyperlink" Target="https://leandergrech.github.io/Mizien/claims/CC-099/" TargetMode="External" Id="rId1422"/><Relationship Type="http://schemas.openxmlformats.org/officeDocument/2006/relationships/hyperlink" Target="https://leandergrech.github.io/Mizien/claims/CC-099/" TargetMode="External" Id="rId1423"/><Relationship Type="http://schemas.openxmlformats.org/officeDocument/2006/relationships/hyperlink" Target="https://leandergrech.github.io/Mizien/claims/CC-099/" TargetMode="External" Id="rId1424"/><Relationship Type="http://schemas.openxmlformats.org/officeDocument/2006/relationships/hyperlink" Target="https://leandergrech.github.io/Mizien/claims/CC-099/" TargetMode="External" Id="rId1425"/><Relationship Type="http://schemas.openxmlformats.org/officeDocument/2006/relationships/hyperlink" Target="https://leandergrech.github.io/Mizien/claims/CC-099/" TargetMode="External" Id="rId1426"/><Relationship Type="http://schemas.openxmlformats.org/officeDocument/2006/relationships/hyperlink" Target="https://leandergrech.github.io/Mizien/claims/CC-099/" TargetMode="External" Id="rId1427"/><Relationship Type="http://schemas.openxmlformats.org/officeDocument/2006/relationships/hyperlink" Target="https://leandergrech.github.io/Mizien/claims/CC-099/" TargetMode="External" Id="rId1428"/><Relationship Type="http://schemas.openxmlformats.org/officeDocument/2006/relationships/hyperlink" Target="https://leandergrech.github.io/Mizien/claims/CC-099/" TargetMode="External" Id="rId1429"/><Relationship Type="http://schemas.openxmlformats.org/officeDocument/2006/relationships/hyperlink" Target="https://leandergrech.github.io/Mizien/claims/CC-099/" TargetMode="External" Id="rId1430"/><Relationship Type="http://schemas.openxmlformats.org/officeDocument/2006/relationships/hyperlink" Target="https://leandergrech.github.io/Mizien/claims/CC-099/" TargetMode="External" Id="rId1431"/><Relationship Type="http://schemas.openxmlformats.org/officeDocument/2006/relationships/hyperlink" Target="https://leandergrech.github.io/Mizien/claims/CC-099/" TargetMode="External" Id="rId1432"/><Relationship Type="http://schemas.openxmlformats.org/officeDocument/2006/relationships/hyperlink" Target="https://leandergrech.github.io/Mizien/claims/CC-099/" TargetMode="External" Id="rId1433"/><Relationship Type="http://schemas.openxmlformats.org/officeDocument/2006/relationships/hyperlink" Target="https://leandergrech.github.io/Mizien/claims/CC-099/" TargetMode="External" Id="rId1434"/><Relationship Type="http://schemas.openxmlformats.org/officeDocument/2006/relationships/hyperlink" Target="https://leandergrech.github.io/Mizien/claims/CC-099/" TargetMode="External" Id="rId1435"/><Relationship Type="http://schemas.openxmlformats.org/officeDocument/2006/relationships/hyperlink" Target="https://leandergrech.github.io/Mizien/claims/CC-099/" TargetMode="External" Id="rId1436"/><Relationship Type="http://schemas.openxmlformats.org/officeDocument/2006/relationships/hyperlink" Target="https://leandergrech.github.io/Mizien/claims/CC-099/" TargetMode="External" Id="rId1437"/><Relationship Type="http://schemas.openxmlformats.org/officeDocument/2006/relationships/hyperlink" Target="https://leandergrech.github.io/Mizien/claims/CC-099/" TargetMode="External" Id="rId1438"/><Relationship Type="http://schemas.openxmlformats.org/officeDocument/2006/relationships/hyperlink" Target="https://leandergrech.github.io/Mizien/claims/CC-099/" TargetMode="External" Id="rId1439"/><Relationship Type="http://schemas.openxmlformats.org/officeDocument/2006/relationships/hyperlink" Target="https://leandergrech.github.io/Mizien/claims/CC-099/" TargetMode="External" Id="rId1440"/><Relationship Type="http://schemas.openxmlformats.org/officeDocument/2006/relationships/hyperlink" Target="https://leandergrech.github.io/Mizien/claims/CC-099/" TargetMode="External" Id="rId1441"/><Relationship Type="http://schemas.openxmlformats.org/officeDocument/2006/relationships/hyperlink" Target="https://leandergrech.github.io/Mizien/claims/CC-099/" TargetMode="External" Id="rId1442"/><Relationship Type="http://schemas.openxmlformats.org/officeDocument/2006/relationships/hyperlink" Target="https://leandergrech.github.io/Mizien/claims/CC-099/" TargetMode="External" Id="rId1443"/><Relationship Type="http://schemas.openxmlformats.org/officeDocument/2006/relationships/hyperlink" Target="https://leandergrech.github.io/Mizien/claims/CC-099/" TargetMode="External" Id="rId1444"/><Relationship Type="http://schemas.openxmlformats.org/officeDocument/2006/relationships/hyperlink" Target="https://leandergrech.github.io/Mizien/claims/CC-099/" TargetMode="External" Id="rId1445"/><Relationship Type="http://schemas.openxmlformats.org/officeDocument/2006/relationships/hyperlink" Target="https://leandergrech.github.io/Mizien/claims/CC-099/" TargetMode="External" Id="rId1446"/><Relationship Type="http://schemas.openxmlformats.org/officeDocument/2006/relationships/hyperlink" Target="https://leandergrech.github.io/Mizien/claims/CC-099/" TargetMode="External" Id="rId1447"/><Relationship Type="http://schemas.openxmlformats.org/officeDocument/2006/relationships/hyperlink" Target="https://leandergrech.github.io/Mizien/claims/CC-099/" TargetMode="External" Id="rId1448"/><Relationship Type="http://schemas.openxmlformats.org/officeDocument/2006/relationships/hyperlink" Target="https://leandergrech.github.io/Mizien/claims/CC-099/" TargetMode="External" Id="rId1449"/><Relationship Type="http://schemas.openxmlformats.org/officeDocument/2006/relationships/hyperlink" Target="https://leandergrech.github.io/Mizien/claims/CC-099/" TargetMode="External" Id="rId1450"/><Relationship Type="http://schemas.openxmlformats.org/officeDocument/2006/relationships/hyperlink" Target="https://leandergrech.github.io/Mizien/claims/CC-099/" TargetMode="External" Id="rId1451"/><Relationship Type="http://schemas.openxmlformats.org/officeDocument/2006/relationships/hyperlink" Target="https://leandergrech.github.io/Mizien/claims/CC-099/" TargetMode="External" Id="rId1452"/><Relationship Type="http://schemas.openxmlformats.org/officeDocument/2006/relationships/hyperlink" Target="https://leandergrech.github.io/Mizien/claims/CC-100/" TargetMode="External" Id="rId1453"/><Relationship Type="http://schemas.openxmlformats.org/officeDocument/2006/relationships/hyperlink" Target="https://leandergrech.github.io/Mizien/claims/CC-100/" TargetMode="External" Id="rId1454"/><Relationship Type="http://schemas.openxmlformats.org/officeDocument/2006/relationships/hyperlink" Target="https://leandergrech.github.io/Mizien/claims/CC-100/" TargetMode="External" Id="rId1455"/><Relationship Type="http://schemas.openxmlformats.org/officeDocument/2006/relationships/hyperlink" Target="https://leandergrech.github.io/Mizien/claims/CC-100/" TargetMode="External" Id="rId1456"/><Relationship Type="http://schemas.openxmlformats.org/officeDocument/2006/relationships/hyperlink" Target="https://leandergrech.github.io/Mizien/claims/CC-100/" TargetMode="External" Id="rId1457"/><Relationship Type="http://schemas.openxmlformats.org/officeDocument/2006/relationships/hyperlink" Target="https://leandergrech.github.io/Mizien/claims/CC-100/" TargetMode="External" Id="rId1458"/><Relationship Type="http://schemas.openxmlformats.org/officeDocument/2006/relationships/hyperlink" Target="https://leandergrech.github.io/Mizien/claims/CC-100/" TargetMode="External" Id="rId1459"/><Relationship Type="http://schemas.openxmlformats.org/officeDocument/2006/relationships/hyperlink" Target="https://leandergrech.github.io/Mizien/claims/CC-100/" TargetMode="External" Id="rId1460"/><Relationship Type="http://schemas.openxmlformats.org/officeDocument/2006/relationships/hyperlink" Target="https://leandergrech.github.io/Mizien/claims/CC-100/" TargetMode="External" Id="rId1461"/><Relationship Type="http://schemas.openxmlformats.org/officeDocument/2006/relationships/hyperlink" Target="https://leandergrech.github.io/Mizien/claims/CC-100/" TargetMode="External" Id="rId1462"/><Relationship Type="http://schemas.openxmlformats.org/officeDocument/2006/relationships/hyperlink" Target="https://leandergrech.github.io/Mizien/claims/CC-101/" TargetMode="External" Id="rId1463"/><Relationship Type="http://schemas.openxmlformats.org/officeDocument/2006/relationships/hyperlink" Target="https://leandergrech.github.io/Mizien/claims/CC-101/" TargetMode="External" Id="rId1464"/><Relationship Type="http://schemas.openxmlformats.org/officeDocument/2006/relationships/hyperlink" Target="https://leandergrech.github.io/Mizien/claims/CC-101/" TargetMode="External" Id="rId1465"/><Relationship Type="http://schemas.openxmlformats.org/officeDocument/2006/relationships/hyperlink" Target="https://leandergrech.github.io/Mizien/claims/CC-101/" TargetMode="External" Id="rId1466"/><Relationship Type="http://schemas.openxmlformats.org/officeDocument/2006/relationships/hyperlink" Target="https://leandergrech.github.io/Mizien/claims/CC-101/" TargetMode="External" Id="rId1467"/><Relationship Type="http://schemas.openxmlformats.org/officeDocument/2006/relationships/hyperlink" Target="https://leandergrech.github.io/Mizien/claims/CC-101/" TargetMode="External" Id="rId1468"/><Relationship Type="http://schemas.openxmlformats.org/officeDocument/2006/relationships/hyperlink" Target="https://leandergrech.github.io/Mizien/claims/CC-101/" TargetMode="External" Id="rId1469"/><Relationship Type="http://schemas.openxmlformats.org/officeDocument/2006/relationships/hyperlink" Target="https://leandergrech.github.io/Mizien/claims/CC-101/" TargetMode="External" Id="rId1470"/><Relationship Type="http://schemas.openxmlformats.org/officeDocument/2006/relationships/hyperlink" Target="https://leandergrech.github.io/Mizien/claims/CC-101/" TargetMode="External" Id="rId1471"/><Relationship Type="http://schemas.openxmlformats.org/officeDocument/2006/relationships/hyperlink" Target="https://leandergrech.github.io/Mizien/claims/CC-101/" TargetMode="External" Id="rId1472"/><Relationship Type="http://schemas.openxmlformats.org/officeDocument/2006/relationships/hyperlink" Target="https://leandergrech.github.io/Mizien/claims/CC-101/" TargetMode="External" Id="rId1473"/><Relationship Type="http://schemas.openxmlformats.org/officeDocument/2006/relationships/hyperlink" Target="https://leandergrech.github.io/Mizien/claims/CC-101/" TargetMode="External" Id="rId1474"/><Relationship Type="http://schemas.openxmlformats.org/officeDocument/2006/relationships/hyperlink" Target="https://leandergrech.github.io/Mizien/claims/CC-101/" TargetMode="External" Id="rId1475"/><Relationship Type="http://schemas.openxmlformats.org/officeDocument/2006/relationships/hyperlink" Target="https://leandergrech.github.io/Mizien/claims/CC-101/" TargetMode="External" Id="rId1476"/><Relationship Type="http://schemas.openxmlformats.org/officeDocument/2006/relationships/hyperlink" Target="https://leandergrech.github.io/Mizien/claims/CC-101/" TargetMode="External" Id="rId1477"/><Relationship Type="http://schemas.openxmlformats.org/officeDocument/2006/relationships/hyperlink" Target="https://leandergrech.github.io/Mizien/claims/CC-101/" TargetMode="External" Id="rId1478"/><Relationship Type="http://schemas.openxmlformats.org/officeDocument/2006/relationships/hyperlink" Target="https://leandergrech.github.io/Mizien/claims/CC-101/" TargetMode="External" Id="rId1479"/><Relationship Type="http://schemas.openxmlformats.org/officeDocument/2006/relationships/hyperlink" Target="https://leandergrech.github.io/Mizien/claims/CC-101/" TargetMode="External" Id="rId1480"/><Relationship Type="http://schemas.openxmlformats.org/officeDocument/2006/relationships/hyperlink" Target="https://leandergrech.github.io/Mizien/claims/CC-101/" TargetMode="External" Id="rId1481"/><Relationship Type="http://schemas.openxmlformats.org/officeDocument/2006/relationships/hyperlink" Target="https://leandergrech.github.io/Mizien/claims/CC-101/" TargetMode="External" Id="rId1482"/><Relationship Type="http://schemas.openxmlformats.org/officeDocument/2006/relationships/hyperlink" Target="https://leandergrech.github.io/Mizien/claims/CC-101/" TargetMode="External" Id="rId1483"/><Relationship Type="http://schemas.openxmlformats.org/officeDocument/2006/relationships/hyperlink" Target="https://leandergrech.github.io/Mizien/claims/CC-101/" TargetMode="External" Id="rId1484"/><Relationship Type="http://schemas.openxmlformats.org/officeDocument/2006/relationships/hyperlink" Target="https://leandergrech.github.io/Mizien/claims/CC-101/" TargetMode="External" Id="rId1485"/><Relationship Type="http://schemas.openxmlformats.org/officeDocument/2006/relationships/hyperlink" Target="https://leandergrech.github.io/Mizien/claims/CC-101/" TargetMode="External" Id="rId1486"/><Relationship Type="http://schemas.openxmlformats.org/officeDocument/2006/relationships/hyperlink" Target="https://leandergrech.github.io/Mizien/claims/CC-101/" TargetMode="External" Id="rId1487"/><Relationship Type="http://schemas.openxmlformats.org/officeDocument/2006/relationships/hyperlink" Target="https://leandergrech.github.io/Mizien/claims/CC-101/" TargetMode="External" Id="rId1488"/><Relationship Type="http://schemas.openxmlformats.org/officeDocument/2006/relationships/hyperlink" Target="https://leandergrech.github.io/Mizien/claims/CC-101/" TargetMode="External" Id="rId1489"/><Relationship Type="http://schemas.openxmlformats.org/officeDocument/2006/relationships/hyperlink" Target="https://leandergrech.github.io/Mizien/claims/CC-101/" TargetMode="External" Id="rId1490"/><Relationship Type="http://schemas.openxmlformats.org/officeDocument/2006/relationships/hyperlink" Target="https://leandergrech.github.io/Mizien/claims/CC-101/" TargetMode="External" Id="rId1491"/><Relationship Type="http://schemas.openxmlformats.org/officeDocument/2006/relationships/hyperlink" Target="https://leandergrech.github.io/Mizien/claims/CC-101/" TargetMode="External" Id="rId1492"/><Relationship Type="http://schemas.openxmlformats.org/officeDocument/2006/relationships/hyperlink" Target="https://leandergrech.github.io/Mizien/claims/CC-101/" TargetMode="External" Id="rId1493"/><Relationship Type="http://schemas.openxmlformats.org/officeDocument/2006/relationships/hyperlink" Target="https://leandergrech.github.io/Mizien/claims/CC-101/" TargetMode="External" Id="rId1494"/><Relationship Type="http://schemas.openxmlformats.org/officeDocument/2006/relationships/hyperlink" Target="https://leandergrech.github.io/Mizien/claims/CC-101/" TargetMode="External" Id="rId1495"/><Relationship Type="http://schemas.openxmlformats.org/officeDocument/2006/relationships/hyperlink" Target="https://leandergrech.github.io/Mizien/claims/CC-101/" TargetMode="External" Id="rId1496"/><Relationship Type="http://schemas.openxmlformats.org/officeDocument/2006/relationships/hyperlink" Target="https://leandergrech.github.io/Mizien/claims/CC-101/" TargetMode="External" Id="rId1497"/><Relationship Type="http://schemas.openxmlformats.org/officeDocument/2006/relationships/hyperlink" Target="https://leandergrech.github.io/Mizien/claims/CC-101/" TargetMode="External" Id="rId1498"/><Relationship Type="http://schemas.openxmlformats.org/officeDocument/2006/relationships/hyperlink" Target="https://leandergrech.github.io/Mizien/claims/CC-101/" TargetMode="External" Id="rId1499"/><Relationship Type="http://schemas.openxmlformats.org/officeDocument/2006/relationships/hyperlink" Target="https://leandergrech.github.io/Mizien/claims/CC-101/" TargetMode="External" Id="rId1500"/><Relationship Type="http://schemas.openxmlformats.org/officeDocument/2006/relationships/hyperlink" Target="https://leandergrech.github.io/Mizien/claims/CC-101/" TargetMode="External" Id="rId1501"/><Relationship Type="http://schemas.openxmlformats.org/officeDocument/2006/relationships/hyperlink" Target="https://leandergrech.github.io/Mizien/claims/CC-101/" TargetMode="External" Id="rId1502"/><Relationship Type="http://schemas.openxmlformats.org/officeDocument/2006/relationships/hyperlink" Target="https://leandergrech.github.io/Mizien/claims/CC-101/" TargetMode="External" Id="rId1503"/><Relationship Type="http://schemas.openxmlformats.org/officeDocument/2006/relationships/hyperlink" Target="https://leandergrech.github.io/Mizien/claims/CC-101/" TargetMode="External" Id="rId1504"/><Relationship Type="http://schemas.openxmlformats.org/officeDocument/2006/relationships/hyperlink" Target="https://leandergrech.github.io/Mizien/claims/CC-101/" TargetMode="External" Id="rId1505"/><Relationship Type="http://schemas.openxmlformats.org/officeDocument/2006/relationships/hyperlink" Target="https://leandergrech.github.io/Mizien/claims/CC-101/" TargetMode="External" Id="rId1506"/><Relationship Type="http://schemas.openxmlformats.org/officeDocument/2006/relationships/hyperlink" Target="https://leandergrech.github.io/Mizien/claims/CC-101/" TargetMode="External" Id="rId1507"/><Relationship Type="http://schemas.openxmlformats.org/officeDocument/2006/relationships/hyperlink" Target="https://leandergrech.github.io/Mizien/claims/CC-101/" TargetMode="External" Id="rId1508"/><Relationship Type="http://schemas.openxmlformats.org/officeDocument/2006/relationships/hyperlink" Target="https://leandergrech.github.io/Mizien/claims/CC-101/" TargetMode="External" Id="rId1509"/><Relationship Type="http://schemas.openxmlformats.org/officeDocument/2006/relationships/hyperlink" Target="https://leandergrech.github.io/Mizien/claims/CC-101/" TargetMode="External" Id="rId1510"/><Relationship Type="http://schemas.openxmlformats.org/officeDocument/2006/relationships/hyperlink" Target="https://leandergrech.github.io/Mizien/claims/CC-101/" TargetMode="External" Id="rId1511"/><Relationship Type="http://schemas.openxmlformats.org/officeDocument/2006/relationships/hyperlink" Target="https://leandergrech.github.io/Mizien/claims/CC-105/" TargetMode="External" Id="rId1512"/><Relationship Type="http://schemas.openxmlformats.org/officeDocument/2006/relationships/hyperlink" Target="https://leandergrech.github.io/Mizien/claims/CC-105/" TargetMode="External" Id="rId1513"/><Relationship Type="http://schemas.openxmlformats.org/officeDocument/2006/relationships/hyperlink" Target="https://leandergrech.github.io/Mizien/claims/CC-105/" TargetMode="External" Id="rId1514"/><Relationship Type="http://schemas.openxmlformats.org/officeDocument/2006/relationships/hyperlink" Target="https://leandergrech.github.io/Mizien/claims/CC-105/" TargetMode="External" Id="rId1515"/><Relationship Type="http://schemas.openxmlformats.org/officeDocument/2006/relationships/hyperlink" Target="https://leandergrech.github.io/Mizien/claims/CC-105/" TargetMode="External" Id="rId1516"/><Relationship Type="http://schemas.openxmlformats.org/officeDocument/2006/relationships/hyperlink" Target="https://leandergrech.github.io/Mizien/claims/CC-105/" TargetMode="External" Id="rId1517"/><Relationship Type="http://schemas.openxmlformats.org/officeDocument/2006/relationships/hyperlink" Target="https://leandergrech.github.io/Mizien/claims/CC-105/" TargetMode="External" Id="rId1518"/><Relationship Type="http://schemas.openxmlformats.org/officeDocument/2006/relationships/hyperlink" Target="https://leandergrech.github.io/Mizien/claims/CC-105/" TargetMode="External" Id="rId1519"/><Relationship Type="http://schemas.openxmlformats.org/officeDocument/2006/relationships/hyperlink" Target="https://leandergrech.github.io/Mizien/claims/CC-105/" TargetMode="External" Id="rId1520"/><Relationship Type="http://schemas.openxmlformats.org/officeDocument/2006/relationships/hyperlink" Target="https://leandergrech.github.io/Mizien/claims/CC-105/" TargetMode="External" Id="rId1521"/><Relationship Type="http://schemas.openxmlformats.org/officeDocument/2006/relationships/hyperlink" Target="https://leandergrech.github.io/Mizien/claims/CC-105/" TargetMode="External" Id="rId1522"/><Relationship Type="http://schemas.openxmlformats.org/officeDocument/2006/relationships/hyperlink" Target="https://leandergrech.github.io/Mizien/claims/CC-105/" TargetMode="External" Id="rId1523"/><Relationship Type="http://schemas.openxmlformats.org/officeDocument/2006/relationships/hyperlink" Target="https://leandergrech.github.io/Mizien/claims/CC-105/" TargetMode="External" Id="rId1524"/><Relationship Type="http://schemas.openxmlformats.org/officeDocument/2006/relationships/hyperlink" Target="https://leandergrech.github.io/Mizien/claims/CC-105/" TargetMode="External" Id="rId1525"/><Relationship Type="http://schemas.openxmlformats.org/officeDocument/2006/relationships/hyperlink" Target="https://leandergrech.github.io/Mizien/claims/CC-105/" TargetMode="External" Id="rId1526"/><Relationship Type="http://schemas.openxmlformats.org/officeDocument/2006/relationships/hyperlink" Target="https://leandergrech.github.io/Mizien/claims/CC-105/" TargetMode="External" Id="rId1527"/><Relationship Type="http://schemas.openxmlformats.org/officeDocument/2006/relationships/hyperlink" Target="https://leandergrech.github.io/Mizien/claims/CC-105/" TargetMode="External" Id="rId1528"/><Relationship Type="http://schemas.openxmlformats.org/officeDocument/2006/relationships/hyperlink" Target="https://leandergrech.github.io/Mizien/claims/CC-106/" TargetMode="External" Id="rId1529"/><Relationship Type="http://schemas.openxmlformats.org/officeDocument/2006/relationships/hyperlink" Target="https://leandergrech.github.io/Mizien/claims/CC-106/" TargetMode="External" Id="rId1530"/><Relationship Type="http://schemas.openxmlformats.org/officeDocument/2006/relationships/hyperlink" Target="https://leandergrech.github.io/Mizien/claims/CC-106/" TargetMode="External" Id="rId1531"/><Relationship Type="http://schemas.openxmlformats.org/officeDocument/2006/relationships/hyperlink" Target="https://leandergrech.github.io/Mizien/claims/CC-106/" TargetMode="External" Id="rId1532"/><Relationship Type="http://schemas.openxmlformats.org/officeDocument/2006/relationships/hyperlink" Target="https://leandergrech.github.io/Mizien/claims/CC-109/" TargetMode="External" Id="rId1533"/><Relationship Type="http://schemas.openxmlformats.org/officeDocument/2006/relationships/hyperlink" Target="https://leandergrech.github.io/Mizien/claims/CC-109/" TargetMode="External" Id="rId1534"/><Relationship Type="http://schemas.openxmlformats.org/officeDocument/2006/relationships/hyperlink" Target="https://leandergrech.github.io/Mizien/claims/CC-109/" TargetMode="External" Id="rId1535"/><Relationship Type="http://schemas.openxmlformats.org/officeDocument/2006/relationships/hyperlink" Target="https://leandergrech.github.io/Mizien/claims/CC-109/" TargetMode="External" Id="rId1536"/><Relationship Type="http://schemas.openxmlformats.org/officeDocument/2006/relationships/hyperlink" Target="https://leandergrech.github.io/Mizien/claims/CC-109/" TargetMode="External" Id="rId1537"/><Relationship Type="http://schemas.openxmlformats.org/officeDocument/2006/relationships/hyperlink" Target="https://leandergrech.github.io/Mizien/claims/CC-109/" TargetMode="External" Id="rId1538"/><Relationship Type="http://schemas.openxmlformats.org/officeDocument/2006/relationships/hyperlink" Target="https://leandergrech.github.io/Mizien/claims/CC-109/" TargetMode="External" Id="rId1539"/><Relationship Type="http://schemas.openxmlformats.org/officeDocument/2006/relationships/hyperlink" Target="https://leandergrech.github.io/Mizien/claims/CC-109/" TargetMode="External" Id="rId1540"/><Relationship Type="http://schemas.openxmlformats.org/officeDocument/2006/relationships/hyperlink" Target="https://leandergrech.github.io/Mizien/claims/CC-109/" TargetMode="External" Id="rId1541"/><Relationship Type="http://schemas.openxmlformats.org/officeDocument/2006/relationships/hyperlink" Target="https://leandergrech.github.io/Mizien/claims/CC-109/" TargetMode="External" Id="rId1542"/><Relationship Type="http://schemas.openxmlformats.org/officeDocument/2006/relationships/hyperlink" Target="https://leandergrech.github.io/Mizien/claims/CC-109/" TargetMode="External" Id="rId1543"/><Relationship Type="http://schemas.openxmlformats.org/officeDocument/2006/relationships/hyperlink" Target="https://leandergrech.github.io/Mizien/claims/CC-109/" TargetMode="External" Id="rId1544"/><Relationship Type="http://schemas.openxmlformats.org/officeDocument/2006/relationships/hyperlink" Target="https://leandergrech.github.io/Mizien/claims/CC-109/" TargetMode="External" Id="rId1545"/><Relationship Type="http://schemas.openxmlformats.org/officeDocument/2006/relationships/hyperlink" Target="https://leandergrech.github.io/Mizien/claims/CC-109/" TargetMode="External" Id="rId1546"/><Relationship Type="http://schemas.openxmlformats.org/officeDocument/2006/relationships/hyperlink" Target="https://leandergrech.github.io/Mizien/claims/CC-109/" TargetMode="External" Id="rId1547"/><Relationship Type="http://schemas.openxmlformats.org/officeDocument/2006/relationships/hyperlink" Target="https://leandergrech.github.io/Mizien/claims/CC-109/" TargetMode="External" Id="rId1548"/><Relationship Type="http://schemas.openxmlformats.org/officeDocument/2006/relationships/hyperlink" Target="https://leandergrech.github.io/Mizien/claims/CC-109/" TargetMode="External" Id="rId1549"/><Relationship Type="http://schemas.openxmlformats.org/officeDocument/2006/relationships/hyperlink" Target="https://leandergrech.github.io/Mizien/claims/CC-109/" TargetMode="External" Id="rId1550"/><Relationship Type="http://schemas.openxmlformats.org/officeDocument/2006/relationships/hyperlink" Target="https://leandergrech.github.io/Mizien/claims/CC-109/" TargetMode="External" Id="rId1551"/><Relationship Type="http://schemas.openxmlformats.org/officeDocument/2006/relationships/hyperlink" Target="https://leandergrech.github.io/Mizien/claims/CC-109/" TargetMode="External" Id="rId1552"/><Relationship Type="http://schemas.openxmlformats.org/officeDocument/2006/relationships/hyperlink" Target="https://leandergrech.github.io/Mizien/claims/CC-109/" TargetMode="External" Id="rId1553"/><Relationship Type="http://schemas.openxmlformats.org/officeDocument/2006/relationships/hyperlink" Target="https://leandergrech.github.io/Mizien/claims/CC-109/" TargetMode="External" Id="rId1554"/><Relationship Type="http://schemas.openxmlformats.org/officeDocument/2006/relationships/hyperlink" Target="https://leandergrech.github.io/Mizien/claims/CC-109/" TargetMode="External" Id="rId1555"/><Relationship Type="http://schemas.openxmlformats.org/officeDocument/2006/relationships/hyperlink" Target="https://leandergrech.github.io/Mizien/claims/CC-109/" TargetMode="External" Id="rId1556"/><Relationship Type="http://schemas.openxmlformats.org/officeDocument/2006/relationships/hyperlink" Target="https://leandergrech.github.io/Mizien/claims/CC-109/" TargetMode="External" Id="rId1557"/><Relationship Type="http://schemas.openxmlformats.org/officeDocument/2006/relationships/hyperlink" Target="https://leandergrech.github.io/Mizien/claims/CC-109/" TargetMode="External" Id="rId1558"/><Relationship Type="http://schemas.openxmlformats.org/officeDocument/2006/relationships/hyperlink" Target="https://leandergrech.github.io/Mizien/claims/CC-109/" TargetMode="External" Id="rId1559"/><Relationship Type="http://schemas.openxmlformats.org/officeDocument/2006/relationships/hyperlink" Target="https://leandergrech.github.io/Mizien/claims/CC-109/" TargetMode="External" Id="rId1560"/><Relationship Type="http://schemas.openxmlformats.org/officeDocument/2006/relationships/hyperlink" Target="https://leandergrech.github.io/Mizien/claims/CC-109/" TargetMode="External" Id="rId1561"/><Relationship Type="http://schemas.openxmlformats.org/officeDocument/2006/relationships/hyperlink" Target="https://leandergrech.github.io/Mizien/claims/CC-109/" TargetMode="External" Id="rId1562"/><Relationship Type="http://schemas.openxmlformats.org/officeDocument/2006/relationships/hyperlink" Target="https://leandergrech.github.io/Mizien/claims/CC-109/" TargetMode="External" Id="rId1563"/><Relationship Type="http://schemas.openxmlformats.org/officeDocument/2006/relationships/hyperlink" Target="https://leandergrech.github.io/Mizien/claims/CC-109/" TargetMode="External" Id="rId1564"/><Relationship Type="http://schemas.openxmlformats.org/officeDocument/2006/relationships/hyperlink" Target="https://leandergrech.github.io/Mizien/claims/CC-109/" TargetMode="External" Id="rId1565"/><Relationship Type="http://schemas.openxmlformats.org/officeDocument/2006/relationships/hyperlink" Target="https://leandergrech.github.io/Mizien/claims/CC-109/" TargetMode="External" Id="rId1566"/><Relationship Type="http://schemas.openxmlformats.org/officeDocument/2006/relationships/hyperlink" Target="https://leandergrech.github.io/Mizien/claims/CC-109/" TargetMode="External" Id="rId1567"/><Relationship Type="http://schemas.openxmlformats.org/officeDocument/2006/relationships/hyperlink" Target="https://leandergrech.github.io/Mizien/claims/CC-109/" TargetMode="External" Id="rId1568"/><Relationship Type="http://schemas.openxmlformats.org/officeDocument/2006/relationships/hyperlink" Target="https://leandergrech.github.io/Mizien/claims/CC-109/" TargetMode="External" Id="rId1569"/><Relationship Type="http://schemas.openxmlformats.org/officeDocument/2006/relationships/hyperlink" Target="https://leandergrech.github.io/Mizien/claims/CC-109/" TargetMode="External" Id="rId1570"/><Relationship Type="http://schemas.openxmlformats.org/officeDocument/2006/relationships/hyperlink" Target="https://leandergrech.github.io/Mizien/claims/CC-109/" TargetMode="External" Id="rId1571"/><Relationship Type="http://schemas.openxmlformats.org/officeDocument/2006/relationships/hyperlink" Target="https://leandergrech.github.io/Mizien/claims/CC-109/" TargetMode="External" Id="rId1572"/><Relationship Type="http://schemas.openxmlformats.org/officeDocument/2006/relationships/hyperlink" Target="https://leandergrech.github.io/Mizien/claims/CC-109/" TargetMode="External" Id="rId1573"/><Relationship Type="http://schemas.openxmlformats.org/officeDocument/2006/relationships/hyperlink" Target="https://leandergrech.github.io/Mizien/claims/CC-109/" TargetMode="External" Id="rId1574"/><Relationship Type="http://schemas.openxmlformats.org/officeDocument/2006/relationships/hyperlink" Target="https://leandergrech.github.io/Mizien/claims/CC-109/" TargetMode="External" Id="rId1575"/><Relationship Type="http://schemas.openxmlformats.org/officeDocument/2006/relationships/hyperlink" Target="https://leandergrech.github.io/Mizien/claims/CC-109/" TargetMode="External" Id="rId1576"/><Relationship Type="http://schemas.openxmlformats.org/officeDocument/2006/relationships/hyperlink" Target="https://leandergrech.github.io/Mizien/claims/CC-109/" TargetMode="External" Id="rId1577"/><Relationship Type="http://schemas.openxmlformats.org/officeDocument/2006/relationships/hyperlink" Target="https://leandergrech.github.io/Mizien/claims/CC-109/" TargetMode="External" Id="rId1578"/><Relationship Type="http://schemas.openxmlformats.org/officeDocument/2006/relationships/hyperlink" Target="https://leandergrech.github.io/Mizien/claims/CC-109/" TargetMode="External" Id="rId1579"/><Relationship Type="http://schemas.openxmlformats.org/officeDocument/2006/relationships/hyperlink" Target="https://leandergrech.github.io/Mizien/claims/CC-109/" TargetMode="External" Id="rId1580"/><Relationship Type="http://schemas.openxmlformats.org/officeDocument/2006/relationships/hyperlink" Target="https://leandergrech.github.io/Mizien/claims/CC-109/" TargetMode="External" Id="rId1581"/><Relationship Type="http://schemas.openxmlformats.org/officeDocument/2006/relationships/hyperlink" Target="https://leandergrech.github.io/Mizien/claims/CC-109/" TargetMode="External" Id="rId1582"/><Relationship Type="http://schemas.openxmlformats.org/officeDocument/2006/relationships/hyperlink" Target="https://leandergrech.github.io/Mizien/claims/CC-109/" TargetMode="External" Id="rId1583"/><Relationship Type="http://schemas.openxmlformats.org/officeDocument/2006/relationships/hyperlink" Target="https://leandergrech.github.io/Mizien/claims/CC-109/" TargetMode="External" Id="rId1584"/><Relationship Type="http://schemas.openxmlformats.org/officeDocument/2006/relationships/hyperlink" Target="https://leandergrech.github.io/Mizien/claims/CC-109/" TargetMode="External" Id="rId1585"/><Relationship Type="http://schemas.openxmlformats.org/officeDocument/2006/relationships/hyperlink" Target="https://leandergrech.github.io/Mizien/claims/CC-109/" TargetMode="External" Id="rId1586"/><Relationship Type="http://schemas.openxmlformats.org/officeDocument/2006/relationships/hyperlink" Target="https://leandergrech.github.io/Mizien/claims/CC-109/" TargetMode="External" Id="rId1587"/><Relationship Type="http://schemas.openxmlformats.org/officeDocument/2006/relationships/hyperlink" Target="https://leandergrech.github.io/Mizien/claims/CC-109/" TargetMode="External" Id="rId1588"/><Relationship Type="http://schemas.openxmlformats.org/officeDocument/2006/relationships/hyperlink" Target="https://leandergrech.github.io/Mizien/claims/CC-110/" TargetMode="External" Id="rId1589"/><Relationship Type="http://schemas.openxmlformats.org/officeDocument/2006/relationships/hyperlink" Target="https://leandergrech.github.io/Mizien/claims/CC-110/" TargetMode="External" Id="rId1590"/><Relationship Type="http://schemas.openxmlformats.org/officeDocument/2006/relationships/hyperlink" Target="https://leandergrech.github.io/Mizien/claims/CC-110/" TargetMode="External" Id="rId1591"/><Relationship Type="http://schemas.openxmlformats.org/officeDocument/2006/relationships/hyperlink" Target="https://leandergrech.github.io/Mizien/claims/CC-110/" TargetMode="External" Id="rId1592"/><Relationship Type="http://schemas.openxmlformats.org/officeDocument/2006/relationships/hyperlink" Target="https://leandergrech.github.io/Mizien/claims/CC-110/" TargetMode="External" Id="rId1593"/><Relationship Type="http://schemas.openxmlformats.org/officeDocument/2006/relationships/hyperlink" Target="https://leandergrech.github.io/Mizien/claims/CC-110/" TargetMode="External" Id="rId1594"/><Relationship Type="http://schemas.openxmlformats.org/officeDocument/2006/relationships/hyperlink" Target="https://leandergrech.github.io/Mizien/claims/CC-110/" TargetMode="External" Id="rId1595"/><Relationship Type="http://schemas.openxmlformats.org/officeDocument/2006/relationships/hyperlink" Target="https://leandergrech.github.io/Mizien/claims/CC-110/" TargetMode="External" Id="rId1596"/><Relationship Type="http://schemas.openxmlformats.org/officeDocument/2006/relationships/hyperlink" Target="https://leandergrech.github.io/Mizien/claims/CC-110/" TargetMode="External" Id="rId1597"/><Relationship Type="http://schemas.openxmlformats.org/officeDocument/2006/relationships/hyperlink" Target="https://leandergrech.github.io/Mizien/claims/CC-110/" TargetMode="External" Id="rId1598"/><Relationship Type="http://schemas.openxmlformats.org/officeDocument/2006/relationships/hyperlink" Target="https://leandergrech.github.io/Mizien/claims/CC-110/" TargetMode="External" Id="rId1599"/><Relationship Type="http://schemas.openxmlformats.org/officeDocument/2006/relationships/hyperlink" Target="https://leandergrech.github.io/Mizien/claims/CC-110/" TargetMode="External" Id="rId1600"/><Relationship Type="http://schemas.openxmlformats.org/officeDocument/2006/relationships/hyperlink" Target="https://leandergrech.github.io/Mizien/claims/CC-110/" TargetMode="External" Id="rId1601"/><Relationship Type="http://schemas.openxmlformats.org/officeDocument/2006/relationships/hyperlink" Target="https://leandergrech.github.io/Mizien/claims/CC-110/" TargetMode="External" Id="rId1602"/><Relationship Type="http://schemas.openxmlformats.org/officeDocument/2006/relationships/hyperlink" Target="https://leandergrech.github.io/Mizien/claims/CC-110/" TargetMode="External" Id="rId1603"/><Relationship Type="http://schemas.openxmlformats.org/officeDocument/2006/relationships/hyperlink" Target="https://leandergrech.github.io/Mizien/claims/CC-110/" TargetMode="External" Id="rId1604"/><Relationship Type="http://schemas.openxmlformats.org/officeDocument/2006/relationships/hyperlink" Target="https://leandergrech.github.io/Mizien/claims/CC-110/" TargetMode="External" Id="rId1605"/><Relationship Type="http://schemas.openxmlformats.org/officeDocument/2006/relationships/hyperlink" Target="https://leandergrech.github.io/Mizien/claims/CC-110/" TargetMode="External" Id="rId1606"/><Relationship Type="http://schemas.openxmlformats.org/officeDocument/2006/relationships/hyperlink" Target="https://leandergrech.github.io/Mizien/claims/CC-110/" TargetMode="External" Id="rId1607"/><Relationship Type="http://schemas.openxmlformats.org/officeDocument/2006/relationships/hyperlink" Target="https://leandergrech.github.io/Mizien/claims/CC-110/" TargetMode="External" Id="rId1608"/><Relationship Type="http://schemas.openxmlformats.org/officeDocument/2006/relationships/hyperlink" Target="https://leandergrech.github.io/Mizien/claims/CC-110/" TargetMode="External" Id="rId1609"/><Relationship Type="http://schemas.openxmlformats.org/officeDocument/2006/relationships/hyperlink" Target="https://leandergrech.github.io/Mizien/claims/CC-110/" TargetMode="External" Id="rId1610"/><Relationship Type="http://schemas.openxmlformats.org/officeDocument/2006/relationships/hyperlink" Target="https://leandergrech.github.io/Mizien/claims/CC-111/" TargetMode="External" Id="rId1611"/><Relationship Type="http://schemas.openxmlformats.org/officeDocument/2006/relationships/hyperlink" Target="https://leandergrech.github.io/Mizien/claims/CC-111/" TargetMode="External" Id="rId1612"/><Relationship Type="http://schemas.openxmlformats.org/officeDocument/2006/relationships/hyperlink" Target="https://leandergrech.github.io/Mizien/claims/CC-111/" TargetMode="External" Id="rId1613"/><Relationship Type="http://schemas.openxmlformats.org/officeDocument/2006/relationships/hyperlink" Target="https://leandergrech.github.io/Mizien/claims/CC-111/" TargetMode="External" Id="rId1614"/><Relationship Type="http://schemas.openxmlformats.org/officeDocument/2006/relationships/hyperlink" Target="https://leandergrech.github.io/Mizien/claims/CC-111/" TargetMode="External" Id="rId1615"/><Relationship Type="http://schemas.openxmlformats.org/officeDocument/2006/relationships/hyperlink" Target="https://leandergrech.github.io/Mizien/claims/CC-111/" TargetMode="External" Id="rId1616"/><Relationship Type="http://schemas.openxmlformats.org/officeDocument/2006/relationships/hyperlink" Target="https://leandergrech.github.io/Mizien/claims/CC-111/" TargetMode="External" Id="rId1617"/><Relationship Type="http://schemas.openxmlformats.org/officeDocument/2006/relationships/hyperlink" Target="https://leandergrech.github.io/Mizien/claims/CC-111/" TargetMode="External" Id="rId1618"/><Relationship Type="http://schemas.openxmlformats.org/officeDocument/2006/relationships/hyperlink" Target="https://leandergrech.github.io/Mizien/claims/CC-111/" TargetMode="External" Id="rId1619"/><Relationship Type="http://schemas.openxmlformats.org/officeDocument/2006/relationships/hyperlink" Target="https://leandergrech.github.io/Mizien/claims/CC-111/" TargetMode="External" Id="rId1620"/><Relationship Type="http://schemas.openxmlformats.org/officeDocument/2006/relationships/hyperlink" Target="https://leandergrech.github.io/Mizien/claims/CC-111/" TargetMode="External" Id="rId1621"/><Relationship Type="http://schemas.openxmlformats.org/officeDocument/2006/relationships/hyperlink" Target="https://leandergrech.github.io/Mizien/claims/CC-111/" TargetMode="External" Id="rId1622"/><Relationship Type="http://schemas.openxmlformats.org/officeDocument/2006/relationships/hyperlink" Target="https://leandergrech.github.io/Mizien/claims/CC-111/" TargetMode="External" Id="rId1623"/><Relationship Type="http://schemas.openxmlformats.org/officeDocument/2006/relationships/hyperlink" Target="https://leandergrech.github.io/Mizien/claims/CC-111/" TargetMode="External" Id="rId1624"/><Relationship Type="http://schemas.openxmlformats.org/officeDocument/2006/relationships/hyperlink" Target="https://leandergrech.github.io/Mizien/claims/CC-111/" TargetMode="External" Id="rId1625"/><Relationship Type="http://schemas.openxmlformats.org/officeDocument/2006/relationships/hyperlink" Target="https://leandergrech.github.io/Mizien/claims/CC-111/" TargetMode="External" Id="rId1626"/><Relationship Type="http://schemas.openxmlformats.org/officeDocument/2006/relationships/hyperlink" Target="https://leandergrech.github.io/Mizien/claims/CC-111/" TargetMode="External" Id="rId1627"/><Relationship Type="http://schemas.openxmlformats.org/officeDocument/2006/relationships/hyperlink" Target="https://leandergrech.github.io/Mizien/claims/CC-111/" TargetMode="External" Id="rId1628"/><Relationship Type="http://schemas.openxmlformats.org/officeDocument/2006/relationships/hyperlink" Target="https://leandergrech.github.io/Mizien/claims/CC-111/" TargetMode="External" Id="rId1629"/><Relationship Type="http://schemas.openxmlformats.org/officeDocument/2006/relationships/hyperlink" Target="https://leandergrech.github.io/Mizien/claims/CC-111/" TargetMode="External" Id="rId1630"/><Relationship Type="http://schemas.openxmlformats.org/officeDocument/2006/relationships/hyperlink" Target="https://leandergrech.github.io/Mizien/claims/CC-111/" TargetMode="External" Id="rId1631"/><Relationship Type="http://schemas.openxmlformats.org/officeDocument/2006/relationships/hyperlink" Target="https://leandergrech.github.io/Mizien/claims/CC-111/" TargetMode="External" Id="rId1632"/><Relationship Type="http://schemas.openxmlformats.org/officeDocument/2006/relationships/hyperlink" Target="https://leandergrech.github.io/Mizien/claims/CC-111/" TargetMode="External" Id="rId1633"/><Relationship Type="http://schemas.openxmlformats.org/officeDocument/2006/relationships/hyperlink" Target="https://leandergrech.github.io/Mizien/claims/CC-111/" TargetMode="External" Id="rId1634"/><Relationship Type="http://schemas.openxmlformats.org/officeDocument/2006/relationships/hyperlink" Target="https://leandergrech.github.io/Mizien/claims/CC-112/" TargetMode="External" Id="rId1635"/><Relationship Type="http://schemas.openxmlformats.org/officeDocument/2006/relationships/hyperlink" Target="https://leandergrech.github.io/Mizien/claims/CC-112/" TargetMode="External" Id="rId1636"/><Relationship Type="http://schemas.openxmlformats.org/officeDocument/2006/relationships/hyperlink" Target="https://leandergrech.github.io/Mizien/claims/CC-112/" TargetMode="External" Id="rId1637"/><Relationship Type="http://schemas.openxmlformats.org/officeDocument/2006/relationships/hyperlink" Target="https://leandergrech.github.io/Mizien/claims/CC-112/" TargetMode="External" Id="rId1638"/><Relationship Type="http://schemas.openxmlformats.org/officeDocument/2006/relationships/hyperlink" Target="https://leandergrech.github.io/Mizien/claims/CC-112/" TargetMode="External" Id="rId1639"/><Relationship Type="http://schemas.openxmlformats.org/officeDocument/2006/relationships/hyperlink" Target="https://leandergrech.github.io/Mizien/claims/CC-112/" TargetMode="External" Id="rId1640"/><Relationship Type="http://schemas.openxmlformats.org/officeDocument/2006/relationships/hyperlink" Target="https://leandergrech.github.io/Mizien/claims/CC-112/" TargetMode="External" Id="rId1641"/><Relationship Type="http://schemas.openxmlformats.org/officeDocument/2006/relationships/hyperlink" Target="https://leandergrech.github.io/Mizien/claims/CC-112/" TargetMode="External" Id="rId1642"/><Relationship Type="http://schemas.openxmlformats.org/officeDocument/2006/relationships/hyperlink" Target="https://leandergrech.github.io/Mizien/claims/CC-112/" TargetMode="External" Id="rId1643"/><Relationship Type="http://schemas.openxmlformats.org/officeDocument/2006/relationships/hyperlink" Target="https://leandergrech.github.io/Mizien/claims/CC-112/" TargetMode="External" Id="rId1644"/><Relationship Type="http://schemas.openxmlformats.org/officeDocument/2006/relationships/hyperlink" Target="https://leandergrech.github.io/Mizien/claims/CC-112/" TargetMode="External" Id="rId1645"/><Relationship Type="http://schemas.openxmlformats.org/officeDocument/2006/relationships/hyperlink" Target="https://leandergrech.github.io/Mizien/claims/CC-112/" TargetMode="External" Id="rId1646"/><Relationship Type="http://schemas.openxmlformats.org/officeDocument/2006/relationships/hyperlink" Target="https://leandergrech.github.io/Mizien/claims/CC-112/" TargetMode="External" Id="rId1647"/><Relationship Type="http://schemas.openxmlformats.org/officeDocument/2006/relationships/hyperlink" Target="https://leandergrech.github.io/Mizien/claims/CC-112/" TargetMode="External" Id="rId1648"/><Relationship Type="http://schemas.openxmlformats.org/officeDocument/2006/relationships/hyperlink" Target="https://leandergrech.github.io/Mizien/claims/CC-112/" TargetMode="External" Id="rId1649"/><Relationship Type="http://schemas.openxmlformats.org/officeDocument/2006/relationships/hyperlink" Target="https://leandergrech.github.io/Mizien/claims/CC-113/" TargetMode="External" Id="rId1650"/><Relationship Type="http://schemas.openxmlformats.org/officeDocument/2006/relationships/hyperlink" Target="https://leandergrech.github.io/Mizien/claims/CC-113/" TargetMode="External" Id="rId1651"/><Relationship Type="http://schemas.openxmlformats.org/officeDocument/2006/relationships/hyperlink" Target="https://leandergrech.github.io/Mizien/claims/CC-113/" TargetMode="External" Id="rId1652"/><Relationship Type="http://schemas.openxmlformats.org/officeDocument/2006/relationships/hyperlink" Target="https://leandergrech.github.io/Mizien/claims/CC-113/" TargetMode="External" Id="rId1653"/><Relationship Type="http://schemas.openxmlformats.org/officeDocument/2006/relationships/hyperlink" Target="https://leandergrech.github.io/Mizien/claims/CC-113/" TargetMode="External" Id="rId1654"/><Relationship Type="http://schemas.openxmlformats.org/officeDocument/2006/relationships/hyperlink" Target="https://leandergrech.github.io/Mizien/claims/CC-113/" TargetMode="External" Id="rId1655"/><Relationship Type="http://schemas.openxmlformats.org/officeDocument/2006/relationships/hyperlink" Target="https://leandergrech.github.io/Mizien/claims/CC-113/" TargetMode="External" Id="rId1656"/><Relationship Type="http://schemas.openxmlformats.org/officeDocument/2006/relationships/hyperlink" Target="https://leandergrech.github.io/Mizien/claims/CC-113/" TargetMode="External" Id="rId1657"/><Relationship Type="http://schemas.openxmlformats.org/officeDocument/2006/relationships/hyperlink" Target="https://leandergrech.github.io/Mizien/claims/CC-113/" TargetMode="External" Id="rId1658"/><Relationship Type="http://schemas.openxmlformats.org/officeDocument/2006/relationships/hyperlink" Target="https://leandergrech.github.io/Mizien/claims/CC-113/" TargetMode="External" Id="rId1659"/><Relationship Type="http://schemas.openxmlformats.org/officeDocument/2006/relationships/hyperlink" Target="https://leandergrech.github.io/Mizien/claims/CC-113/" TargetMode="External" Id="rId1660"/><Relationship Type="http://schemas.openxmlformats.org/officeDocument/2006/relationships/hyperlink" Target="https://leandergrech.github.io/Mizien/claims/CC-113/" TargetMode="External" Id="rId1661"/><Relationship Type="http://schemas.openxmlformats.org/officeDocument/2006/relationships/hyperlink" Target="https://leandergrech.github.io/Mizien/claims/CC-113/" TargetMode="External" Id="rId1662"/><Relationship Type="http://schemas.openxmlformats.org/officeDocument/2006/relationships/hyperlink" Target="https://leandergrech.github.io/Mizien/claims/CC-113/" TargetMode="External" Id="rId1663"/><Relationship Type="http://schemas.openxmlformats.org/officeDocument/2006/relationships/hyperlink" Target="https://leandergrech.github.io/Mizien/claims/CC-113/" TargetMode="External" Id="rId1664"/><Relationship Type="http://schemas.openxmlformats.org/officeDocument/2006/relationships/hyperlink" Target="https://leandergrech.github.io/Mizien/claims/CC-113/" TargetMode="External" Id="rId1665"/><Relationship Type="http://schemas.openxmlformats.org/officeDocument/2006/relationships/hyperlink" Target="https://leandergrech.github.io/Mizien/claims/CC-113/" TargetMode="External" Id="rId1666"/><Relationship Type="http://schemas.openxmlformats.org/officeDocument/2006/relationships/hyperlink" Target="https://leandergrech.github.io/Mizien/claims/CC-113/" TargetMode="External" Id="rId1667"/><Relationship Type="http://schemas.openxmlformats.org/officeDocument/2006/relationships/hyperlink" Target="https://leandergrech.github.io/Mizien/claims/CC-113/" TargetMode="External" Id="rId1668"/><Relationship Type="http://schemas.openxmlformats.org/officeDocument/2006/relationships/hyperlink" Target="https://leandergrech.github.io/Mizien/claims/CC-113/" TargetMode="External" Id="rId1669"/><Relationship Type="http://schemas.openxmlformats.org/officeDocument/2006/relationships/hyperlink" Target="https://leandergrech.github.io/Mizien/claims/CC-113/" TargetMode="External" Id="rId1670"/><Relationship Type="http://schemas.openxmlformats.org/officeDocument/2006/relationships/hyperlink" Target="https://leandergrech.github.io/Mizien/claims/CC-113/" TargetMode="External" Id="rId1671"/><Relationship Type="http://schemas.openxmlformats.org/officeDocument/2006/relationships/hyperlink" Target="https://leandergrech.github.io/Mizien/claims/CC-113/" TargetMode="External" Id="rId1672"/><Relationship Type="http://schemas.openxmlformats.org/officeDocument/2006/relationships/hyperlink" Target="https://leandergrech.github.io/Mizien/claims/CC-113/" TargetMode="External" Id="rId1673"/><Relationship Type="http://schemas.openxmlformats.org/officeDocument/2006/relationships/hyperlink" Target="https://leandergrech.github.io/Mizien/claims/CC-113/" TargetMode="External" Id="rId1674"/><Relationship Type="http://schemas.openxmlformats.org/officeDocument/2006/relationships/hyperlink" Target="https://leandergrech.github.io/Mizien/claims/CC-113/" TargetMode="External" Id="rId1675"/><Relationship Type="http://schemas.openxmlformats.org/officeDocument/2006/relationships/hyperlink" Target="https://leandergrech.github.io/Mizien/claims/CC-113/" TargetMode="External" Id="rId1676"/><Relationship Type="http://schemas.openxmlformats.org/officeDocument/2006/relationships/hyperlink" Target="https://leandergrech.github.io/Mizien/claims/CC-113/" TargetMode="External" Id="rId1677"/><Relationship Type="http://schemas.openxmlformats.org/officeDocument/2006/relationships/hyperlink" Target="https://leandergrech.github.io/Mizien/claims/CC-113/" TargetMode="External" Id="rId1678"/><Relationship Type="http://schemas.openxmlformats.org/officeDocument/2006/relationships/hyperlink" Target="https://leandergrech.github.io/Mizien/claims/CC-113/" TargetMode="External" Id="rId1679"/><Relationship Type="http://schemas.openxmlformats.org/officeDocument/2006/relationships/hyperlink" Target="https://leandergrech.github.io/Mizien/claims/CC-113/" TargetMode="External" Id="rId1680"/><Relationship Type="http://schemas.openxmlformats.org/officeDocument/2006/relationships/hyperlink" Target="https://leandergrech.github.io/Mizien/claims/CC-113/" TargetMode="External" Id="rId1681"/><Relationship Type="http://schemas.openxmlformats.org/officeDocument/2006/relationships/hyperlink" Target="https://leandergrech.github.io/Mizien/claims/CC-113/" TargetMode="External" Id="rId1682"/><Relationship Type="http://schemas.openxmlformats.org/officeDocument/2006/relationships/hyperlink" Target="https://leandergrech.github.io/Mizien/claims/CC-113/" TargetMode="External" Id="rId1683"/><Relationship Type="http://schemas.openxmlformats.org/officeDocument/2006/relationships/hyperlink" Target="https://leandergrech.github.io/Mizien/claims/CC-113/" TargetMode="External" Id="rId1684"/><Relationship Type="http://schemas.openxmlformats.org/officeDocument/2006/relationships/hyperlink" Target="https://leandergrech.github.io/Mizien/claims/CC-113/" TargetMode="External" Id="rId1685"/><Relationship Type="http://schemas.openxmlformats.org/officeDocument/2006/relationships/hyperlink" Target="https://leandergrech.github.io/Mizien/claims/CC-113/" TargetMode="External" Id="rId1686"/><Relationship Type="http://schemas.openxmlformats.org/officeDocument/2006/relationships/hyperlink" Target="https://leandergrech.github.io/Mizien/claims/CC-113/" TargetMode="External" Id="rId1687"/><Relationship Type="http://schemas.openxmlformats.org/officeDocument/2006/relationships/hyperlink" Target="https://leandergrech.github.io/Mizien/claims/CC-113/" TargetMode="External" Id="rId1688"/><Relationship Type="http://schemas.openxmlformats.org/officeDocument/2006/relationships/hyperlink" Target="https://leandergrech.github.io/Mizien/claims/CC-113/" TargetMode="External" Id="rId1689"/><Relationship Type="http://schemas.openxmlformats.org/officeDocument/2006/relationships/hyperlink" Target="https://leandergrech.github.io/Mizien/claims/CC-113/" TargetMode="External" Id="rId1690"/><Relationship Type="http://schemas.openxmlformats.org/officeDocument/2006/relationships/hyperlink" Target="https://leandergrech.github.io/Mizien/claims/CC-113/" TargetMode="External" Id="rId1691"/><Relationship Type="http://schemas.openxmlformats.org/officeDocument/2006/relationships/hyperlink" Target="https://leandergrech.github.io/Mizien/claims/CC-113/" TargetMode="External" Id="rId1692"/><Relationship Type="http://schemas.openxmlformats.org/officeDocument/2006/relationships/hyperlink" Target="https://leandergrech.github.io/Mizien/claims/CC-113/" TargetMode="External" Id="rId1693"/><Relationship Type="http://schemas.openxmlformats.org/officeDocument/2006/relationships/hyperlink" Target="https://leandergrech.github.io/Mizien/claims/CC-113/" TargetMode="External" Id="rId1694"/><Relationship Type="http://schemas.openxmlformats.org/officeDocument/2006/relationships/hyperlink" Target="https://leandergrech.github.io/Mizien/claims/CC-113/" TargetMode="External" Id="rId1695"/><Relationship Type="http://schemas.openxmlformats.org/officeDocument/2006/relationships/hyperlink" Target="https://leandergrech.github.io/Mizien/claims/CC-113/" TargetMode="External" Id="rId1696"/><Relationship Type="http://schemas.openxmlformats.org/officeDocument/2006/relationships/hyperlink" Target="https://leandergrech.github.io/Mizien/claims/CC-113/" TargetMode="External" Id="rId1697"/><Relationship Type="http://schemas.openxmlformats.org/officeDocument/2006/relationships/hyperlink" Target="https://leandergrech.github.io/Mizien/claims/CC-113/" TargetMode="External" Id="rId1698"/><Relationship Type="http://schemas.openxmlformats.org/officeDocument/2006/relationships/hyperlink" Target="https://leandergrech.github.io/Mizien/claims/CC-113/" TargetMode="External" Id="rId1699"/><Relationship Type="http://schemas.openxmlformats.org/officeDocument/2006/relationships/hyperlink" Target="https://leandergrech.github.io/Mizien/claims/CC-113/" TargetMode="External" Id="rId1700"/><Relationship Type="http://schemas.openxmlformats.org/officeDocument/2006/relationships/hyperlink" Target="https://leandergrech.github.io/Mizien/claims/CC-113/" TargetMode="External" Id="rId1701"/><Relationship Type="http://schemas.openxmlformats.org/officeDocument/2006/relationships/hyperlink" Target="https://leandergrech.github.io/Mizien/claims/CC-113/" TargetMode="External" Id="rId1702"/><Relationship Type="http://schemas.openxmlformats.org/officeDocument/2006/relationships/hyperlink" Target="https://leandergrech.github.io/Mizien/claims/CC-113/" TargetMode="External" Id="rId1703"/><Relationship Type="http://schemas.openxmlformats.org/officeDocument/2006/relationships/hyperlink" Target="https://leandergrech.github.io/Mizien/claims/CC-113/" TargetMode="External" Id="rId1704"/><Relationship Type="http://schemas.openxmlformats.org/officeDocument/2006/relationships/hyperlink" Target="https://leandergrech.github.io/Mizien/claims/CC-113/" TargetMode="External" Id="rId1705"/><Relationship Type="http://schemas.openxmlformats.org/officeDocument/2006/relationships/hyperlink" Target="https://leandergrech.github.io/Mizien/claims/CC-113/" TargetMode="External" Id="rId1706"/><Relationship Type="http://schemas.openxmlformats.org/officeDocument/2006/relationships/hyperlink" Target="https://leandergrech.github.io/Mizien/claims/CC-113/" TargetMode="External" Id="rId1707"/><Relationship Type="http://schemas.openxmlformats.org/officeDocument/2006/relationships/hyperlink" Target="https://leandergrech.github.io/Mizien/claims/CC-113/" TargetMode="External" Id="rId1708"/><Relationship Type="http://schemas.openxmlformats.org/officeDocument/2006/relationships/hyperlink" Target="https://leandergrech.github.io/Mizien/claims/CC-113/" TargetMode="External" Id="rId1709"/><Relationship Type="http://schemas.openxmlformats.org/officeDocument/2006/relationships/hyperlink" Target="https://leandergrech.github.io/Mizien/claims/CC-113/" TargetMode="External" Id="rId1710"/><Relationship Type="http://schemas.openxmlformats.org/officeDocument/2006/relationships/hyperlink" Target="https://leandergrech.github.io/Mizien/claims/CC-113/" TargetMode="External" Id="rId1711"/><Relationship Type="http://schemas.openxmlformats.org/officeDocument/2006/relationships/hyperlink" Target="https://leandergrech.github.io/Mizien/claims/CC-113/" TargetMode="External" Id="rId1712"/><Relationship Type="http://schemas.openxmlformats.org/officeDocument/2006/relationships/hyperlink" Target="https://leandergrech.github.io/Mizien/claims/CC-113/" TargetMode="External" Id="rId1713"/><Relationship Type="http://schemas.openxmlformats.org/officeDocument/2006/relationships/hyperlink" Target="https://leandergrech.github.io/Mizien/claims/CC-113/" TargetMode="External" Id="rId1714"/><Relationship Type="http://schemas.openxmlformats.org/officeDocument/2006/relationships/hyperlink" Target="https://leandergrech.github.io/Mizien/claims/CC-113/" TargetMode="External" Id="rId1715"/><Relationship Type="http://schemas.openxmlformats.org/officeDocument/2006/relationships/hyperlink" Target="https://leandergrech.github.io/Mizien/claims/CC-113/" TargetMode="External" Id="rId1716"/><Relationship Type="http://schemas.openxmlformats.org/officeDocument/2006/relationships/hyperlink" Target="https://leandergrech.github.io/Mizien/claims/CC-113/" TargetMode="External" Id="rId1717"/><Relationship Type="http://schemas.openxmlformats.org/officeDocument/2006/relationships/hyperlink" Target="https://leandergrech.github.io/Mizien/claims/CC-113/" TargetMode="External" Id="rId1718"/><Relationship Type="http://schemas.openxmlformats.org/officeDocument/2006/relationships/hyperlink" Target="https://leandergrech.github.io/Mizien/claims/CC-113/" TargetMode="External" Id="rId1719"/><Relationship Type="http://schemas.openxmlformats.org/officeDocument/2006/relationships/hyperlink" Target="https://leandergrech.github.io/Mizien/claims/CC-113/" TargetMode="External" Id="rId1720"/><Relationship Type="http://schemas.openxmlformats.org/officeDocument/2006/relationships/hyperlink" Target="https://leandergrech.github.io/Mizien/claims/CC-113/" TargetMode="External" Id="rId1721"/><Relationship Type="http://schemas.openxmlformats.org/officeDocument/2006/relationships/hyperlink" Target="https://leandergrech.github.io/Mizien/claims/CC-113/" TargetMode="External" Id="rId1722"/><Relationship Type="http://schemas.openxmlformats.org/officeDocument/2006/relationships/hyperlink" Target="https://leandergrech.github.io/Mizien/claims/CC-113/" TargetMode="External" Id="rId1723"/><Relationship Type="http://schemas.openxmlformats.org/officeDocument/2006/relationships/hyperlink" Target="https://leandergrech.github.io/Mizien/claims/CC-113/" TargetMode="External" Id="rId1724"/><Relationship Type="http://schemas.openxmlformats.org/officeDocument/2006/relationships/hyperlink" Target="https://leandergrech.github.io/Mizien/claims/CC-113/" TargetMode="External" Id="rId1725"/><Relationship Type="http://schemas.openxmlformats.org/officeDocument/2006/relationships/hyperlink" Target="https://leandergrech.github.io/Mizien/claims/CC-113/" TargetMode="External" Id="rId1726"/><Relationship Type="http://schemas.openxmlformats.org/officeDocument/2006/relationships/hyperlink" Target="https://leandergrech.github.io/Mizien/claims/CC-113/" TargetMode="External" Id="rId1727"/><Relationship Type="http://schemas.openxmlformats.org/officeDocument/2006/relationships/hyperlink" Target="https://leandergrech.github.io/Mizien/claims/CC-113/" TargetMode="External" Id="rId1728"/><Relationship Type="http://schemas.openxmlformats.org/officeDocument/2006/relationships/hyperlink" Target="https://leandergrech.github.io/Mizien/claims/CC-113/" TargetMode="External" Id="rId1729"/><Relationship Type="http://schemas.openxmlformats.org/officeDocument/2006/relationships/hyperlink" Target="https://leandergrech.github.io/Mizien/claims/CC-113/" TargetMode="External" Id="rId1730"/><Relationship Type="http://schemas.openxmlformats.org/officeDocument/2006/relationships/hyperlink" Target="https://leandergrech.github.io/Mizien/claims/CC-113/" TargetMode="External" Id="rId1731"/><Relationship Type="http://schemas.openxmlformats.org/officeDocument/2006/relationships/hyperlink" Target="https://leandergrech.github.io/Mizien/claims/CC-113/" TargetMode="External" Id="rId1732"/><Relationship Type="http://schemas.openxmlformats.org/officeDocument/2006/relationships/hyperlink" Target="https://leandergrech.github.io/Mizien/claims/CC-113/" TargetMode="External" Id="rId1733"/><Relationship Type="http://schemas.openxmlformats.org/officeDocument/2006/relationships/hyperlink" Target="https://leandergrech.github.io/Mizien/claims/CC-113/" TargetMode="External" Id="rId1734"/><Relationship Type="http://schemas.openxmlformats.org/officeDocument/2006/relationships/hyperlink" Target="https://leandergrech.github.io/Mizien/claims/CC-113/" TargetMode="External" Id="rId1735"/><Relationship Type="http://schemas.openxmlformats.org/officeDocument/2006/relationships/hyperlink" Target="https://leandergrech.github.io/Mizien/claims/CC-113/" TargetMode="External" Id="rId1736"/><Relationship Type="http://schemas.openxmlformats.org/officeDocument/2006/relationships/hyperlink" Target="https://leandergrech.github.io/Mizien/claims/CC-113/" TargetMode="External" Id="rId1737"/><Relationship Type="http://schemas.openxmlformats.org/officeDocument/2006/relationships/hyperlink" Target="https://leandergrech.github.io/Mizien/claims/CC-113/" TargetMode="External" Id="rId1738"/><Relationship Type="http://schemas.openxmlformats.org/officeDocument/2006/relationships/hyperlink" Target="https://leandergrech.github.io/Mizien/claims/CC-114/" TargetMode="External" Id="rId1739"/><Relationship Type="http://schemas.openxmlformats.org/officeDocument/2006/relationships/hyperlink" Target="https://leandergrech.github.io/Mizien/claims/CC-114/" TargetMode="External" Id="rId1740"/><Relationship Type="http://schemas.openxmlformats.org/officeDocument/2006/relationships/hyperlink" Target="https://leandergrech.github.io/Mizien/claims/CC-114/" TargetMode="External" Id="rId1741"/><Relationship Type="http://schemas.openxmlformats.org/officeDocument/2006/relationships/hyperlink" Target="https://leandergrech.github.io/Mizien/claims/CC-114/" TargetMode="External" Id="rId1742"/><Relationship Type="http://schemas.openxmlformats.org/officeDocument/2006/relationships/hyperlink" Target="https://leandergrech.github.io/Mizien/claims/CC-114/" TargetMode="External" Id="rId1743"/><Relationship Type="http://schemas.openxmlformats.org/officeDocument/2006/relationships/hyperlink" Target="https://leandergrech.github.io/Mizien/claims/CC-114/" TargetMode="External" Id="rId1744"/><Relationship Type="http://schemas.openxmlformats.org/officeDocument/2006/relationships/hyperlink" Target="https://leandergrech.github.io/Mizien/claims/CC-114/" TargetMode="External" Id="rId1745"/><Relationship Type="http://schemas.openxmlformats.org/officeDocument/2006/relationships/hyperlink" Target="https://leandergrech.github.io/Mizien/claims/CC-114/" TargetMode="External" Id="rId1746"/><Relationship Type="http://schemas.openxmlformats.org/officeDocument/2006/relationships/hyperlink" Target="https://leandergrech.github.io/Mizien/claims/CC-114/" TargetMode="External" Id="rId1747"/><Relationship Type="http://schemas.openxmlformats.org/officeDocument/2006/relationships/hyperlink" Target="https://leandergrech.github.io/Mizien/claims/CC-114/" TargetMode="External" Id="rId1748"/><Relationship Type="http://schemas.openxmlformats.org/officeDocument/2006/relationships/hyperlink" Target="https://leandergrech.github.io/Mizien/claims/CC-114/" TargetMode="External" Id="rId1749"/><Relationship Type="http://schemas.openxmlformats.org/officeDocument/2006/relationships/hyperlink" Target="https://leandergrech.github.io/Mizien/claims/CC-114/" TargetMode="External" Id="rId1750"/><Relationship Type="http://schemas.openxmlformats.org/officeDocument/2006/relationships/hyperlink" Target="https://leandergrech.github.io/Mizien/claims/CC-114/" TargetMode="External" Id="rId1751"/><Relationship Type="http://schemas.openxmlformats.org/officeDocument/2006/relationships/hyperlink" Target="https://leandergrech.github.io/Mizien/claims/CC-114/" TargetMode="External" Id="rId1752"/><Relationship Type="http://schemas.openxmlformats.org/officeDocument/2006/relationships/hyperlink" Target="https://leandergrech.github.io/Mizien/claims/CC-114/" TargetMode="External" Id="rId1753"/><Relationship Type="http://schemas.openxmlformats.org/officeDocument/2006/relationships/hyperlink" Target="https://leandergrech.github.io/Mizien/claims/CC-114/" TargetMode="External" Id="rId1754"/><Relationship Type="http://schemas.openxmlformats.org/officeDocument/2006/relationships/hyperlink" Target="https://leandergrech.github.io/Mizien/claims/CC-114/" TargetMode="External" Id="rId1755"/><Relationship Type="http://schemas.openxmlformats.org/officeDocument/2006/relationships/hyperlink" Target="https://leandergrech.github.io/Mizien/claims/CC-114/" TargetMode="External" Id="rId1756"/><Relationship Type="http://schemas.openxmlformats.org/officeDocument/2006/relationships/hyperlink" Target="https://leandergrech.github.io/Mizien/claims/CC-114/" TargetMode="External" Id="rId1757"/><Relationship Type="http://schemas.openxmlformats.org/officeDocument/2006/relationships/hyperlink" Target="https://leandergrech.github.io/Mizien/claims/CC-114/" TargetMode="External" Id="rId1758"/><Relationship Type="http://schemas.openxmlformats.org/officeDocument/2006/relationships/hyperlink" Target="https://leandergrech.github.io/Mizien/claims/CC-114/" TargetMode="External" Id="rId1759"/><Relationship Type="http://schemas.openxmlformats.org/officeDocument/2006/relationships/hyperlink" Target="https://leandergrech.github.io/Mizien/claims/CC-114/" TargetMode="External" Id="rId1760"/><Relationship Type="http://schemas.openxmlformats.org/officeDocument/2006/relationships/hyperlink" Target="https://leandergrech.github.io/Mizien/claims/CC-114/" TargetMode="External" Id="rId1761"/><Relationship Type="http://schemas.openxmlformats.org/officeDocument/2006/relationships/hyperlink" Target="https://leandergrech.github.io/Mizien/claims/CC-114/" TargetMode="External" Id="rId1762"/><Relationship Type="http://schemas.openxmlformats.org/officeDocument/2006/relationships/hyperlink" Target="https://leandergrech.github.io/Mizien/claims/CC-114/" TargetMode="External" Id="rId1763"/><Relationship Type="http://schemas.openxmlformats.org/officeDocument/2006/relationships/hyperlink" Target="https://leandergrech.github.io/Mizien/claims/CC-114/" TargetMode="External" Id="rId1764"/><Relationship Type="http://schemas.openxmlformats.org/officeDocument/2006/relationships/hyperlink" Target="https://leandergrech.github.io/Mizien/claims/CC-114/" TargetMode="External" Id="rId1765"/><Relationship Type="http://schemas.openxmlformats.org/officeDocument/2006/relationships/hyperlink" Target="https://leandergrech.github.io/Mizien/claims/CC-114/" TargetMode="External" Id="rId1766"/><Relationship Type="http://schemas.openxmlformats.org/officeDocument/2006/relationships/hyperlink" Target="https://leandergrech.github.io/Mizien/claims/CC-114/" TargetMode="External" Id="rId1767"/><Relationship Type="http://schemas.openxmlformats.org/officeDocument/2006/relationships/hyperlink" Target="https://leandergrech.github.io/Mizien/claims/CC-114/" TargetMode="External" Id="rId1768"/><Relationship Type="http://schemas.openxmlformats.org/officeDocument/2006/relationships/hyperlink" Target="https://leandergrech.github.io/Mizien/claims/CC-114/" TargetMode="External" Id="rId1769"/><Relationship Type="http://schemas.openxmlformats.org/officeDocument/2006/relationships/hyperlink" Target="https://leandergrech.github.io/Mizien/claims/CC-114/" TargetMode="External" Id="rId1770"/><Relationship Type="http://schemas.openxmlformats.org/officeDocument/2006/relationships/hyperlink" Target="https://leandergrech.github.io/Mizien/claims/CC-114/" TargetMode="External" Id="rId1771"/><Relationship Type="http://schemas.openxmlformats.org/officeDocument/2006/relationships/hyperlink" Target="https://leandergrech.github.io/Mizien/claims/CC-114/" TargetMode="External" Id="rId1772"/><Relationship Type="http://schemas.openxmlformats.org/officeDocument/2006/relationships/hyperlink" Target="https://leandergrech.github.io/Mizien/claims/CC-114/" TargetMode="External" Id="rId1773"/><Relationship Type="http://schemas.openxmlformats.org/officeDocument/2006/relationships/hyperlink" Target="https://leandergrech.github.io/Mizien/claims/CC-114/" TargetMode="External" Id="rId1774"/><Relationship Type="http://schemas.openxmlformats.org/officeDocument/2006/relationships/hyperlink" Target="https://leandergrech.github.io/Mizien/claims/CC-114/" TargetMode="External" Id="rId1775"/><Relationship Type="http://schemas.openxmlformats.org/officeDocument/2006/relationships/hyperlink" Target="https://leandergrech.github.io/Mizien/claims/CC-114/" TargetMode="External" Id="rId1776"/><Relationship Type="http://schemas.openxmlformats.org/officeDocument/2006/relationships/hyperlink" Target="https://leandergrech.github.io/Mizien/claims/CC-114/" TargetMode="External" Id="rId1777"/><Relationship Type="http://schemas.openxmlformats.org/officeDocument/2006/relationships/hyperlink" Target="https://leandergrech.github.io/Mizien/claims/CC-114/" TargetMode="External" Id="rId1778"/><Relationship Type="http://schemas.openxmlformats.org/officeDocument/2006/relationships/hyperlink" Target="https://leandergrech.github.io/Mizien/claims/CC-114/" TargetMode="External" Id="rId1779"/><Relationship Type="http://schemas.openxmlformats.org/officeDocument/2006/relationships/hyperlink" Target="https://leandergrech.github.io/Mizien/claims/CC-114/" TargetMode="External" Id="rId1780"/><Relationship Type="http://schemas.openxmlformats.org/officeDocument/2006/relationships/hyperlink" Target="https://leandergrech.github.io/Mizien/claims/CC-114/" TargetMode="External" Id="rId1781"/><Relationship Type="http://schemas.openxmlformats.org/officeDocument/2006/relationships/hyperlink" Target="https://leandergrech.github.io/Mizien/claims/CC-114/" TargetMode="External" Id="rId1782"/><Relationship Type="http://schemas.openxmlformats.org/officeDocument/2006/relationships/hyperlink" Target="https://leandergrech.github.io/Mizien/claims/CC-114/" TargetMode="External" Id="rId1783"/><Relationship Type="http://schemas.openxmlformats.org/officeDocument/2006/relationships/hyperlink" Target="https://leandergrech.github.io/Mizien/claims/CC-114/" TargetMode="External" Id="rId1784"/><Relationship Type="http://schemas.openxmlformats.org/officeDocument/2006/relationships/hyperlink" Target="https://leandergrech.github.io/Mizien/claims/CC-114/" TargetMode="External" Id="rId1785"/><Relationship Type="http://schemas.openxmlformats.org/officeDocument/2006/relationships/hyperlink" Target="https://leandergrech.github.io/Mizien/claims/CC-114/" TargetMode="External" Id="rId1786"/><Relationship Type="http://schemas.openxmlformats.org/officeDocument/2006/relationships/hyperlink" Target="https://leandergrech.github.io/Mizien/claims/CC-114/" TargetMode="External" Id="rId1787"/><Relationship Type="http://schemas.openxmlformats.org/officeDocument/2006/relationships/hyperlink" Target="https://leandergrech.github.io/Mizien/claims/CC-114/" TargetMode="External" Id="rId1788"/><Relationship Type="http://schemas.openxmlformats.org/officeDocument/2006/relationships/hyperlink" Target="https://leandergrech.github.io/Mizien/claims/CC-114/" TargetMode="External" Id="rId1789"/><Relationship Type="http://schemas.openxmlformats.org/officeDocument/2006/relationships/hyperlink" Target="https://leandergrech.github.io/Mizien/claims/CC-114/" TargetMode="External" Id="rId1790"/><Relationship Type="http://schemas.openxmlformats.org/officeDocument/2006/relationships/hyperlink" Target="https://leandergrech.github.io/Mizien/claims/CC-114/" TargetMode="External" Id="rId1791"/><Relationship Type="http://schemas.openxmlformats.org/officeDocument/2006/relationships/hyperlink" Target="https://leandergrech.github.io/Mizien/claims/CC-114/" TargetMode="External" Id="rId1792"/><Relationship Type="http://schemas.openxmlformats.org/officeDocument/2006/relationships/hyperlink" Target="https://leandergrech.github.io/Mizien/claims/CC-114/" TargetMode="External" Id="rId1793"/><Relationship Type="http://schemas.openxmlformats.org/officeDocument/2006/relationships/hyperlink" Target="https://leandergrech.github.io/Mizien/claims/CC-114/" TargetMode="External" Id="rId1794"/><Relationship Type="http://schemas.openxmlformats.org/officeDocument/2006/relationships/hyperlink" Target="https://leandergrech.github.io/Mizien/claims/CC-114/" TargetMode="External" Id="rId1795"/><Relationship Type="http://schemas.openxmlformats.org/officeDocument/2006/relationships/hyperlink" Target="https://leandergrech.github.io/Mizien/claims/CC-114/" TargetMode="External" Id="rId1796"/><Relationship Type="http://schemas.openxmlformats.org/officeDocument/2006/relationships/hyperlink" Target="https://leandergrech.github.io/Mizien/claims/CC-114/" TargetMode="External" Id="rId1797"/><Relationship Type="http://schemas.openxmlformats.org/officeDocument/2006/relationships/hyperlink" Target="https://leandergrech.github.io/Mizien/claims/CC-114/" TargetMode="External" Id="rId1798"/><Relationship Type="http://schemas.openxmlformats.org/officeDocument/2006/relationships/hyperlink" Target="https://leandergrech.github.io/Mizien/claims/CC-114/" TargetMode="External" Id="rId1799"/><Relationship Type="http://schemas.openxmlformats.org/officeDocument/2006/relationships/hyperlink" Target="https://leandergrech.github.io/Mizien/claims/CC-114/" TargetMode="External" Id="rId1800"/><Relationship Type="http://schemas.openxmlformats.org/officeDocument/2006/relationships/hyperlink" Target="https://leandergrech.github.io/Mizien/claims/CC-114/" TargetMode="External" Id="rId1801"/><Relationship Type="http://schemas.openxmlformats.org/officeDocument/2006/relationships/hyperlink" Target="https://leandergrech.github.io/Mizien/claims/CC-114/" TargetMode="External" Id="rId1802"/><Relationship Type="http://schemas.openxmlformats.org/officeDocument/2006/relationships/hyperlink" Target="https://leandergrech.github.io/Mizien/claims/CC-114/" TargetMode="External" Id="rId1803"/><Relationship Type="http://schemas.openxmlformats.org/officeDocument/2006/relationships/hyperlink" Target="https://leandergrech.github.io/Mizien/claims/CC-114/" TargetMode="External" Id="rId1804"/><Relationship Type="http://schemas.openxmlformats.org/officeDocument/2006/relationships/hyperlink" Target="https://leandergrech.github.io/Mizien/claims/CC-114/" TargetMode="External" Id="rId1805"/><Relationship Type="http://schemas.openxmlformats.org/officeDocument/2006/relationships/hyperlink" Target="https://leandergrech.github.io/Mizien/claims/CC-114/" TargetMode="External" Id="rId1806"/><Relationship Type="http://schemas.openxmlformats.org/officeDocument/2006/relationships/hyperlink" Target="https://leandergrech.github.io/Mizien/claims/CC-114/" TargetMode="External" Id="rId1807"/><Relationship Type="http://schemas.openxmlformats.org/officeDocument/2006/relationships/hyperlink" Target="https://leandergrech.github.io/Mizien/claims/CC-114/" TargetMode="External" Id="rId1808"/><Relationship Type="http://schemas.openxmlformats.org/officeDocument/2006/relationships/hyperlink" Target="https://leandergrech.github.io/Mizien/claims/CC-114/" TargetMode="External" Id="rId1809"/><Relationship Type="http://schemas.openxmlformats.org/officeDocument/2006/relationships/hyperlink" Target="https://leandergrech.github.io/Mizien/claims/CC-114/" TargetMode="External" Id="rId1810"/><Relationship Type="http://schemas.openxmlformats.org/officeDocument/2006/relationships/hyperlink" Target="https://leandergrech.github.io/Mizien/claims/CC-114/" TargetMode="External" Id="rId1811"/><Relationship Type="http://schemas.openxmlformats.org/officeDocument/2006/relationships/hyperlink" Target="https://leandergrech.github.io/Mizien/claims/CC-114/" TargetMode="External" Id="rId1812"/><Relationship Type="http://schemas.openxmlformats.org/officeDocument/2006/relationships/hyperlink" Target="https://leandergrech.github.io/Mizien/claims/CC-115/" TargetMode="External" Id="rId1813"/><Relationship Type="http://schemas.openxmlformats.org/officeDocument/2006/relationships/hyperlink" Target="https://leandergrech.github.io/Mizien/claims/CC-115/" TargetMode="External" Id="rId1814"/><Relationship Type="http://schemas.openxmlformats.org/officeDocument/2006/relationships/hyperlink" Target="https://leandergrech.github.io/Mizien/claims/CC-115/" TargetMode="External" Id="rId1815"/><Relationship Type="http://schemas.openxmlformats.org/officeDocument/2006/relationships/hyperlink" Target="https://leandergrech.github.io/Mizien/claims/CC-115/" TargetMode="External" Id="rId1816"/><Relationship Type="http://schemas.openxmlformats.org/officeDocument/2006/relationships/hyperlink" Target="https://leandergrech.github.io/Mizien/claims/CC-115/" TargetMode="External" Id="rId1817"/><Relationship Type="http://schemas.openxmlformats.org/officeDocument/2006/relationships/hyperlink" Target="https://leandergrech.github.io/Mizien/claims/CC-115/" TargetMode="External" Id="rId1818"/><Relationship Type="http://schemas.openxmlformats.org/officeDocument/2006/relationships/hyperlink" Target="https://leandergrech.github.io/Mizien/claims/CC-115/" TargetMode="External" Id="rId1819"/><Relationship Type="http://schemas.openxmlformats.org/officeDocument/2006/relationships/hyperlink" Target="https://leandergrech.github.io/Mizien/claims/CC-115/" TargetMode="External" Id="rId1820"/><Relationship Type="http://schemas.openxmlformats.org/officeDocument/2006/relationships/hyperlink" Target="https://leandergrech.github.io/Mizien/claims/CC-115/" TargetMode="External" Id="rId1821"/><Relationship Type="http://schemas.openxmlformats.org/officeDocument/2006/relationships/hyperlink" Target="https://leandergrech.github.io/Mizien/claims/CC-115/" TargetMode="External" Id="rId1822"/><Relationship Type="http://schemas.openxmlformats.org/officeDocument/2006/relationships/hyperlink" Target="https://leandergrech.github.io/Mizien/claims/CC-115/" TargetMode="External" Id="rId1823"/><Relationship Type="http://schemas.openxmlformats.org/officeDocument/2006/relationships/hyperlink" Target="https://leandergrech.github.io/Mizien/claims/CC-115/" TargetMode="External" Id="rId1824"/><Relationship Type="http://schemas.openxmlformats.org/officeDocument/2006/relationships/hyperlink" Target="https://leandergrech.github.io/Mizien/claims/CC-115/" TargetMode="External" Id="rId1825"/></Relationships>
</file>

<file path=xl/worksheets/_rels/sheet8.xml.rels><Relationships xmlns="http://schemas.openxmlformats.org/package/2006/relationships"><Relationship Type="http://schemas.openxmlformats.org/officeDocument/2006/relationships/hyperlink" Target="https://newsbook.com.mt/en/wirt-artna-explains-concrete-around-upper-barrakka-tree-it-is-protecting-historic-tunnels/" TargetMode="External" Id="rId1"/><Relationship Type="http://schemas.openxmlformats.org/officeDocument/2006/relationships/hyperlink" Target="https://www.maltatoday.com.mt/environment/environment/138909/parts_of_upper_barrakka_have_been_cemented_over_but_dont_panic_just_yet" TargetMode="External" Id="rId2"/><Relationship Type="http://schemas.openxmlformats.org/officeDocument/2006/relationships/hyperlink" Target="https://era.org.mt/press-releases/era-clarifies-environmental-measures-linked-to-the-comino-hotel-project/" TargetMode="External" Id="rId3"/><Relationship Type="http://schemas.openxmlformats.org/officeDocument/2006/relationships/hyperlink" Target="https://newsbook.com.mt/en/comino-trees-era-says-its-decisions-based-on-expert-advice-maltese-law/" TargetMode="External" Id="rId4"/><Relationship Type="http://schemas.openxmlformats.org/officeDocument/2006/relationships/hyperlink" Target="https://newsbook.com.mt/en/era-urged-to-refuse-permit-for-removal-of-800-trees-from-comino/" TargetMode="External" Id="rId5"/><Relationship Type="http://schemas.openxmlformats.org/officeDocument/2006/relationships/hyperlink" Target="https://www.maltatoday.com.mt/environment/planning/143667/era_approves_preliminary_works_for_proposed_comino_hotel" TargetMode="External" Id="rId6"/><Relationship Type="http://schemas.openxmlformats.org/officeDocument/2006/relationships/hyperlink" Target="https://mail.movimentgraffitti.org/2026/09/30/excavation-and-tree-uprooting-on-comino-suspended-following-crowdfunded-ngo-appeal-but-the-fight-to-save-comino-continues/" TargetMode="External" Id="rId7"/><Relationship Type="http://schemas.openxmlformats.org/officeDocument/2006/relationships/hyperlink" Target="https://www.italpress.com/?p=605399" TargetMode="External" Id="rId8"/><Relationship Type="http://schemas.openxmlformats.org/officeDocument/2006/relationships/hyperlink" Target="https://www.maltatoday.com.mt/news/national/138271/malta_cuts_emissions_faster_than_eu_average_report_shows" TargetMode="External" Id="rId9"/><Relationship Type="http://schemas.openxmlformats.org/officeDocument/2006/relationships/hyperlink" Target="https://climateaction.gov.mt/wp-content/uploads/2026/06/FACTS-EMISSIONS-JUNE-26.pdf" TargetMode="External" Id="rId10"/><Relationship Type="http://schemas.openxmlformats.org/officeDocument/2006/relationships/hyperlink" Target="https://practiceguides.chambers.com/practice-guides/renewable-energy-2026/malta" TargetMode="External" Id="rId11"/><Relationship Type="http://schemas.openxmlformats.org/officeDocument/2006/relationships/hyperlink" Target="https://www.gov.mt/en/Government/DOI/Press%20Releases/Pages/2026/01/19/PR260072en.aspx" TargetMode="External" Id="rId12"/><Relationship Type="http://schemas.openxmlformats.org/officeDocument/2006/relationships/hyperlink" Target="https://publicservice.gov.mt/en/news/malta-records-strong-progress-in-waste-separation" TargetMode="External" Id="rId13"/><Relationship Type="http://schemas.openxmlformats.org/officeDocument/2006/relationships/hyperlink" Target="https://op.europa.eu/webpub/env/eir-country-reports-summaries/en/malta.html" TargetMode="External" Id="rId14"/><Relationship Type="http://schemas.openxmlformats.org/officeDocument/2006/relationships/hyperlink" Target="https://era.org.mt/?p=53057" TargetMode="External" Id="rId15"/><Relationship Type="http://schemas.openxmlformats.org/officeDocument/2006/relationships/hyperlink" Target="https://nso.gov.mt/solid-waste-management-2024/" TargetMode="External" Id="rId16"/><Relationship Type="http://schemas.openxmlformats.org/officeDocument/2006/relationships/hyperlink" Target="https://maltatoday.com.mt/news/europe/131800/eu_court_finds_malta_in_breach_of_its_wastewater_treatment_obligations" TargetMode="External" Id="rId17"/><Relationship Type="http://schemas.openxmlformats.org/officeDocument/2006/relationships/hyperlink" Target="https://travelmole.com/news/malta-beaches-waters/" TargetMode="External" Id="rId18"/><Relationship Type="http://schemas.openxmlformats.org/officeDocument/2006/relationships/hyperlink" Target="https://www.komitee.de/en/latest-news/news/malta-green-light-spring-hunting/" TargetMode="External" Id="rId19"/><Relationship Type="http://schemas.openxmlformats.org/officeDocument/2006/relationships/hyperlink" Target="https://www.maltatoday.com.mt/environment/environment/115708/spring_hunting_for_turtle_dove_set_to_return_after_ornis_votes_in_favour" TargetMode="External" Id="rId20"/><Relationship Type="http://schemas.openxmlformats.org/officeDocument/2006/relationships/hyperlink" Target="https://edoc.hu-berlin.de/18452/26405" TargetMode="External" Id="rId21"/><Relationship Type="http://schemas.openxmlformats.org/officeDocument/2006/relationships/hyperlink" Target="https://newsbook.com.mt/en/air-pollution-exceeds-who-guidelines-throughout-maltese-islands/" TargetMode="External" Id="rId22"/><Relationship Type="http://schemas.openxmlformats.org/officeDocument/2006/relationships/hyperlink" Target="https://arja.mt/" TargetMode="External" Id="rId23"/><Relationship Type="http://schemas.openxmlformats.org/officeDocument/2006/relationships/hyperlink" Target="https://www.maltatoday.com.mt/environment/townscapes/107316/no_social_impact_assessment_yet_for_msida_flyovers" TargetMode="External" Id="rId24"/><Relationship Type="http://schemas.openxmlformats.org/officeDocument/2006/relationships/hyperlink" Target="https://www.maltatoday.com.mt/environment/planning/108072/no_eia_needed_for_msida_flyover_project_era_says" TargetMode="External" Id="rId25"/><Relationship Type="http://schemas.openxmlformats.org/officeDocument/2006/relationships/hyperlink" Target="https://www.maltatoday.com.mt/news/national/105894/all_marsa_junction_project_flyovers_now_open" TargetMode="External" Id="rId26"/><Relationship Type="http://schemas.openxmlformats.org/officeDocument/2006/relationships/hyperlink" Target="https://www.maltatoday.com.mt/news/national/143850/over_3000_vehicles_added_to_maltas_roads_in_three_months" TargetMode="External" Id="rId27"/><Relationship Type="http://schemas.openxmlformats.org/officeDocument/2006/relationships/hyperlink" Target="https://www.infrastructuremalta.com/news/msida-creek-enhancing-connectivity-and-community-spaces" TargetMode="External" Id="rId28"/><Relationship Type="http://schemas.openxmlformats.org/officeDocument/2006/relationships/hyperlink" Target="https://www.infrastructuremalta.com/news/infrastructure-malta-completes-marsa-junction-project" TargetMode="External" Id="rId29"/><Relationship Type="http://schemas.openxmlformats.org/officeDocument/2006/relationships/hyperlink" Target="https://www.infrastructuremalta.com/mcp" TargetMode="External" Id="rId30"/><Relationship Type="http://schemas.openxmlformats.org/officeDocument/2006/relationships/hyperlink" Target="https://primeminister.gov.mt/latest-news/pr252279/" TargetMode="External" Id="rId31"/><Relationship Type="http://schemas.openxmlformats.org/officeDocument/2006/relationships/hyperlink" Target="https://timesofmalta.com/article/roads-agency-insists-marsa-junction-cuts-travel-time-by-70-despite.913440" TargetMode="External" Id="rId32"/><Relationship Type="http://schemas.openxmlformats.org/officeDocument/2006/relationships/hyperlink" Target="https://pubs.aeaweb.org/doi/abs/10.1257/aer.101.6.2616" TargetMode="External" Id="rId33"/><Relationship Type="http://schemas.openxmlformats.org/officeDocument/2006/relationships/hyperlink" Target="https://era.org.mt/era-project/pa02053-20_pa06425-20/" TargetMode="External" Id="rId34"/><Relationship Type="http://schemas.openxmlformats.org/officeDocument/2006/relationships/hyperlink" Target="https://www.maltatoday.com.mt/news/national/123510/nearly_twothirds_of_your_tap_water_comes_from_the_sea_" TargetMode="External" Id="rId35"/><Relationship Type="http://schemas.openxmlformats.org/officeDocument/2006/relationships/hyperlink" Target="https://www.maltatoday.com.mt/news/national/125093/malta_water_table_fails_test_due_to_high_nitrates" TargetMode="External" Id="rId36"/><Relationship Type="http://schemas.openxmlformats.org/officeDocument/2006/relationships/hyperlink" Target="https://chambers.com/articles/35-million-tender-launched-new-g&#295;ar-lapsi-reverse-osmosis-plant" TargetMode="External" Id="rId37"/><Relationship Type="http://schemas.openxmlformats.org/officeDocument/2006/relationships/hyperlink" Target="https://projectgreen.mt/over-8000-new-trees-in-2024/" TargetMode="External" Id="rId38"/><Relationship Type="http://schemas.openxmlformats.org/officeDocument/2006/relationships/hyperlink" Target="https://talk.mt/wp-content/uploads/2022/03/MALTA-FLIMKIEN-MANIFEST-ELETTORALI-2022.pdf" TargetMode="External" Id="rId39"/><Relationship Type="http://schemas.openxmlformats.org/officeDocument/2006/relationships/hyperlink" Target="https://www.independent.com.mt/articles/2022-03-11/local-news/PL-manifesto-new-mechanism-to-replace-COLA-raft-of-planning-reforms-new-green-areas-6736241368" TargetMode="External" Id="rId40"/><Relationship Type="http://schemas.openxmlformats.org/officeDocument/2006/relationships/hyperlink" Target="https://www.gov.mt/en/Government/DOI/Press%20Releases/Pages/2026/04/15/PR260616en.aspx" TargetMode="External" Id="rId41"/><Relationship Type="http://schemas.openxmlformats.org/officeDocument/2006/relationships/hyperlink" Target="https://parlament.mt/media/136607/06228.pdf" TargetMode="External" Id="rId42"/><Relationship Type="http://schemas.openxmlformats.org/officeDocument/2006/relationships/hyperlink" Target="https://www.independent.com.mt/articles/2026-07-19/local-news/Analysis-A-look-into-Malta-s-declared-climate-emergency-nearly-7-years-later-6736291454" TargetMode="External" Id="rId43"/><Relationship Type="http://schemas.openxmlformats.org/officeDocument/2006/relationships/hyperlink" Target="https://www.parlament.mt/media/137706/20260218_435o_par.pdf" TargetMode="External" Id="rId44"/><Relationship Type="http://schemas.openxmlformats.org/officeDocument/2006/relationships/hyperlink" Target="https://doi.org/10.3389/ffgc.2022.1092703" TargetMode="External" Id="rId45"/><Relationship Type="http://schemas.openxmlformats.org/officeDocument/2006/relationships/hyperlink" Target="https://doi.org/10.1111/j.1365-2664.2009.01680.x" TargetMode="External" Id="rId46"/><Relationship Type="http://schemas.openxmlformats.org/officeDocument/2006/relationships/hyperlink" Target="https://www.maltatoday.com.mt/news/election-2026/141840/labour_publishes_its_manifesto_here_is_a_breakdown" TargetMode="External" Id="rId47"/><Relationship Type="http://schemas.openxmlformats.org/officeDocument/2006/relationships/hyperlink" Target="https://www.maltatoday.com.mt/news/election-2026/141891/pn_approves_its_electoral_manifesto" TargetMode="External" Id="rId48"/><Relationship Type="http://schemas.openxmlformats.org/officeDocument/2006/relationships/hyperlink" Target="https://clean-energy-islands.ec.europa.eu/countries/malta" TargetMode="External" Id="rId49"/><Relationship Type="http://schemas.openxmlformats.org/officeDocument/2006/relationships/hyperlink" Target="https://meddmo.eu/fact-checking-claims-around-pns-environmental-bill/" TargetMode="External" Id="rId50"/><Relationship Type="http://schemas.openxmlformats.org/officeDocument/2006/relationships/hyperlink" Target="https://climateaction.gov.mt/press/malta-strengthens-its-contribution-toward-the-eus-climate-goals/" TargetMode="External" Id="rId51"/><Relationship Type="http://schemas.openxmlformats.org/officeDocument/2006/relationships/hyperlink" Target="https://climate.ec.europa.eu/document/download/35f83a2d-f77d-4895-b616-d579069b23d3_en?filename=capr2025_swd_en.pdf" TargetMode="External" Id="rId52"/><Relationship Type="http://schemas.openxmlformats.org/officeDocument/2006/relationships/hyperlink" Target="https://climate.ec.europa.eu/eu-action/climate-strategies-targets/progress-climate-action/eu-climate-action-progress-report-2025/chapter-3-effort-sharing-emissions_en" TargetMode="External" Id="rId53"/><Relationship Type="http://schemas.openxmlformats.org/officeDocument/2006/relationships/hyperlink" Target="https://ec.europa.eu/eurostat/databrowser/view/env_air_gge/default/table" TargetMode="External" Id="rId54"/><Relationship Type="http://schemas.openxmlformats.org/officeDocument/2006/relationships/hyperlink" Target="https://nso.gov.mt/municipal-waste-2024/" TargetMode="External" Id="rId55"/><Relationship Type="http://schemas.openxmlformats.org/officeDocument/2006/relationships/hyperlink" Target="https://ec.europa.eu/eurostat/databrowser/view/cei_wm011/default/table" TargetMode="External" Id="rId56"/><Relationship Type="http://schemas.openxmlformats.org/officeDocument/2006/relationships/hyperlink" Target="https://eur-lex.europa.eu/legal-content/EN/TXT/?uri=CELEX:32018L0851" TargetMode="External" Id="rId57"/><Relationship Type="http://schemas.openxmlformats.org/officeDocument/2006/relationships/hyperlink" Target="https://era.org.mt/press-releases/nso-data-reveals-positive-trends-in-sustainability-and-resource-recovery/" TargetMode="External" Id="rId58"/><Relationship Type="http://schemas.openxmlformats.org/officeDocument/2006/relationships/hyperlink" Target="https://partitlaburista.org/wp-content/uploads/2026/08/Manifest_Elettorali_INT_MALTA_2026.pdf" TargetMode="External" Id="rId59"/><Relationship Type="http://schemas.openxmlformats.org/officeDocument/2006/relationships/hyperlink" Target="https://pn.org.mt/en/nifsgdid/ghawdex/" TargetMode="External" Id="rId60"/><Relationship Type="http://schemas.openxmlformats.org/officeDocument/2006/relationships/hyperlink" Target="https://www.who.int/europe/publications/i/item/WHO-EURO-2016-3352-43111-60341" TargetMode="External" Id="rId61"/><Relationship Type="http://schemas.openxmlformats.org/officeDocument/2006/relationships/hyperlink" Target="https://data.worldpop.org/GIS/Population/Global_2015_2030/R2025A/2025/MLT/v1/100m/constrained/" TargetMode="External" Id="rId62"/><Relationship Type="http://schemas.openxmlformats.org/officeDocument/2006/relationships/hyperlink" Target="https://op.europa.eu/webpub/env/eir-country-reports-summaries/en/malta.html" TargetMode="External" Id="rId63"/><Relationship Type="http://schemas.openxmlformats.org/officeDocument/2006/relationships/hyperlink" Target="https://www.eea.europa.eu/en/topics/in-depth/bathing-water/state-of-bathing-water/bathing-water-country-factsheets-2025/mt-bathing-water-country-factsheet-2025.pdf/@@download/file" TargetMode="External" Id="rId64"/><Relationship Type="http://schemas.openxmlformats.org/officeDocument/2006/relationships/hyperlink" Target="https://environmentalhealth.gov.mt/wp-content/uploads/2025/07/Malta_bathing_water_2024.pdf" TargetMode="External" Id="rId65"/><Relationship Type="http://schemas.openxmlformats.org/officeDocument/2006/relationships/hyperlink" Target="https://environmentalhealth.gov.mt/wp-content/uploads/2024/09/Report-for-Balluta-Bay-the-Bathing-Prohibition-Period-and-Short-Term-Pollution-Period.pdf" TargetMode="External" Id="rId66"/><Relationship Type="http://schemas.openxmlformats.org/officeDocument/2006/relationships/hyperlink" Target="https://eur-lex.europa.eu/legal-content/EN/TXT/?uri=CELEX:62023CJ0304" TargetMode="External" Id="rId67"/><Relationship Type="http://schemas.openxmlformats.org/officeDocument/2006/relationships/hyperlink" Target="https://legislation.mt/eli/ln/2026/80/eng" TargetMode="External" Id="rId68"/><Relationship Type="http://schemas.openxmlformats.org/officeDocument/2006/relationships/hyperlink" Target="https://legislation.mt/eli/ln/2026/81/eng" TargetMode="External" Id="rId69"/><Relationship Type="http://schemas.openxmlformats.org/officeDocument/2006/relationships/hyperlink" Target="https://www.gov.mt/en/Government/DOI/Government%20Gazette/Government%20Notices/Pages/2026/04/GovNotices1704extra.aspx" TargetMode="External" Id="rId70"/><Relationship Type="http://schemas.openxmlformats.org/officeDocument/2006/relationships/hyperlink" Target="https://www.maltatoday.com.mt/news/national/140671/ornis_committee_votes_in_favour_of_opening_spring_hunting_season_" TargetMode="External" Id="rId71"/><Relationship Type="http://schemas.openxmlformats.org/officeDocument/2006/relationships/hyperlink" Target="https://wbru.gov.mt/wp-content/uploads/2026/04/Conservation-Status-of-Common-Quail-and-Turtle-Dove-Mar-2026.pdf" TargetMode="External" Id="rId72"/><Relationship Type="http://schemas.openxmlformats.org/officeDocument/2006/relationships/hyperlink" Target="https://doi.org/10.1017/S0959270915000325" TargetMode="External" Id="rId73"/><Relationship Type="http://schemas.openxmlformats.org/officeDocument/2006/relationships/hyperlink" Target="https://www.huntinginmalta.org.mt/post/spring-hunting-season-in-the-maltese-islands-2026the-fknk-will-again-carry-out-scientific-studies" TargetMode="External" Id="rId74"/><Relationship Type="http://schemas.openxmlformats.org/officeDocument/2006/relationships/hyperlink" Target="https://eur-lex.europa.eu/legal-content/EN/TXT/?uri=CELEX:62015CJ0557" TargetMode="External" Id="rId75"/><Relationship Type="http://schemas.openxmlformats.org/officeDocument/2006/relationships/hyperlink" Target="https://eur-lex.europa.eu/legal-content/EN/ALL/?uri=CELEX:62023CJ0023" TargetMode="External" Id="rId76"/><Relationship Type="http://schemas.openxmlformats.org/officeDocument/2006/relationships/hyperlink" Target="https://wbru.gov.mt/wp-content/uploads/2026/04/2025-SH-Derogation-Report.pdf" TargetMode="External" Id="rId77"/><Relationship Type="http://schemas.openxmlformats.org/officeDocument/2006/relationships/hyperlink" Target="https://birdlifemalta.org/2026/04/majority-of-hunters-illegally-target-turtle-doves-during-first-week-of-spring-season/" TargetMode="External" Id="rId78"/><Relationship Type="http://schemas.openxmlformats.org/officeDocument/2006/relationships/hyperlink" Target="https://birdlifemalta.org/2026/05/on-the-frontlines-may-2026-newsletter/" TargetMode="External" Id="rId79"/><Relationship Type="http://schemas.openxmlformats.org/officeDocument/2006/relationships/hyperlink" Target="https://eur-lex.europa.eu/legal-content/EN/TXT/?uri=CELEX:32009L0147" TargetMode="External" Id="rId80"/><Relationship Type="http://schemas.openxmlformats.org/officeDocument/2006/relationships/hyperlink" Target="https://era.org.mt/press-releases/clarification-on-comino/" TargetMode="External" Id="rId81"/><Relationship Type="http://schemas.openxmlformats.org/officeDocument/2006/relationships/hyperlink" Target="https://era.org.mt/press-releases/era-clarifies-environmental-measures-linked-to-the-comino-hotel-project/" TargetMode="External" Id="rId82"/><Relationship Type="http://schemas.openxmlformats.org/officeDocument/2006/relationships/hyperlink" Target="https://doi.org/10.3897/phytokeys.272.184198" TargetMode="External" Id="rId83"/><Relationship Type="http://schemas.openxmlformats.org/officeDocument/2006/relationships/hyperlink" Target="https://doi.org/10.1111/cobi.14233" TargetMode="External" Id="rId84"/><Relationship Type="http://schemas.openxmlformats.org/officeDocument/2006/relationships/hyperlink" Target="https://doi.org/10.1016/j.agrformet.2020.108192" TargetMode="External" Id="rId85"/><Relationship Type="http://schemas.openxmlformats.org/officeDocument/2006/relationships/hyperlink" Target="https://doi.org/10.1890/09-1384.1" TargetMode="External" Id="rId86"/><Relationship Type="http://schemas.openxmlformats.org/officeDocument/2006/relationships/hyperlink" Target="https://www.maltatoday.com.mt/news/national/143679/factcheck_what_the_comino_hotel_project_means_for_the_islands_trees" TargetMode="External" Id="rId87"/><Relationship Type="http://schemas.openxmlformats.org/officeDocument/2006/relationships/hyperlink" Target="https://www.maltatoday.com.mt/environment/planning/143667/era_approves_preliminary_works_for_proposed_comino_hotel" TargetMode="External" Id="rId88"/><Relationship Type="http://schemas.openxmlformats.org/officeDocument/2006/relationships/hyperlink" Target="https://hilihospitality.com/comino/" TargetMode="External" Id="rId89"/><Relationship Type="http://schemas.openxmlformats.org/officeDocument/2006/relationships/hyperlink" Target="https://pqs.parlament.mt/?pqid=68a890cbcb302292bff56dce" TargetMode="External" Id="rId90"/><Relationship Type="http://schemas.openxmlformats.org/officeDocument/2006/relationships/hyperlink" Target="https://iris.who.int/bitstream/handle/10665/345329/9789240034228-eng.pdf" TargetMode="External" Id="rId91"/><Relationship Type="http://schemas.openxmlformats.org/officeDocument/2006/relationships/hyperlink" Target="https://eur-lex.europa.eu/eli/dir/2024/2881/oj/eng" TargetMode="External" Id="rId92"/><Relationship Type="http://schemas.openxmlformats.org/officeDocument/2006/relationships/hyperlink" Target="https://air.discomap.eea.europa.eu/arcgis/rest/services/AirQuality/AirQualityDownloadServiceEUMonitoringStations/MapServer/0" TargetMode="External" Id="rId93"/><Relationship Type="http://schemas.openxmlformats.org/officeDocument/2006/relationships/hyperlink" Target="https://cde.news/malta-news-briefing-saturday-19-july-2023/" TargetMode="External" Id="rId94"/><Relationship Type="http://schemas.openxmlformats.org/officeDocument/2006/relationships/hyperlink" Target="https://parlament.mt/media/139352/wsc-annual-report-2025.pdf" TargetMode="External" Id="rId95"/><Relationship Type="http://schemas.openxmlformats.org/officeDocument/2006/relationships/hyperlink" Target="https://www.wsc.com.mt/wsc-issues-e35-million-tender-for-new-ghar-lapsi-reverse-osmosis-plant/" TargetMode="External" Id="rId96"/><Relationship Type="http://schemas.openxmlformats.org/officeDocument/2006/relationships/hyperlink" Target="https://op.europa.eu/en/web/public-procurement/procurement-details/-/procurement/c70c57b4-61a5-4c26-a365-dc44067d6687" TargetMode="External" Id="rId97"/><Relationship Type="http://schemas.openxmlformats.org/officeDocument/2006/relationships/hyperlink" Target="https://era.org.mt/wp-content/uploads/2023/09/3rd-River-Basin-Management-Plan-MALTA-Chapter-6-Assessment-of-Status-Final.pdf" TargetMode="External" Id="rId98"/><Relationship Type="http://schemas.openxmlformats.org/officeDocument/2006/relationships/hyperlink" Target="https://www.parlament.mt/media/134182/wsc-annual-report-2024.pdf" TargetMode="External" Id="rId99"/><Relationship Type="http://schemas.openxmlformats.org/officeDocument/2006/relationships/hyperlink" Target="https://www.wsc.com.mt/wp-content/uploads/2023/06/WSC-Annual-Report-2022.pdf" TargetMode="External" Id="rId100"/><Relationship Type="http://schemas.openxmlformats.org/officeDocument/2006/relationships/hyperlink" Target="https://wbru.gov.mt/en/resources/reports-and-statistics/sprin-hunting-derogations/" TargetMode="External" Id="rId101"/><Relationship Type="http://schemas.openxmlformats.org/officeDocument/2006/relationships/hyperlink" Target="https://wbru.gov.mt/en/the-department/ornis-committee/" TargetMode="External" Id="rId102"/><Relationship Type="http://schemas.openxmlformats.org/officeDocument/2006/relationships/hyperlink" Target="https://theshiftnews.com/2026/01/15/pm-contradicted-over-ta-qali-concerts-and-green-grass/" TargetMode="External" Id="rId103"/><Relationship Type="http://schemas.openxmlformats.org/officeDocument/2006/relationships/hyperlink" Target="https://www.independent.com.mt/articles/2026-01-12/local-news/Ta-Qali-gravel-fiasco-more-public-money-needed-for-grass-to-grow-again-PN-says-6736286279" TargetMode="External" Id="rId104"/><Relationship Type="http://schemas.openxmlformats.org/officeDocument/2006/relationships/hyperlink" Target="https://www.independent.com.mt/articles/2026-02-06/local-news/Gravel-used-to-cover-Ta-Qali-suppressing-grass-growth-PN-says-6736287029" TargetMode="External" Id="rId105"/><Relationship Type="http://schemas.openxmlformats.org/officeDocument/2006/relationships/hyperlink" Target="https://theshiftnews.com/2026/02/03/abelas-expert-took-just-three-days-for-solution-on-ta-qali-grass/" TargetMode="External" Id="rId106"/><Relationship Type="http://schemas.openxmlformats.org/officeDocument/2006/relationships/hyperlink" Target="https://www.maltatoday.com.mt/news/interview/133858/johann_buttigieg_issuing_permits_helps_keep_property_prices_in_check_" TargetMode="External" Id="rId107"/><Relationship Type="http://schemas.openxmlformats.org/officeDocument/2006/relationships/hyperlink" Target="https://www.independent.com.mt/articles/2025-09-07/local-news/CEO-will-not-say-PA-failed-in-enforcement-duties-but-admits-it-has-struggled-6736272936" TargetMode="External" Id="rId108"/><Relationship Type="http://schemas.openxmlformats.org/officeDocument/2006/relationships/hyperlink" Target="https://theshiftnews.com/2026/09/26/johann-out/" TargetMode="External" Id="rId109"/><Relationship Type="http://schemas.openxmlformats.org/officeDocument/2006/relationships/hyperlink" Target="https://movimentgraffitti.org/2026/09/26/kick-out-the-corrupt-integrity-in-planning/" TargetMode="External" Id="rId110"/><Relationship Type="http://schemas.openxmlformats.org/officeDocument/2006/relationships/hyperlink" Target="https://tvmnews.mt/en/news/shore-to-ship-project-in-grand-harbour-completed-to-cut-down-emissions-by-90/" TargetMode="External" Id="rId111"/><Relationship Type="http://schemas.openxmlformats.org/officeDocument/2006/relationships/hyperlink" Target="https://www.infrastructuremalta.com/projects/shore-ship" TargetMode="External" Id="rId112"/><Relationship Type="http://schemas.openxmlformats.org/officeDocument/2006/relationships/hyperlink" Target="https://www.independent.com.mt/articles/2025-10-27/local-news/Budget-2026-Large-scale-land-reclamation-project-to-begin-outside-Freeport-perimeter-6736284318" TargetMode="External" Id="rId113"/><Relationship Type="http://schemas.openxmlformats.org/officeDocument/2006/relationships/hyperlink" Target="https://www.maltatoday.com.mt/news/national/98630/land_reclamation_decision_informed_by_11_million_seabed_study" TargetMode="External" Id="rId114"/><Relationship Type="http://schemas.openxmlformats.org/officeDocument/2006/relationships/hyperlink" Target="https://www.maltatoday.com.mt/news/national/139634/malta_development_association_welcomes_imf_assessment_housing_market" TargetMode="External" Id="rId115"/><Relationship Type="http://schemas.openxmlformats.org/officeDocument/2006/relationships/hyperlink" Target="https://www.amphora.media/2026/09/green-to-grey-malta-land-loss-development-construction" TargetMode="External" Id="rId116"/><Relationship Type="http://schemas.openxmlformats.org/officeDocument/2006/relationships/hyperlink" Target="https://www.amphora.media/2026/09/green-to-grey-development-agricutlural-land" TargetMode="External" Id="rId117"/><Relationship Type="http://schemas.openxmlformats.org/officeDocument/2006/relationships/hyperlink" Target="https://www.maltatoday.com.mt/news/national/139887/malta_urged_to_address_construction_and_entertainment_noise" TargetMode="External" Id="rId118"/><Relationship Type="http://schemas.openxmlformats.org/officeDocument/2006/relationships/hyperlink" Target="https://www.eea.europa.eu/en/analysis/maps-and-charts/malta-noise-fact-sheet-2022" TargetMode="External" Id="rId119"/><Relationship Type="http://schemas.openxmlformats.org/officeDocument/2006/relationships/hyperlink" Target="https://en.wikipedia.org/wiki/Malta%E2%80%93Gozo_Tunnel" TargetMode="External" Id="rId120"/><Relationship Type="http://schemas.openxmlformats.org/officeDocument/2006/relationships/hyperlink" Target="https://www.maltatoday.com.mt/environment/environment/93504/gozo_tunnel_must_be_submitted_to_sea_impact_study_ngos_warn" TargetMode="External" Id="rId121"/><Relationship Type="http://schemas.openxmlformats.org/officeDocument/2006/relationships/hyperlink" Target="https://theshiftnews.com/2026/10/02/buttigieg-stops-short-of-direct-action-against-carlo-stivalas-new-illegal-structure/" TargetMode="External" Id="rId122"/><Relationship Type="http://schemas.openxmlformats.org/officeDocument/2006/relationships/hyperlink" Target="https://www.independent.com.mt/articles/2026-02-05/local-news/Momentum-inspection-on-Ta-Qali-gravel-shows-soil-rendered-unsuitable-for-natural-vegetation-6736286987" TargetMode="External" Id="rId123"/><Relationship Type="http://schemas.openxmlformats.org/officeDocument/2006/relationships/hyperlink" Target="https://newsbook.com.mt/en/independent-expert-confirms-malta-picnic-area-was-deliberately-ruined/" TargetMode="External" Id="rId124"/><Relationship Type="http://schemas.openxmlformats.org/officeDocument/2006/relationships/hyperlink" Target="https://www.maltatoday.com.mt/news/national/139796/ta_qali_gravel_blunder_was_intentionally_designed_to_squeeze_money_out_of_picnic_area_parties_claim" TargetMode="External" Id="rId125"/><Relationship Type="http://schemas.openxmlformats.org/officeDocument/2006/relationships/hyperlink" Target="https://www.maltatoday.com.mt/news/national/139585/momentum_says_ta_qali_soil_covered_with_constructiongrade_gravel" TargetMode="External" Id="rId126"/><Relationship Type="http://schemas.openxmlformats.org/officeDocument/2006/relationships/hyperlink" Target="https://newsbook.com.mt/en/grass-consultant-paid-e50-an-hour-to-fix-ta-qali-gravel-fiasco/" TargetMode="External" Id="rId127"/><Relationship Type="http://schemas.openxmlformats.org/officeDocument/2006/relationships/hyperlink" Target="https://newsbook.com.mt/en/momentum-backs-green-space-protest-as-ta-qali-chief-cries-fake-news/" TargetMode="External" Id="rId128"/><Relationship Type="http://schemas.openxmlformats.org/officeDocument/2006/relationships/hyperlink" Target="https://www.parlament.mt/media/134019/pa-annual-report-2024.pdf" TargetMode="External" Id="rId129"/><Relationship Type="http://schemas.openxmlformats.org/officeDocument/2006/relationships/hyperlink" Target="https://era.org.mt/wp-content/uploads/2019/05/MEPA-Annual-Report-2004.pdf" TargetMode="External" Id="rId130"/><Relationship Type="http://schemas.openxmlformats.org/officeDocument/2006/relationships/hyperlink" Target="https://era.org.mt/wp-content/uploads/2019/05/Annual-Report-2005.pdf" TargetMode="External" Id="rId131"/><Relationship Type="http://schemas.openxmlformats.org/officeDocument/2006/relationships/hyperlink" Target="https://era.org.mt/wp-content/uploads/2019/05/MEPA-_AnnualReport2006.pdf" TargetMode="External" Id="rId132"/><Relationship Type="http://schemas.openxmlformats.org/officeDocument/2006/relationships/hyperlink" Target="https://era.org.mt/wp-content/uploads/2019/05/MEPA-Annual-Report-2007.pdf" TargetMode="External" Id="rId133"/><Relationship Type="http://schemas.openxmlformats.org/officeDocument/2006/relationships/hyperlink" Target="https://era.org.mt/wp-content/uploads/2019/05/Annual-Report-2009.pdf" TargetMode="External" Id="rId134"/><Relationship Type="http://schemas.openxmlformats.org/officeDocument/2006/relationships/hyperlink" Target="https://era.org.mt/wp-content/uploads/2019/05/MEPA-AR2010a.pdf" TargetMode="External" Id="rId135"/><Relationship Type="http://schemas.openxmlformats.org/officeDocument/2006/relationships/hyperlink" Target="https://era.org.mt/wp-content/uploads/2019/05/Annual-Report-2011-Final.pdf" TargetMode="External" Id="rId136"/><Relationship Type="http://schemas.openxmlformats.org/officeDocument/2006/relationships/hyperlink" Target="https://www.maltatoday.com.mt/environment/environment/109955/planning_authority_received_9_reports_on_illegalities_each_day_in_2020" TargetMode="External" Id="rId137"/><Relationship Type="http://schemas.openxmlformats.org/officeDocument/2006/relationships/hyperlink" Target="https://www.independent.com.mt/articles/2022-01-31/local-news/Planning-Authority-says-there-are-over-5-000-pending-enforcement-notices-6736240240" TargetMode="External" Id="rId138"/><Relationship Type="http://schemas.openxmlformats.org/officeDocument/2006/relationships/hyperlink" Target="https://www.maltatoday.com.mt/news/national/127957/planning_authority_yet_to_collect_674740_from_pending_enforcement_notices" TargetMode="External" Id="rId139"/><Relationship Type="http://schemas.openxmlformats.org/officeDocument/2006/relationships/hyperlink" Target="https://maltatoday.com.mt/environment/townscapes/134952/2400_reports_of_suspected_illegal_works_in_2024" TargetMode="External" Id="rId140"/><Relationship Type="http://schemas.openxmlformats.org/officeDocument/2006/relationships/hyperlink" Target="https://www.pa.org.mt/file.aspx?f=37489" TargetMode="External" Id="rId141"/><Relationship Type="http://schemas.openxmlformats.org/officeDocument/2006/relationships/hyperlink" Target="https://nso.gov.mt/wp-content/uploads/Census-2021-Volume-2.pdf" TargetMode="External" Id="rId142"/><Relationship Type="http://schemas.openxmlformats.org/officeDocument/2006/relationships/hyperlink" Target="https://ec.europa.eu/eurostat/databrowser/" TargetMode="External" Id="rId143"/><Relationship Type="http://schemas.openxmlformats.org/officeDocument/2006/relationships/hyperlink" Target="https://www.maltatoday.com.mt/news/national/136863/use_of_gravel_at_ta_qali_sterilises_soil_expert_says_" TargetMode="External" Id="rId144"/><Relationship Type="http://schemas.openxmlformats.org/officeDocument/2006/relationships/hyperlink" Target="https://www.maltatoday.com.mt/environment/nature/137956/ta_qali_gravel_under_scrutiny_again_" TargetMode="External" Id="rId145"/><Relationship Type="http://schemas.openxmlformats.org/officeDocument/2006/relationships/hyperlink" Target="https://planetarycomputer.microsoft.com/dataset/sentinel-2-l2a" TargetMode="External" Id="rId146"/><Relationship Type="http://schemas.openxmlformats.org/officeDocument/2006/relationships/hyperlink" Target="https://www.amphora.media/2025/10/cruise-ships-shore-to-ship-power-malta" TargetMode="External" Id="rId147"/><Relationship Type="http://schemas.openxmlformats.org/officeDocument/2006/relationships/hyperlink" Target="https://www.maltatoday.com.mt/news/national/130180/grand_harbours_shoretoship_project_launched" TargetMode="External" Id="rId148"/><Relationship Type="http://schemas.openxmlformats.org/officeDocument/2006/relationships/hyperlink" Target="https://www.vallettacruiseport.com/news-media/valletta-cruise-port-closes-2025-with-strong-growth-and-nearly-one-million-passenger-movements" TargetMode="External" Id="rId149"/><Relationship Type="http://schemas.openxmlformats.org/officeDocument/2006/relationships/hyperlink" Target="https://eur-lex.europa.eu/eli/reg/2023/1805/oj" TargetMode="External" Id="rId150"/><Relationship Type="http://schemas.openxmlformats.org/officeDocument/2006/relationships/hyperlink" Target="https://doi.org/10.3390/atmos17040360" TargetMode="External" Id="rId151"/><Relationship Type="http://schemas.openxmlformats.org/officeDocument/2006/relationships/hyperlink" Target="https://finance.gov.mt/wp-content/uploads/2025/11/Budget-Speech-2026.pdf" TargetMode="External" Id="rId152"/><Relationship Type="http://schemas.openxmlformats.org/officeDocument/2006/relationships/hyperlink" Target="https://www.maltatoday.com.mt/news/national/134510/analysis__the_land_reclamation_saga_a_neverending_story" TargetMode="External" Id="rId153"/><Relationship Type="http://schemas.openxmlformats.org/officeDocument/2006/relationships/hyperlink" Target="https://maltafreeport.gov.mt/uncategorized/squaring-off-project-visit-by-the-prime-minister-and-cabinet-ministers/News" TargetMode="External" Id="rId154"/><Relationship Type="http://schemas.openxmlformats.org/officeDocument/2006/relationships/hyperlink" Target="https://bio.discomap.eea.europa.eu/arcgis/rest/services/ProtectedSites/Natura2000Sites/MapServer" TargetMode="External" Id="rId155"/><Relationship Type="http://schemas.openxmlformats.org/officeDocument/2006/relationships/hyperlink" Target="https://planetarycomputer.microsoft.com/dataset/sentinel-2-l2a" TargetMode="External" Id="rId156"/><Relationship Type="http://schemas.openxmlformats.org/officeDocument/2006/relationships/hyperlink" Target="https://doi.org/10.1038/srep12505" TargetMode="External" Id="rId157"/><Relationship Type="http://schemas.openxmlformats.org/officeDocument/2006/relationships/hyperlink" Target="https://www.imf.org/-/media/files/publications/cr/2026/english/1mltea2026001-source-pdf.pdf" TargetMode="External" Id="rId158"/><Relationship Type="http://schemas.openxmlformats.org/officeDocument/2006/relationships/hyperlink" Target="https://ec.europa.eu/eurostat/databrowser/view/tipsho60/default/table" TargetMode="External" Id="rId159"/><Relationship Type="http://schemas.openxmlformats.org/officeDocument/2006/relationships/hyperlink" Target="https://planetarycomputer.microsoft.com/dataset/io-lulc-annual-v02" TargetMode="External" Id="rId160"/><Relationship Type="http://schemas.openxmlformats.org/officeDocument/2006/relationships/hyperlink" Target="https://doi.org/10.1038/s41597-022-01307-4" TargetMode="External" Id="rId161"/><Relationship Type="http://schemas.openxmlformats.org/officeDocument/2006/relationships/hyperlink" Target="https://www.gov.mt/en/Government/DOI/Press%20Releases/Pages/2025/05/06/pr250746en.aspx" TargetMode="External" Id="rId162"/><Relationship Type="http://schemas.openxmlformats.org/officeDocument/2006/relationships/hyperlink" Target="https://newsbook.com.mt/en/second-interconnector-to-help-malta-achieve-renewable-energy-goals/" TargetMode="External" Id="rId163"/><Relationship Type="http://schemas.openxmlformats.org/officeDocument/2006/relationships/hyperlink" Target="https://energywateragency.gov.mt/wp-content/uploads/2025/01/MT-%E2%80%93-FINAL-UPDATED-NECP-2021-2030-English.pdf" TargetMode="External" Id="rId164"/><Relationship Type="http://schemas.openxmlformats.org/officeDocument/2006/relationships/hyperlink" Target="https://unfccc.int/sites/default/files/resource/MALTA_cop30cmp20cma7_HLS_ENG.pdf" TargetMode="External" Id="rId165"/><Relationship Type="http://schemas.openxmlformats.org/officeDocument/2006/relationships/hyperlink" Target="https://newsbook.com.mt/en/malta-records-eus-largest-rise-in-greenhouse-gas-emissions/" TargetMode="External" Id="rId166"/><Relationship Type="http://schemas.openxmlformats.org/officeDocument/2006/relationships/hyperlink" Target="https://lovinmalta.com/news/local/extreme-heat-and-record-electricity-demand-behind-maltas-power-cuts-says-miriam-dalli/" TargetMode="External" Id="rId167"/><Relationship Type="http://schemas.openxmlformats.org/officeDocument/2006/relationships/hyperlink" Target="https://newsbook.com.mt/en/enemalta-hails-76-drop-in-network-downtime-days-after-outages-left-thousands-in-the-dark/" TargetMode="External" Id="rId168"/><Relationship Type="http://schemas.openxmlformats.org/officeDocument/2006/relationships/hyperlink" Target="https://www.offshorewind.biz/2025/07/23/three-applications-submitted-in-maltas-first-offshore-wind-tender" TargetMode="External" Id="rId169"/><Relationship Type="http://schemas.openxmlformats.org/officeDocument/2006/relationships/hyperlink" Target="https://www.independent.com.mt/articles/2026-05-25/local-news/Airfield-electrification-at-MIA-set-to-avoid-1-000-tonnes-of-carbon-dioxide-emissions-every-year-6736289990" TargetMode="External" Id="rId170"/><Relationship Type="http://schemas.openxmlformats.org/officeDocument/2006/relationships/hyperlink" Target="https://gozotoday.com.mt/2026/09/25/gozo-climate-neutrality-plan-enters-implementation-phase/" TargetMode="External" Id="rId171"/><Relationship Type="http://schemas.openxmlformats.org/officeDocument/2006/relationships/hyperlink" Target="https://www.maltatoday.com.mt/news/national/137696/innovative_solar_flowers_installed_at_gozo_multimodal_hub_" TargetMode="External" Id="rId172"/><Relationship Type="http://schemas.openxmlformats.org/officeDocument/2006/relationships/hyperlink" Target="https://www.tvm.com.mt/en/news/cleaner-air-with-reduction-in-emissions-from-delimara-plant-chinese-d3pg-company/" TargetMode="External" Id="rId173"/><Relationship Type="http://schemas.openxmlformats.org/officeDocument/2006/relationships/hyperlink" Target="https://era.org.mt/air-quality-plan-for-malta-2024/" TargetMode="External" Id="rId174"/><Relationship Type="http://schemas.openxmlformats.org/officeDocument/2006/relationships/hyperlink" Target="https://www.eea.europa.eu/en/europe-environment-2025/countries/malta/health-impacts-of-air-pollution" TargetMode="External" Id="rId175"/><Relationship Type="http://schemas.openxmlformats.org/officeDocument/2006/relationships/hyperlink" Target="https://era.org.mt/wp-content/uploads/2019/05/3_Chapter2_AmbientAir_9Aug18.pdf" TargetMode="External" Id="rId176"/><Relationship Type="http://schemas.openxmlformats.org/officeDocument/2006/relationships/hyperlink" Target="https://www.amphora.media/2026/05/2026-election-guidebook-the-environment" TargetMode="External" Id="rId177"/><Relationship Type="http://schemas.openxmlformats.org/officeDocument/2006/relationships/hyperlink" Target="https://www.maltatoday.com.mt/news/national/140947/saharan_dust_takes_over_maltas_skies_producing_dangerous_air_quality_" TargetMode="External" Id="rId178"/><Relationship Type="http://schemas.openxmlformats.org/officeDocument/2006/relationships/hyperlink" Target="https://www.wsc.com.mt/towards-a-net-zero-impact-utility-new-e100-million-eu-funded-project-set-to-improve-water-quality-to-all-new-highs/" TargetMode="External" Id="rId179"/><Relationship Type="http://schemas.openxmlformats.org/officeDocument/2006/relationships/hyperlink" Target="https://www.iwra.org/proceedings/congress/resource/IWRA2024_1stIslandWC_0609_HLP_EuroInbo_MSapiano_Keynote.pdf" TargetMode="External" Id="rId180"/><Relationship Type="http://schemas.openxmlformats.org/officeDocument/2006/relationships/hyperlink" Target="https://lovinmalta.com/lifestyle/environment/malta-is-violating-eu-sewage-rules-european-court-finds/" TargetMode="External" Id="rId181"/><Relationship Type="http://schemas.openxmlformats.org/officeDocument/2006/relationships/hyperlink" Target="https://www.maltatoday.com.mt/news/national/135722/from_blue_flag_to_red_alert_pn_slams_government_over_beach_closures" TargetMode="External" Id="rId182"/><Relationship Type="http://schemas.openxmlformats.org/officeDocument/2006/relationships/hyperlink" Target="https://www.travelmole.com/news/malta-beaches-waters/" TargetMode="External" Id="rId183"/><Relationship Type="http://schemas.openxmlformats.org/officeDocument/2006/relationships/hyperlink" Target="https://www.gov.mt/en/Government/DOI/Press%20Releases/Pages/2025/07/04/pr251213en.aspx" TargetMode="External" Id="rId184"/><Relationship Type="http://schemas.openxmlformats.org/officeDocument/2006/relationships/hyperlink" Target="https://www.maltatoday.com.mt/environment/nature/107804/20_kilometres_of_underground_tunnel_helped_malta_manage_its_flooding_problems" TargetMode="External" Id="rId185"/><Relationship Type="http://schemas.openxmlformats.org/officeDocument/2006/relationships/hyperlink" Target="https://smartwatermagazine.com/news/wfi-group/maltese-island-achieves-water-autonomy-swro-innovation" TargetMode="External" Id="rId186"/><Relationship Type="http://schemas.openxmlformats.org/officeDocument/2006/relationships/hyperlink" Target="https://www.maltatoday.com.mt/news/national/139611/potatoes_and_intensive_farming_a_slowmoving_threat_to_maltas_groundwater" TargetMode="External" Id="rId187"/><Relationship Type="http://schemas.openxmlformats.org/officeDocument/2006/relationships/hyperlink" Target="https://www.gov.mt/en/Government/DOI/Press%20Releases/Pages/2025/07/09/pr251246en.aspx" TargetMode="External" Id="rId188"/><Relationship Type="http://schemas.openxmlformats.org/officeDocument/2006/relationships/hyperlink" Target="https://birdlifemalta.org/2025/09/on-the-frontlines-september-2025-newsletter/" TargetMode="External" Id="rId189"/><Relationship Type="http://schemas.openxmlformats.org/officeDocument/2006/relationships/hyperlink" Target="https://newsbook.com.mt/en/birdlife-malta-accuses-labour-pn-of-dangerous-race-to-weaken-hunting-laws-ahead-of-election/" TargetMode="External" Id="rId190"/><Relationship Type="http://schemas.openxmlformats.org/officeDocument/2006/relationships/hyperlink" Target="https://www.amphora.media/2025/08/fatti-malta-protect-sea-marine-environment" TargetMode="External" Id="rId191"/><Relationship Type="http://schemas.openxmlformats.org/officeDocument/2006/relationships/hyperlink" Target="https://www.atuna.com/news/maltese-environmental-watchdog-pushes-bluefin-farms-to-clean-up-slime/" TargetMode="External" Id="rId192"/><Relationship Type="http://schemas.openxmlformats.org/officeDocument/2006/relationships/hyperlink" Target="https://www.maltatoday.com.mt/news/national/100416/milky_way_only_visible_from_13_of_malta" TargetMode="External" Id="rId193"/><Relationship Type="http://schemas.openxmlformats.org/officeDocument/2006/relationships/hyperlink" Target="https://tvmnews.mt/en/news/project-green-opens-thousands-of-square-metres-of-new-public-spaces-across-malta/" TargetMode="External" Id="rId194"/><Relationship Type="http://schemas.openxmlformats.org/officeDocument/2006/relationships/hyperlink" Target="https://www.maltatoday.com.mt/news/national/141742/manoel_island_officially_returned_as_public_land" TargetMode="External" Id="rId195"/><Relationship Type="http://schemas.openxmlformats.org/officeDocument/2006/relationships/hyperlink" Target="https://lovinmalta.com/news/major-central-link-pledge-only-254-trees-will-be-destroyed-all-replacements-will-be-mature/" TargetMode="External" Id="rId196"/><Relationship Type="http://schemas.openxmlformats.org/officeDocument/2006/relationships/hyperlink" Target="https://lovinmalta.com/news/as-549-maltese-trees-face-the-axe-environment-authority-promises-a-silver-lining/" TargetMode="External" Id="rId197"/><Relationship Type="http://schemas.openxmlformats.org/officeDocument/2006/relationships/hyperlink" Target="https://lovinmalta.com/news/over-96-of-maltas-agricultural-land-is-used-for-farming/" TargetMode="External" Id="rId198"/><Relationship Type="http://schemas.openxmlformats.org/officeDocument/2006/relationships/hyperlink" Target="https://newsbook.com.mt/en/state-and-eu-subsidies-reach-20-of-maltas-agricultural-output" TargetMode="External" Id="rId199"/><Relationship Type="http://schemas.openxmlformats.org/officeDocument/2006/relationships/hyperlink" Target="https://housingauthority.gov.mt/scheme/first-time-buyer-scheme/" TargetMode="External" Id="rId200"/><Relationship Type="http://schemas.openxmlformats.org/officeDocument/2006/relationships/hyperlink" Target="https://www.zanzihomes.com/blog/409/malta-budget-2026-key-housing-property-updates" TargetMode="External" Id="rId201"/><Relationship Type="http://schemas.openxmlformats.org/officeDocument/2006/relationships/hyperlink" Target="https://www.maltatoday.com.mt/news/national/110023/developers_again_call_for_enduring_solution_to_dumping_of_construction_waste" TargetMode="External" Id="rId202"/><Relationship Type="http://schemas.openxmlformats.org/officeDocument/2006/relationships/hyperlink" Target="https://www.maltatoday.com.mt/news/national/139575/longterm_regeneration_of_grand_harbour_announced_in_fourphase_project" TargetMode="External" Id="rId203"/><Relationship Type="http://schemas.openxmlformats.org/officeDocument/2006/relationships/hyperlink" Target="https://www.maltatoday.com.mt/news/national/141429/adpd_slams_planning_decisions_that_endanger_maltas_heritage" TargetMode="External" Id="rId204"/><Relationship Type="http://schemas.openxmlformats.org/officeDocument/2006/relationships/hyperlink" Target="https://theshiftnews.com/2026/05/01/ngo-calls-for-immediate-resignation-of-heritage-chief-after-approval-of-fort-chambray-barracks-demolition/" TargetMode="External" Id="rId205"/><Relationship Type="http://schemas.openxmlformats.org/officeDocument/2006/relationships/hyperlink" Target="https://www.independent.com.mt/articles/2026-01-09/local-news/Momentum-firmly-opposes-high-rise-development-in-Gozo-6736286225" TargetMode="External" Id="rId206"/><Relationship Type="http://schemas.openxmlformats.org/officeDocument/2006/relationships/hyperlink" Target="https://www.maltatoday.com.mt/news/national/111714/marsaskala_yacht_marina_grech_abela_noncommital_on_project_1" TargetMode="External" Id="rId207"/><Relationship Type="http://schemas.openxmlformats.org/officeDocument/2006/relationships/hyperlink" Target="https://cities-today.com/maltas-free-transport-in-doubt-despite-record-breaking-numbers/" TargetMode="External" Id="rId208"/><Relationship Type="http://schemas.openxmlformats.org/officeDocument/2006/relationships/hyperlink" Target="https://www.independent.com.mt/articles/2026-07-15/local-news/Packed-like-sardines-Why-Transport-Malta-s-one-overcrowded-bus-claim-doesn-t-add-up-6736291358" TargetMode="External" Id="rId209"/><Relationship Type="http://schemas.openxmlformats.org/officeDocument/2006/relationships/hyperlink" Target="https://theshiftnews.com/2026/02/26/free-public-transport-reaches-e100-million-a-year-in-subsidies-as-traffic-gridlock-worsens/" TargetMode="External" Id="rId210"/><Relationship Type="http://schemas.openxmlformats.org/officeDocument/2006/relationships/hyperlink" Target="https://theshiftnews.com/2025/04/21/e15-million-traffic-plan-deemed-ineffective-within-two-months/" TargetMode="External" Id="rId211"/><Relationship Type="http://schemas.openxmlformats.org/officeDocument/2006/relationships/hyperlink" Target="https://newsbook.com.mt/en/cab-trips-surge-by-68-as-alternative-transport-demand-rises-says-transport-minister/" TargetMode="External" Id="rId212"/><Relationship Type="http://schemas.openxmlformats.org/officeDocument/2006/relationships/hyperlink" Target="https://www.transport.gov.mt/land/sustainable-transport/grant-schemes-on-new-electric-vehicles-and-pedelecs/2025-scheme-for-new-electric-vehicles-and-pedelecs-7136" TargetMode="External" Id="rId213"/><Relationship Type="http://schemas.openxmlformats.org/officeDocument/2006/relationships/hyperlink" Target="https://lovinmalta.com/malta/malta-ranked-number-seven-on-eurostats-passenger-cars-per-1000-inhabitants-dataset/" TargetMode="External" Id="rId214"/><Relationship Type="http://schemas.openxmlformats.org/officeDocument/2006/relationships/hyperlink" Target="https://newsbook.com.mt/en/maltas-roads-grow-more-congested-as-vehicle-fleet-tops-454000/" TargetMode="External" Id="rId215"/><Relationship Type="http://schemas.openxmlformats.org/officeDocument/2006/relationships/hyperlink" Target="https://www.independent.com.mt/articles/2026-04-23/local-news/First-section-of-La-Vallette-line-to-be-operational-in-early-2030s-Transport-Minister-says-6736289100" TargetMode="External" Id="rId216"/><Relationship Type="http://schemas.openxmlformats.org/officeDocument/2006/relationships/hyperlink" Target="https://investgozo.gov.mt/investment-malta-gozo-sea-transport/" TargetMode="External" Id="rId217"/><Relationship Type="http://schemas.openxmlformats.org/officeDocument/2006/relationships/hyperlink" Target="https://www.amphora.media/2025/06/waste-energy-maghtab-recycling-sustainable" TargetMode="External" Id="rId218"/><Relationship Type="http://schemas.openxmlformats.org/officeDocument/2006/relationships/hyperlink" Target="https://newsbook.com.mt/en/wasteserv-announces-e75-million-organic-waste-plant/" TargetMode="External" Id="rId219"/><Relationship Type="http://schemas.openxmlformats.org/officeDocument/2006/relationships/hyperlink" Target="https://theshiftnews.com/2026/02/19/maltas-waste-management-is-going-in-reverse/" TargetMode="External" Id="rId220"/><Relationship Type="http://schemas.openxmlformats.org/officeDocument/2006/relationships/hyperlink" Target="https://newsbook.com.mt/en/35-quarries-licensed-to-receive-construction-waste/" TargetMode="External" Id="rId221"/><Relationship Type="http://schemas.openxmlformats.org/officeDocument/2006/relationships/hyperlink" Target="https://www.gov.mt/en/Government/DOI/Press%20Releases/Pages/2026/02/12/pr260230en.aspx" TargetMode="External" Id="rId222"/><Relationship Type="http://schemas.openxmlformats.org/officeDocument/2006/relationships/hyperlink" Target="https://lovinmalta.com/news/general-election-2026/adpd-marsaskala-jerma-overdevelopment/" TargetMode="External" Id="rId223"/><Relationship Type="http://schemas.openxmlformats.org/officeDocument/2006/relationships/hyperlink" Target="https://newsbook.com.mt/en/malta-would-need-4-7m-tourists-a-year-if-planned-hotels-are-built/" TargetMode="External" Id="rId224"/><Relationship Type="http://schemas.openxmlformats.org/officeDocument/2006/relationships/hyperlink" Target="https://lovinmalta.com/news/watch-no-more-vans-ian-borg-pledges-major-comino-kiosk-revamp/" TargetMode="External" Id="rId225"/><Relationship Type="http://schemas.openxmlformats.org/officeDocument/2006/relationships/hyperlink" Target="https://theshiftnews.com/2025/11/11/malta-to-clamp-down-on-unlicensed-airbnb-rentals-with-three-year-ban/" TargetMode="External" Id="rId226"/><Relationship Type="http://schemas.openxmlformats.org/officeDocument/2006/relationships/hyperlink" Target="https://www.maltatoday.com.mt/news/national/143059/maltas_population_rose_to_588254_by_end_2025_nso" TargetMode="External" Id="rId227"/><Relationship Type="http://schemas.openxmlformats.org/officeDocument/2006/relationships/hyperlink" Target="https://maltachamber.org.mt/maltas-rapid-population-growth-creates-urgent-need-to-focus-on-the-countrys-infrastructure-demands-for-the-future/" TargetMode="External" Id="rId228"/><Relationship Type="http://schemas.openxmlformats.org/officeDocument/2006/relationships/hyperlink" Target="https://newsbook.com.mt/en/at-least-20-heat-linked-deaths-recorded-in-malta-during-july-heatwave/" TargetMode="External" Id="rId229"/><Relationship Type="http://schemas.openxmlformats.org/officeDocument/2006/relationships/hyperlink" Target="https://www.maltatoday.com.mt/news/national/142928/nine_workers_die_on_the_job_in_2025_as_ohsa_inspections_more_than_double" TargetMode="External" Id="rId230"/><Relationship Type="http://schemas.openxmlformats.org/officeDocument/2006/relationships/hyperlink" Target="https://www.maltatoday.com.mt/news/election-2026/142040/pn_published_its_manifesto_here_is_a_breakdown" TargetMode="External" Id="rId231"/><Relationship Type="http://schemas.openxmlformats.org/officeDocument/2006/relationships/hyperlink" Target="https://www.maltatoday.com.mt/news/election-2026/142040/pn_published_its_manifesto_here_is_a_breakdown" TargetMode="External" Id="rId232"/><Relationship Type="http://schemas.openxmlformats.org/officeDocument/2006/relationships/hyperlink" Target="https://eur-lex.europa.eu/legal-content/EN/TXT/HTML/?uri=CELEX%3A52025DC0668" TargetMode="External" Id="rId233"/><Relationship Type="http://schemas.openxmlformats.org/officeDocument/2006/relationships/hyperlink" Target="https://themaltapost.com/posts/malta-spends-400-million-to-keep-energy-bills-low-through-2027" TargetMode="External" Id="rId234"/><Relationship Type="http://schemas.openxmlformats.org/officeDocument/2006/relationships/hyperlink" Target="https://maritime-spatial-planning.ec.europa.eu/practices/aquaculture-conflict-blue-growth-example-aquaculture-cages-re-allocation" TargetMode="External" Id="rId235"/><Relationship Type="http://schemas.openxmlformats.org/officeDocument/2006/relationships/hyperlink" Target="https://newsbook.com.mt/en/gwu-registers-industrial-dispute-with-securital-over-beach-workers-heat-exposure/" TargetMode="External" Id="rId236"/><Relationship Type="http://schemas.openxmlformats.org/officeDocument/2006/relationships/hyperlink" Target="https://theshiftnews.com/2026/06/24/visit-malta-officials-filmed-telling-citizens-to-leave-deckchair-occupied-beach-in-comino/" TargetMode="External" Id="rId237"/><Relationship Type="http://schemas.openxmlformats.org/officeDocument/2006/relationships/hyperlink" Target="https://maltabusinessweekly.com/maltas-demographic-shift-a-growing-foreign-workforce/29055/" TargetMode="External" Id="rId238"/><Relationship Type="http://schemas.openxmlformats.org/officeDocument/2006/relationships/hyperlink" Target="https://maltairport.com/corporate/our-airport/facts-and-figures/" TargetMode="External" Id="rId239"/><Relationship Type="http://schemas.openxmlformats.org/officeDocument/2006/relationships/hyperlink" Target="https://ec.europa.eu/eurostat/databrowser/view/nrg_pc_204/default/table" TargetMode="External" Id="rId240"/><Relationship Type="http://schemas.openxmlformats.org/officeDocument/2006/relationships/hyperlink" Target="https://www.imf.org/-/media/files/publications/cr/2026/english/1mltea2026001-source-pdf.pdf" TargetMode="External" Id="rId241"/><Relationship Type="http://schemas.openxmlformats.org/officeDocument/2006/relationships/hyperlink" Target="https://bio.discomap.eea.europa.eu/arcgis/rest/services/ProtectedSites/Natura2000Sites/MapServer" TargetMode="External" Id="rId242"/><Relationship Type="http://schemas.openxmlformats.org/officeDocument/2006/relationships/hyperlink" Target="https://biodiversity.europa.eu/countries/malta" TargetMode="External" Id="rId243"/><Relationship Type="http://schemas.openxmlformats.org/officeDocument/2006/relationships/hyperlink" Target="https://newsbook.com.mt/en/buttigieg-says-guiding-contractors-is-my-job-dodges-questions-on-fenech-business-offer/" TargetMode="External" Id="rId244"/><Relationship Type="http://schemas.openxmlformats.org/officeDocument/2006/relationships/hyperlink" Target="https://themalteseherald.com/2026/09/24/watch-protestors-crash-planning-conference-with-minister-and-pa-chairman/" TargetMode="External" Id="rId245"/><Relationship Type="http://schemas.openxmlformats.org/officeDocument/2006/relationships/hyperlink" Target="https://www.maltatoday.com.mt/news/national/138271/malta_cuts_emissions_faster_than_eu_average_report_shows" TargetMode="External" Id="rId246"/><Relationship Type="http://schemas.openxmlformats.org/officeDocument/2006/relationships/hyperlink" Target="https://malta.representation.ec.europa.eu/news/july-infringements-package-key-decisions-2026-07-08_en" TargetMode="External" Id="rId247"/><Relationship Type="http://schemas.openxmlformats.org/officeDocument/2006/relationships/hyperlink" Target="https://newsbook.com.mt/en/public-entities-ignore-ombudsman-as-defiance-reaches-record-high/" TargetMode="External" Id="rId248"/><Relationship Type="http://schemas.openxmlformats.org/officeDocument/2006/relationships/hyperlink" Target="https://www.independent.com.mt/articles/2026-06-05/local-news/Ombudsman-presents-2025-Annual-Report-to-Speaker-of-the-House-of-Representatives-6736290260" TargetMode="External" Id="rId249"/><Relationship Type="http://schemas.openxmlformats.org/officeDocument/2006/relationships/hyperlink" Target="https://newsbook.com.mt/en/government-refuses-to-disclose-where-heat-related-deaths-occurred/" TargetMode="External" Id="rId250"/><Relationship Type="http://schemas.openxmlformats.org/officeDocument/2006/relationships/hyperlink" Target="https://newsbook.com.mt/en/at-least-20-heat-linked-deaths-recorded-in-malta-during-july-heatwave/" TargetMode="External" Id="rId251"/><Relationship Type="http://schemas.openxmlformats.org/officeDocument/2006/relationships/hyperlink" Target="https://newsbook.com.mt/en/eu-urged-to-pressure-malta-over-noise-pollution/" TargetMode="External" Id="rId252"/><Relationship Type="http://schemas.openxmlformats.org/officeDocument/2006/relationships/hyperlink" Target="https://newsbook.com.mt/en/air-and-noise-pollution-are-harming-our-health-adpd/" TargetMode="External" Id="rId253"/><Relationship Type="http://schemas.openxmlformats.org/officeDocument/2006/relationships/hyperlink" Target="https://birdlifemalta.org/arcipelagugarnija/" TargetMode="External" Id="rId254"/><Relationship Type="http://schemas.openxmlformats.org/officeDocument/2006/relationships/hyperlink" Target="https://doi.org/10.2861/6278624" TargetMode="External" Id="rId255"/><Relationship Type="http://schemas.openxmlformats.org/officeDocument/2006/relationships/hyperlink" Target="https://doi.org/10.14284/632" TargetMode="External" Id="rId256"/><Relationship Type="http://schemas.openxmlformats.org/officeDocument/2006/relationships/hyperlink" Target="https://doi.org/10.14284/633" TargetMode="External" Id="rId257"/><Relationship Type="http://schemas.openxmlformats.org/officeDocument/2006/relationships/hyperlink" Target="https://water.discomap.eea.europa.eu/arcgis/rest/services/Marine/Marine_waters_EU/MapServer" TargetMode="External" Id="rId258"/><Relationship Type="http://schemas.openxmlformats.org/officeDocument/2006/relationships/hyperlink" Target="https://water.discomap.eea.europa.eu/arcgis/rest/services/Marine/Bathymetry/ImageServer" TargetMode="External" Id="rId259"/><Relationship Type="http://schemas.openxmlformats.org/officeDocument/2006/relationships/hyperlink" Target="https://eur-lex.europa.eu/legal-content/EN/TXT/?uri=CELEX:52020DC0380" TargetMode="External" Id="rId260"/><Relationship Type="http://schemas.openxmlformats.org/officeDocument/2006/relationships/hyperlink" Target="https://www.cbd.int/gbf/targets/3" TargetMode="External" Id="rId261"/><Relationship Type="http://schemas.openxmlformats.org/officeDocument/2006/relationships/hyperlink" Target="https://tvmnews.mt/en/news/enemalta-medium-voltage-interruption-time-down-by-76-since-2023/" TargetMode="External" Id="rId262"/><Relationship Type="http://schemas.openxmlformats.org/officeDocument/2006/relationships/hyperlink" Target="https://www.maltatoday.com.mt/news/national/143596/enemalta_refuses_to_give_electricity_outage_breakdown_cites_76_drop_in_downtime_" TargetMode="External" Id="rId263"/><Relationship Type="http://schemas.openxmlformats.org/officeDocument/2006/relationships/hyperlink" Target="https://www.maltatoday.com.mt/news/national/143550/reduced_downtime_shows_distribution_investment_is_reaping_results_enemalta_tells_social_partners_" TargetMode="External" Id="rId264"/><Relationship Type="http://schemas.openxmlformats.org/officeDocument/2006/relationships/hyperlink" Target="https://www.independent.com.mt/articles/2026-05-27/local-news/Gozo-s-bus-fleet-is-now-100-electric-after-11-million-investment-6736290059" TargetMode="External" Id="rId265"/><Relationship Type="http://schemas.openxmlformats.org/officeDocument/2006/relationships/hyperlink" Target="https://www.transport.gov.mt/land/public-transport/bus-service/bus-fleet-electrification-7774" TargetMode="External" Id="rId266"/><Relationship Type="http://schemas.openxmlformats.org/officeDocument/2006/relationships/hyperlink" Target="https://www.maltatoday.com.mt/environment/planning/131454/gozo_seeks_experts_to_set_target_date_for_climate_neutrality" TargetMode="External" Id="rId267"/><Relationship Type="http://schemas.openxmlformats.org/officeDocument/2006/relationships/hyperlink" Target="https://www.thehansindia.com/news/international/malta-plans-25-pc-renewables-by-2030-climate-neutrality-by-2050-916963" TargetMode="External" Id="rId268"/><Relationship Type="http://schemas.openxmlformats.org/officeDocument/2006/relationships/hyperlink" Target="https://www.independent.com.mt/articles/2024-10-24/local-news/Malta-aiming-to-increase-renewable-energy-share-to-25-by-2030-with-offshore-wind-farms-favoured-6736265175" TargetMode="External" Id="rId269"/><Relationship Type="http://schemas.openxmlformats.org/officeDocument/2006/relationships/hyperlink" Target="https://ec.europa.eu/eurostat/web/products-eurostat-news/w/ddn-20260616-2" TargetMode="External" Id="rId270"/><Relationship Type="http://schemas.openxmlformats.org/officeDocument/2006/relationships/hyperlink" Target="https://ec.europa.eu/eurostat/databrowser/view/env_ac_ainah_r2/" TargetMode="External" Id="rId271"/><Relationship Type="http://schemas.openxmlformats.org/officeDocument/2006/relationships/hyperlink" Target="https://ec.europa.eu/eurostat/databrowser/view/env_air_gge/" TargetMode="External" Id="rId272"/><Relationship Type="http://schemas.openxmlformats.org/officeDocument/2006/relationships/hyperlink" Target="https://ec.europa.eu/eurostat/cache/metadata/EN/env_ac_ainah_r2_simsae_dk.htm" TargetMode="External" Id="rId273"/><Relationship Type="http://schemas.openxmlformats.org/officeDocument/2006/relationships/hyperlink" Target="https://ec.europa.eu/eurostat/databrowser/view/ilc_mddw01" TargetMode="External" Id="rId274"/><Relationship Type="http://schemas.openxmlformats.org/officeDocument/2006/relationships/hyperlink" Target="https://doi.org/10.1016/S0140-6736(13)61613-X" TargetMode="External" Id="rId275"/><Relationship Type="http://schemas.openxmlformats.org/officeDocument/2006/relationships/hyperlink" Target="https://doi.org/10.3390/ijerph14121539" TargetMode="External" Id="rId276"/><Relationship Type="http://schemas.openxmlformats.org/officeDocument/2006/relationships/hyperlink" Target="https://doi.org/10.3390/ijerph15020379" TargetMode="External" Id="rId277"/><Relationship Type="http://schemas.openxmlformats.org/officeDocument/2006/relationships/hyperlink" Target="https://era.org.mt/wp-content/uploads/2023/12/Annex-I_Noise-Action-Plan-submissions-and-responses_Final.pdf" TargetMode="External" Id="rId278"/><Relationship Type="http://schemas.openxmlformats.org/officeDocument/2006/relationships/hyperlink" Target="https://discodata.eea.europa.eu/sql" TargetMode="External" Id="rId279"/><Relationship Type="http://schemas.openxmlformats.org/officeDocument/2006/relationships/hyperlink" Target="https://eur-lex.europa.eu/legal-content/EN/TXT/?uri=CELEX:52025SC0318" TargetMode="External" Id="rId280"/><Relationship Type="http://schemas.openxmlformats.org/officeDocument/2006/relationships/hyperlink" Target="https://water.discomap.eea.europa.eu/arcgis/rest/services/WISE_WFD/WFD2022_GroundWaterBody_WM/MapServer/0" TargetMode="External" Id="rId281"/><Relationship Type="http://schemas.openxmlformats.org/officeDocument/2006/relationships/hyperlink" Target="https://water.discomap.eea.europa.eu/arcgis/rest/services/WISE_WFD/WFD2016_GroundWaterBody_WM/MapServer/0" TargetMode="External" Id="rId282"/><Relationship Type="http://schemas.openxmlformats.org/officeDocument/2006/relationships/hyperlink" Target="https://ec.europa.eu/eurostat/databrowser/view/nrg_pc_204/default/table" TargetMode="External" Id="rId283"/><Relationship Type="http://schemas.openxmlformats.org/officeDocument/2006/relationships/hyperlink" Target="https://ec.europa.eu/eurostat/databrowser/view/ilc_lvho07a/default/table" TargetMode="External" Id="rId284"/><Relationship Type="http://schemas.openxmlformats.org/officeDocument/2006/relationships/hyperlink" Target="https://ec.europa.eu/eurostat/databrowser/view/tipsho10/default/table" TargetMode="External" Id="rId285"/><Relationship Type="http://schemas.openxmlformats.org/officeDocument/2006/relationships/hyperlink" Target="https://electionguide.org/elections/id/5161/" TargetMode="External" Id="rId286"/><Relationship Type="http://schemas.openxmlformats.org/officeDocument/2006/relationships/hyperlink" Target="https://projectgreen.mt/vouchers-continue-to-be-issued-to-beneficiaries-of-the-tree-planting-initiative/" TargetMode="External" Id="rId287"/><Relationship Type="http://schemas.openxmlformats.org/officeDocument/2006/relationships/hyperlink" Target="https://en.wikipedia.org/wiki/Comino" TargetMode="External" Id="rId288"/><Relationship Type="http://schemas.openxmlformats.org/officeDocument/2006/relationships/hyperlink" Target="https://www.britannica.com/place/Comino" TargetMode="External" Id="rId289"/><Relationship Type="http://schemas.openxmlformats.org/officeDocument/2006/relationships/hyperlink" Target="https://issuu.com/planningauthority/docs/annual_report_2019" TargetMode="External" Id="rId290"/><Relationship Type="http://schemas.openxmlformats.org/officeDocument/2006/relationships/hyperlink" Target="https://www.infrastructuremalta.com/news/grand-harbour-clean-air-project-gets-underway" TargetMode="External" Id="rId291"/><Relationship Type="http://schemas.openxmlformats.org/officeDocument/2006/relationships/hyperlink" Target="https://www.infrastructuremalta.com/news/first-grand-harbour-clean-air-project-frequency-converters-place" TargetMode="External" Id="rId292"/><Relationship Type="http://schemas.openxmlformats.org/officeDocument/2006/relationships/hyperlink" Target="https://mda.com.mt/a-strong-housing-market-supported-by-excellent-fundamentals/" TargetMode="External" Id="rId293"/><Relationship Type="http://schemas.openxmlformats.org/officeDocument/2006/relationships/hyperlink" Target="https://clean-energy-islands.ec.europa.eu/system/files/2025-06/REPORT_TechnicalAssistance_Gozo_20230223.pdf" TargetMode="External" Id="rId294"/><Relationship Type="http://schemas.openxmlformats.org/officeDocument/2006/relationships/hyperlink" Target="https://doi.org/10.5194/bg-4-891-2007" TargetMode="External" Id="rId295"/><Relationship Type="http://schemas.openxmlformats.org/officeDocument/2006/relationships/hyperlink" Target="https://ec.europa.eu/eurostat/databrowser/view/demo_r_pjanaggr3/default/table" TargetMode="External" Id="rId296"/><Relationship Type="http://schemas.openxmlformats.org/officeDocument/2006/relationships/hyperlink" Target="https://ec.europa.eu/eurostat/databrowser/view/ilc_mddw02/default/table" TargetMode="External" Id="rId297"/><Relationship Type="http://schemas.openxmlformats.org/officeDocument/2006/relationships/hyperlink" Target="https://doi.org/10.1097/01.ede.0000276553.96485.21" TargetMode="External" Id="rId298"/><Relationship Type="http://schemas.openxmlformats.org/officeDocument/2006/relationships/hyperlink" Target="https://www.transport.gov.mt/strategies/research-reports-studies/malta-gozo-fixed-link-2880" TargetMode="External" Id="rId299"/><Relationship Type="http://schemas.openxmlformats.org/officeDocument/2006/relationships/hyperlink" Target="https://www.transport.gov.mt/Preliminary-Analysis-Assessment-of-Road-Tunnel-Options-between-Malta-and-Gozo-Mott-MacDonald.pdf-f3628" TargetMode="External" Id="rId300"/><Relationship Type="http://schemas.openxmlformats.org/officeDocument/2006/relationships/hyperlink" Target="https://maltairport.com/corporate-news/airfield-electrification-at-mia-set-to-avoid-1000-tonnes-of-co2-emissions-annually/" TargetMode="External" Id="rId301"/><Relationship Type="http://schemas.openxmlformats.org/officeDocument/2006/relationships/hyperlink" Target="https://maltairport.com/app/uploads/2026/10/Final_MIA26-Sustaibability.pdf" TargetMode="External" Id="rId302"/><Relationship Type="http://schemas.openxmlformats.org/officeDocument/2006/relationships/hyperlink" Target="https://www.airportcarbonaccreditation.org/about/7-levels-of-accreditation/neutrality/" TargetMode="External" Id="rId303"/><Relationship Type="http://schemas.openxmlformats.org/officeDocument/2006/relationships/hyperlink" Target="https://doi.org/10.1016/j.trd.2018.06.015" TargetMode="External" Id="rId304"/><Relationship Type="http://schemas.openxmlformats.org/officeDocument/2006/relationships/hyperlink" Target="https://maltairport.com/app/uploads/2025/10/September-Traffic-Results.pdf" TargetMode="External" Id="rId305"/><Relationship Type="http://schemas.openxmlformats.org/officeDocument/2006/relationships/hyperlink" Target="https://www.wsc.com.mt/european-commission-endorses-wscs-net-zero-impact-utility-project/" TargetMode="External" Id="rId306"/><Relationship Type="http://schemas.openxmlformats.org/officeDocument/2006/relationships/hyperlink" Target="https://www.wsc.com.mt/towards-a-net-zero-impact-utility-new-e100-million-eu-funded-project-set-to-improve-water-quality-to-all-new-highs/" TargetMode="External" Id="rId307"/><Relationship Type="http://schemas.openxmlformats.org/officeDocument/2006/relationships/hyperlink" Target="https://energywateragency.gov.mt/wp-content/uploads/2023/11/GREEN-PAPER.pdf" TargetMode="External" Id="rId308"/><Relationship Type="http://schemas.openxmlformats.org/officeDocument/2006/relationships/hyperlink" Target="https://www.maltatoday.com.mt/environment/planning/126318/free_no_more_a_price_tag_on_groundwater" TargetMode="External" Id="rId309"/><Relationship Type="http://schemas.openxmlformats.org/officeDocument/2006/relationships/hyperlink" Target="https://water.discomap.eea.europa.eu/arcgis/rest/services/BathingWater/BathingWater_Dyna_WM_2025/MapServer/3" TargetMode="External" Id="rId310"/><Relationship Type="http://schemas.openxmlformats.org/officeDocument/2006/relationships/hyperlink" Target="https://discodata.eea.europa.eu/sql" TargetMode="External" Id="rId311"/><Relationship Type="http://schemas.openxmlformats.org/officeDocument/2006/relationships/hyperlink" Target="https://eur-lex.europa.eu/legal-content/EN/TXT/?uri=CELEX:32006L0007" TargetMode="External" Id="rId312"/><Relationship Type="http://schemas.openxmlformats.org/officeDocument/2006/relationships/hyperlink" Target="https://eeadmz1-downloads-webapp.azurewebsites.net/" TargetMode="External" Id="rId313"/><Relationship Type="http://schemas.openxmlformats.org/officeDocument/2006/relationships/hyperlink" Target="https://cdr.eionet.europa.eu/mt/eu/aqd/d/envayh2iw/" TargetMode="External" Id="rId314"/><Relationship Type="http://schemas.openxmlformats.org/officeDocument/2006/relationships/hyperlink" Target="https://eur-lex.europa.eu/eli/dir/2024/2881/oj" TargetMode="External" Id="rId315"/><Relationship Type="http://schemas.openxmlformats.org/officeDocument/2006/relationships/hyperlink" Target="https://www.openstreetmap.org/way/1460775989" TargetMode="External" Id="rId316"/><Relationship Type="http://schemas.openxmlformats.org/officeDocument/2006/relationships/hyperlink" Target="https://ec.europa.eu/eurostat/databrowser/view/env_air_gge/default/table" TargetMode="External" Id="rId317"/><Relationship Type="http://schemas.openxmlformats.org/officeDocument/2006/relationships/hyperlink" Target="https://ec.europa.eu/eurostat/databrowser/view/ilc_di03/default/table" TargetMode="External" Id="rId318"/><Relationship Type="http://schemas.openxmlformats.org/officeDocument/2006/relationships/hyperlink" Target="https://ec.europa.eu/eurostat/databrowser/view/nrg_d_hhq/default/table" TargetMode="External" Id="rId319"/><Relationship Type="http://schemas.openxmlformats.org/officeDocument/2006/relationships/hyperlink" Target="https://ec.europa.eu/eurostat/databrowser/view/lfst_hhnhtych/default/table" TargetMode="External" Id="rId320"/><Relationship Type="http://schemas.openxmlformats.org/officeDocument/2006/relationships/hyperlink" Target="https://ec.europa.eu/eurostat/databrowser/view/nasa_10_nf_tr/default/table" TargetMode="External" Id="rId321"/><Relationship Type="http://schemas.openxmlformats.org/officeDocument/2006/relationships/hyperlink" Target="https://ec.europa.eu/eurostat/databrowser/view/hbs_str_t211/default/table" TargetMode="External" Id="rId322"/><Relationship Type="http://schemas.openxmlformats.org/officeDocument/2006/relationships/hyperlink" Target="https://ec.europa.eu/eurostat/databrowser/view/ilc_hcmp03/default/table" TargetMode="External" Id="rId323"/><Relationship Type="http://schemas.openxmlformats.org/officeDocument/2006/relationships/hyperlink" Target="https://ec.europa.eu/eurostat/databrowser/" TargetMode="External" Id="rId324"/><Relationship Type="http://schemas.openxmlformats.org/officeDocument/2006/relationships/hyperlink" Target="https://www.elibrary.imf.org/view/journals/018/2026/022/article-A001-en.xml" TargetMode="External" Id="rId325"/><Relationship Type="http://schemas.openxmlformats.org/officeDocument/2006/relationships/hyperlink" Target="https://www.elibrary.imf.org/view/journals/007/2022/029/article-A001-en.xml" TargetMode="External" Id="rId326"/><Relationship Type="http://schemas.openxmlformats.org/officeDocument/2006/relationships/hyperlink" Target="https://www.elibrary.imf.org/view/journals/002/2000/065/article-A001-en.xml" TargetMode="External" Id="rId327"/><Relationship Type="http://schemas.openxmlformats.org/officeDocument/2006/relationships/hyperlink" Target="https://www.elibrary.imf.org/view/journals/002/2002/118/article-A001-en.xml" TargetMode="External" Id="rId328"/><Relationship Type="http://schemas.openxmlformats.org/officeDocument/2006/relationships/hyperlink" Target="https://www.elibrary.imf.org/" TargetMode="External" Id="rId329"/><Relationship Type="http://schemas.openxmlformats.org/officeDocument/2006/relationships/hyperlink" Target="https://ec.europa.eu/eurostat/databrowser/" TargetMode="External" Id="rId330"/><Relationship Type="http://schemas.openxmlformats.org/officeDocument/2006/relationships/hyperlink" Target="https://www.mscpressarea.com/en_US/press-releases/sustainable-cruising-the-cruise-division-of-msc-group-and-chantiers-de-l-atlantiq/" TargetMode="External" Id="rId331"/><Relationship Type="http://schemas.openxmlformats.org/officeDocument/2006/relationships/hyperlink" Target="https://www.mscpressarea.com/en_GB/press-releases/msc-world-europa-the-world-s-most-environmentally-high-performing-cruise-ship-sta/" TargetMode="External" Id="rId332"/><Relationship Type="http://schemas.openxmlformats.org/officeDocument/2006/relationships/hyperlink" Target="https://issuu.com/planningauthority/docs/pa_annual_report_2017" TargetMode="External" Id="rId333"/><Relationship Type="http://schemas.openxmlformats.org/officeDocument/2006/relationships/hyperlink" Target="https://issuu.com/planningauthority/docs/annual_report_2018_pa_march_final" TargetMode="External" Id="rId334"/><Relationship Type="http://schemas.openxmlformats.org/officeDocument/2006/relationships/hyperlink" Target="https://issuu.com/planningauthority/docs/pa_2020_annual_report_v3" TargetMode="External" Id="rId335"/><Relationship Type="http://schemas.openxmlformats.org/officeDocument/2006/relationships/hyperlink" Target="https://issuu.com/planningauthority/docs/pa_ar_2022_cmyk_single_page_ver2" TargetMode="External" Id="rId336"/><Relationship Type="http://schemas.openxmlformats.org/officeDocument/2006/relationships/hyperlink" Target="https://issuu.com/planningauthority/docs/20230117_pa_cd_annual_report_2022_web_final" TargetMode="External" Id="rId337"/><Relationship Type="http://schemas.openxmlformats.org/officeDocument/2006/relationships/hyperlink" Target="https://issuu.com/planningauthority/docs/pa_annual_report_2023" TargetMode="External" Id="rId338"/><Relationship Type="http://schemas.openxmlformats.org/officeDocument/2006/relationships/hyperlink" Target="https://eur-lex.europa.eu/legal-content/EN/TXT/?uri=CELEX:52023DC0304" TargetMode="External" Id="rId339"/><Relationship Type="http://schemas.openxmlformats.org/officeDocument/2006/relationships/hyperlink" Target="https://eur-lex.europa.eu/legal-content/EN/TXT/?uri=CELEX:52023SC0195" TargetMode="External" Id="rId340"/><Relationship Type="http://schemas.openxmlformats.org/officeDocument/2006/relationships/hyperlink" Target="https://eur-lex.europa.eu/legal-content/EN/TXT/?uri=CELEX:52025SC0318" TargetMode="External" Id="rId341"/><Relationship Type="http://schemas.openxmlformats.org/officeDocument/2006/relationships/hyperlink" Target="https://ec.europa.eu/eurostat/databrowser/view/cei_wm011/default/table" TargetMode="External" Id="rId342"/><Relationship Type="http://schemas.openxmlformats.org/officeDocument/2006/relationships/hyperlink" Target="https://ec.europa.eu/eurostat/databrowser/view/env_wat_abs/default/table" TargetMode="External" Id="rId343"/><Relationship Type="http://schemas.openxmlformats.org/officeDocument/2006/relationships/hyperlink" Target="https://doi.org/10.1016/j.apgeochem.2009.12.010" TargetMode="External" Id="rId344"/><Relationship Type="http://schemas.openxmlformats.org/officeDocument/2006/relationships/hyperlink" Target="https://doi.org/10.7343/as-2020-477" TargetMode="External" Id="rId345"/><Relationship Type="http://schemas.openxmlformats.org/officeDocument/2006/relationships/hyperlink" Target="https://doi.org/10.1002/9781444300345.ch19" TargetMode="External" Id="rId346"/><Relationship Type="http://schemas.openxmlformats.org/officeDocument/2006/relationships/hyperlink" Target="https://lovinmalta.com/news/watch-game-changer-robert-abela-discusses-land-reclamation-plans-off-cost-of-birzebbuga/" TargetMode="External" Id="rId347"/><Relationship Type="http://schemas.openxmlformats.org/officeDocument/2006/relationships/hyperlink" Target="https://data-gis.unep-wcmc.org/server/rest/services/HabitatsAndBiotopes/Global_Distribution_of_Seagrasses/FeatureServer" TargetMode="External" Id="rId348"/><Relationship Type="http://schemas.openxmlformats.org/officeDocument/2006/relationships/hyperlink" Target="https://emodnet.ec.europa.eu/geonetwork/srv/eng/catalog.search#/metadata/39746d9c-4220-425c-bc26-7cb3056c36a5" TargetMode="External" Id="rId349"/><Relationship Type="http://schemas.openxmlformats.org/officeDocument/2006/relationships/hyperlink" Target="https://ows.emodnet-bathymetry.eu/wcs" TargetMode="External" Id="rId350"/><Relationship Type="http://schemas.openxmlformats.org/officeDocument/2006/relationships/hyperlink" Target="https://nature-art17.eionet.europa.eu/article17/habitat/summary/?period=6&amp;subject=1120" TargetMode="External" Id="rId351"/><Relationship Type="http://schemas.openxmlformats.org/officeDocument/2006/relationships/hyperlink" Target="https://www.unep-wcmc.org/en/general-data-license" TargetMode="External" Id="rId352"/><Relationship Type="http://schemas.openxmlformats.org/officeDocument/2006/relationships/hyperlink" Target="https://www.amphora.media/greentogrey/data/malta-change.geojson" TargetMode="External" Id="rId353"/><Relationship Type="http://schemas.openxmlformats.org/officeDocument/2006/relationships/hyperlink" Target="https://ic.imagery1.arcgis.com/arcgis/rest/services/Sentinel2_10m_LandCover/ImageServer" TargetMode="External" Id="rId354"/><Relationship Type="http://schemas.openxmlformats.org/officeDocument/2006/relationships/hyperlink" Target="https://image.discomap.eea.europa.eu/arcgis/rest/services/Corine" TargetMode="External" Id="rId355"/><Relationship Type="http://schemas.openxmlformats.org/officeDocument/2006/relationships/hyperlink" Target="https://wayback.maptiles.arcgis.com/arcgis/rest/services/World_Imagery" TargetMode="External" Id="rId356"/><Relationship Type="http://schemas.openxmlformats.org/officeDocument/2006/relationships/hyperlink" Target="https://metadata.maptiles.arcgis.com/arcgis/rest/services" TargetMode="External" Id="rId357"/><Relationship Type="http://schemas.openxmlformats.org/officeDocument/2006/relationships/hyperlink" Target="https://www.eea.europa.eu/en/topics/in-depth/air-pollution/air-pollution-country-fact-sheets-2025/quick-country-facts" TargetMode="External" Id="rId358"/><Relationship Type="http://schemas.openxmlformats.org/officeDocument/2006/relationships/hyperlink" Target="https://tvmnews.mt/en/news/first-solar-flowers-in-europe-installed-at-the-gozo-multi-modal-hub-in-ta-xhajma/" TargetMode="External" Id="rId359"/><Relationship Type="http://schemas.openxmlformats.org/officeDocument/2006/relationships/hyperlink" Target="https://reforms-investments.ec.europa.eu/projects/15-solar-flowers-installed-gozo-electricity-generation-first-project-its-kind-europe-0_en" TargetMode="External" Id="rId360"/><Relationship Type="http://schemas.openxmlformats.org/officeDocument/2006/relationships/hyperlink" Target="https://tvmnews.mt/en/news/three-submissions-presented-for-the-first-offshore-wind-farm-concession-in-malta/" TargetMode="External" Id="rId361"/><Relationship Type="http://schemas.openxmlformats.org/officeDocument/2006/relationships/hyperlink" Target="https://newsbook.com.mt/en/three-firms-bid-for-maltas-first-offshore-wind-farm-concession/" TargetMode="External" Id="rId362"/><Relationship Type="http://schemas.openxmlformats.org/officeDocument/2006/relationships/hyperlink" Target="https://ec.europa.eu/eurostat/statistics-explained/index.php?title=Quality_of_life_indicators_-_natural_and_living_environment" TargetMode="External" Id="rId363"/><Relationship Type="http://schemas.openxmlformats.org/officeDocument/2006/relationships/hyperlink" Target="https://ec.europa.eu/eurostat/web/products-eurostat-news/w/ddn-20250901-1" TargetMode="External" Id="rId364"/><Relationship Type="http://schemas.openxmlformats.org/officeDocument/2006/relationships/hyperlink" Target="https://ec.europa.eu/eurostat/statistics-explained/index.php?title=EU_statistics_on_income_and_living_conditions_(EU-SILC)_methodology_-_environment_of_the_dwelling" TargetMode="External" Id="rId365"/><Relationship Type="http://schemas.openxmlformats.org/officeDocument/2006/relationships/hyperlink" Target="https://data.europa.eu/eli/reg/2019/1700/oj" TargetMode="External" Id="rId366"/><Relationship Type="http://schemas.openxmlformats.org/officeDocument/2006/relationships/hyperlink" Target="https://data.europa.eu/eli/reg_del/2022/29/oj" TargetMode="External" Id="rId367"/><Relationship Type="http://schemas.openxmlformats.org/officeDocument/2006/relationships/hyperlink" Target="https://data.europa.eu/eli/reg_del/2020/256/oj" TargetMode="External" Id="rId368"/><Relationship Type="http://schemas.openxmlformats.org/officeDocument/2006/relationships/hyperlink" Target="https://ec.europa.eu/eurostat/databrowser/view/ilc_li02/default/table" TargetMode="External" Id="rId369"/><Relationship Type="http://schemas.openxmlformats.org/officeDocument/2006/relationships/hyperlink" Target="https://www.airportcarbonaccreditation.org/wp-json/wp/v2/accredited-airport?slug=malta" TargetMode="External" Id="rId370"/><Relationship Type="http://schemas.openxmlformats.org/officeDocument/2006/relationships/hyperlink" Target="https://www.airportcarbonaccreditation.org/malta-international-airport-reaches-level-3/" TargetMode="External" Id="rId371"/><Relationship Type="http://schemas.openxmlformats.org/officeDocument/2006/relationships/hyperlink" Target="https://public-api.goldstandard.org/credits/585497" TargetMode="External" Id="rId372"/><Relationship Type="http://schemas.openxmlformats.org/officeDocument/2006/relationships/hyperlink" Target="https://registry.rainbowstandard.io/ledger/transactions/9e16ced5-8874-4ea6-8e0d-3f0344b137e8" TargetMode="External" Id="rId373"/><Relationship Type="http://schemas.openxmlformats.org/officeDocument/2006/relationships/hyperlink" Target="https://cinea.ec.europa.eu/document/download/c152fb88-a997-432a-b28c-5b33a1995abf_en?filename=CEF-T-2024-AFIF_Cut-off+2_Evaluation+outcome_Communication+item_list+of+projects.pdf" TargetMode="External" Id="rId374"/><Relationship Type="http://schemas.openxmlformats.org/officeDocument/2006/relationships/hyperlink" Target="https://maltairport.com/corporate/our-airport/facts-and-figures/" TargetMode="External" Id="rId375"/><Relationship Type="http://schemas.openxmlformats.org/officeDocument/2006/relationships/hyperlink" Target="https://maltairport.com/corporate/our-airport/at-a-glance/" TargetMode="External" Id="rId376"/><Relationship Type="http://schemas.openxmlformats.org/officeDocument/2006/relationships/hyperlink" Target="https://maltairport.com/app/uploads/2026/01/Net-Zero-Carbon-Plan.pdf" TargetMode="External" Id="rId377"/><Relationship Type="http://schemas.openxmlformats.org/officeDocument/2006/relationships/hyperlink" Target="https://repository.uwl.ac.uk/id/eprint/5214/" TargetMode="External" Id="rId378"/><Relationship Type="http://schemas.openxmlformats.org/officeDocument/2006/relationships/hyperlink" Target="https://maltairport.com/app/uploads/2026/01/Full-Year-Traffic-Update.pdf" TargetMode="External" Id="rId379"/><Relationship Type="http://schemas.openxmlformats.org/officeDocument/2006/relationships/hyperlink" Target="https://maltairport.com/app/uploads/2026/08/MIA-CoAnn-495-2026-Buyback-Week-Ended-21-August.pdf" TargetMode="External" Id="rId380"/><Relationship Type="http://schemas.openxmlformats.org/officeDocument/2006/relationships/hyperlink" Target="https://ombudsman.org.mt/media/0ownfd4k/digital-annual-report-2025-en.pdf" TargetMode="External" Id="rId381"/><Relationship Type="http://schemas.openxmlformats.org/officeDocument/2006/relationships/hyperlink" Target="https://ombudsman.org.mt/media/q4nbhpzv/annual-report-2024-ombudsman.pdf" TargetMode="External" Id="rId382"/><Relationship Type="http://schemas.openxmlformats.org/officeDocument/2006/relationships/hyperlink" Target="https://ombudsman.org.mt/media/fr1ndd4u/annual-report-2023-en.pdf" TargetMode="External" Id="rId383"/><Relationship Type="http://schemas.openxmlformats.org/officeDocument/2006/relationships/hyperlink" Target="https://commission.europa.eu/publications/malta-final-updated-necp-2021-2030-submitted-2025_en" TargetMode="External" Id="rId384"/><Relationship Type="http://schemas.openxmlformats.org/officeDocument/2006/relationships/hyperlink" Target="https://web.archive.org/web/20250815211515/https://era.org.mt/air-quality-plan-for-malta-2024/" TargetMode="External" Id="rId385"/><Relationship Type="http://schemas.openxmlformats.org/officeDocument/2006/relationships/hyperlink" Target="https://era.org.mt/wp-content/uploads/2025/02/DIGITAL-Air-Quality-Plan.pdf" TargetMode="External" Id="rId386"/><Relationship Type="http://schemas.openxmlformats.org/officeDocument/2006/relationships/hyperlink" Target="https://tvmnews.mt/en/news/pm-apologises-over-power-cuts-stresses-investment-in-distribution-system-will-continue/" TargetMode="External" Id="rId387"/><Relationship Type="http://schemas.openxmlformats.org/officeDocument/2006/relationships/hyperlink" Target="https://tvmnews.mt/en/news/public-transport-in-gozo-is-now-being-completely-operated-with-electric-buses/" TargetMode="External" Id="rId388"/><Relationship Type="http://schemas.openxmlformats.org/officeDocument/2006/relationships/hyperlink" Target="https://unfccc.int/sites/default/files/resource/MALTA_cop30cmp20cma7_HLS_ENG.pdf" TargetMode="External" Id="rId389"/><Relationship Type="http://schemas.openxmlformats.org/officeDocument/2006/relationships/hyperlink" Target="https://ec.europa.eu/eurostat/databrowser/view/nama_10_gdp/default/table" TargetMode="External" Id="rId390"/><Relationship Type="http://schemas.openxmlformats.org/officeDocument/2006/relationships/hyperlink" Target="https://doi.org/10.1088/1748-9326/ab842a" TargetMode="External" Id="rId391"/><Relationship Type="http://schemas.openxmlformats.org/officeDocument/2006/relationships/hyperlink" Target="https://data.consilium.europa.eu/doc/document/ST-10135-2026-ADD-1/en/pdf" TargetMode="External" Id="rId392"/><Relationship Type="http://schemas.openxmlformats.org/officeDocument/2006/relationships/hyperlink" Target="https://data.consilium.europa.eu/doc/document/ST-10135-2026-ADD-1/en/pdf" TargetMode="External" Id="rId393"/><Relationship Type="http://schemas.openxmlformats.org/officeDocument/2006/relationships/hyperlink" Target="https://data.consilium.europa.eu/doc/document/ST-10135-2026-ADD-1/en/pdf" TargetMode="External" Id="rId394"/><Relationship Type="http://schemas.openxmlformats.org/officeDocument/2006/relationships/hyperlink" Target="https://www.imf.org/-/media/files/publications/cr/2026/english/1mltea2026002-source-pdf.pdf" TargetMode="External" Id="rId395"/><Relationship Type="http://schemas.openxmlformats.org/officeDocument/2006/relationships/hyperlink" Target="https://www.eea.europa.eu/en/analysis/indicators/fossil-fuel-subsidies" TargetMode="External" Id="rId396"/><Relationship Type="http://schemas.openxmlformats.org/officeDocument/2006/relationships/hyperlink" Target="https://newsbook.com.mt/en/pn-accuses-government-of-climate-apathy-as-emissions-intensity-rises/" TargetMode="External" Id="rId397"/><Relationship Type="http://schemas.openxmlformats.org/officeDocument/2006/relationships/hyperlink" Target="https://lovinmalta.com/news/general-election-2026/chamber-tells-political-parties-malta-must-address-productivity-crisis-or-face-structural-decline/" TargetMode="External" Id="rId398"/><Relationship Type="http://schemas.openxmlformats.org/officeDocument/2006/relationships/hyperlink" Target="https://whc.unesco.org/en/soc/4677" TargetMode="External" Id="rId399"/><Relationship Type="http://schemas.openxmlformats.org/officeDocument/2006/relationships/hyperlink" Target="https://theshiftnews.com/2026/06/18/unesco-15-years-of-chasing-malta-for-vallettas-conservation-report/" TargetMode="External" Id="rId400"/><Relationship Type="http://schemas.openxmlformats.org/officeDocument/2006/relationships/hyperlink" Target="https://ec.europa.eu/eurostat/databrowser/view/env_wasmun/default/table" TargetMode="External" Id="rId401"/><Relationship Type="http://schemas.openxmlformats.org/officeDocument/2006/relationships/hyperlink" Target="https://ec.europa.eu/eurostat/databrowser/view/road_eqr_carpda/default/table" TargetMode="External" Id="rId402"/><Relationship Type="http://schemas.openxmlformats.org/officeDocument/2006/relationships/hyperlink" Target="https://ec.europa.eu/eurostat/databrowser/view/demo_gind/default/table" TargetMode="External" Id="rId403"/><Relationship Type="http://schemas.openxmlformats.org/officeDocument/2006/relationships/hyperlink" Target="https://maltachamber.org.mt/wp-content/uploads/2026/05/LEAD-The-Malta-Chamber-Proposals-for-2026-2031-Legislature.pdf" TargetMode="External" Id="rId404"/><Relationship Type="http://schemas.openxmlformats.org/officeDocument/2006/relationships/hyperlink" Target="https://infrastructure.gov.mt/wp-content/uploads/2026/01/NATIONAL-TRANSPORT-MASTERPLAN-2030.pdf" TargetMode="External" Id="rId405"/><Relationship Type="http://schemas.openxmlformats.org/officeDocument/2006/relationships/hyperlink" Target="https://ec.europa.eu/eurostat/databrowser/view/nama_10_gdp/default/table" TargetMode="External" Id="rId406"/><Relationship Type="http://schemas.openxmlformats.org/officeDocument/2006/relationships/hyperlink" Target="https://maltairport.com/app/uploads/2026/01/Full-Year-Traffic-Update.pdf" TargetMode="External" Id="rId407"/><Relationship Type="http://schemas.openxmlformats.org/officeDocument/2006/relationships/hyperlink" Target="https://ec.europa.eu/eurostat/databrowser/view/avia_paoc/default/table" TargetMode="External" Id="rId408"/><Relationship Type="http://schemas.openxmlformats.org/officeDocument/2006/relationships/hyperlink" Target="https://era.org.mt/malta-yelkouan-shearwater-species-ap-2022-2030/" TargetMode="External" Id="rId409"/><Relationship Type="http://schemas.openxmlformats.org/officeDocument/2006/relationships/hyperlink" Target="https://doi.org/10.1017/S0030605308006467" TargetMode="External" Id="rId410"/><Relationship Type="http://schemas.openxmlformats.org/officeDocument/2006/relationships/hyperlink" Target="https://ciesm.org/seabird-guide/yelkouan-shearwater/" TargetMode="External" Id="rId411"/><Relationship Type="http://schemas.openxmlformats.org/officeDocument/2006/relationships/hyperlink" Target="https://birdlifemalta.org/2025/10/illegal-hunting-soars-as-enforcement-collapses/" TargetMode="External" Id="rId412"/><Relationship Type="http://schemas.openxmlformats.org/officeDocument/2006/relationships/hyperlink" Target="https://doi.org/10.1016/j.jenvman.2020.110196" TargetMode="External" Id="rId413"/><Relationship Type="http://schemas.openxmlformats.org/officeDocument/2006/relationships/hyperlink" Target="https://www.eppgroup.eu/what-we-do/with-eu-countries/malta/commission-investigation-on-noise-pollution-in-malta" TargetMode="External" Id="rId414"/><Relationship Type="http://schemas.openxmlformats.org/officeDocument/2006/relationships/hyperlink" Target="https://gwu.org.mt/en/there-is-no-place-for-discrimination-between-workers/" TargetMode="External" Id="rId415"/><Relationship Type="http://schemas.openxmlformats.org/officeDocument/2006/relationships/hyperlink" Target="https://commission.europa.eu/document/download/bf1c1e17-293c-4c50-92ca-1ae663ab6cae_en?filename=MT_Extract_SWD+2025_140.pdf" TargetMode="External" Id="rId416"/><Relationship Type="http://schemas.openxmlformats.org/officeDocument/2006/relationships/hyperlink" Target="https://ec.europa.eu/eurostat/databrowser/view/nrg_ind_ren/default/table" TargetMode="External" Id="rId417"/><Relationship Type="http://schemas.openxmlformats.org/officeDocument/2006/relationships/hyperlink" Target="https://nso.gov.mt/energy/renewable-energy-from-photovoltaic-panels-pvs-2024/" TargetMode="External" Id="rId418"/><Relationship Type="http://schemas.openxmlformats.org/officeDocument/2006/relationships/hyperlink" Target="https://commission.europa.eu/system/files/2023-12/Recommendation_draft_updated_NECP_Malta_2023.pdf" TargetMode="External" Id="rId419"/><Relationship Type="http://schemas.openxmlformats.org/officeDocument/2006/relationships/hyperlink" Target="https://www.wsc.com.mt/european-commission-endorses-wscs-net-zero-impact-utility-project/" TargetMode="External" Id="rId420"/><Relationship Type="http://schemas.openxmlformats.org/officeDocument/2006/relationships/hyperlink" Target="https://doi.org/10.7343/as-2020-477" TargetMode="External" Id="rId421"/><Relationship Type="http://schemas.openxmlformats.org/officeDocument/2006/relationships/hyperlink" Target="https://www.wsc.com.mt/wp-content/uploads/2018/03/Annual_Report_-_16.pdf" TargetMode="External" Id="rId422"/><Relationship Type="http://schemas.openxmlformats.org/officeDocument/2006/relationships/hyperlink" Target="https://www.wsc.com.mt/wp-content/uploads/2023/06/WSC-Annual-Report-2022.pdf" TargetMode="External" Id="rId423"/><Relationship Type="http://schemas.openxmlformats.org/officeDocument/2006/relationships/hyperlink" Target="https://ec.europa.eu/eurostat/databrowser/view/env_wat_abs/default/table" TargetMode="External" Id="rId424"/><Relationship Type="http://schemas.openxmlformats.org/officeDocument/2006/relationships/hyperlink" Target="https://adpd.mt/4000000-l-effetti-tat-turizmu-eccessiv-fmalta-huma-carissimi/" TargetMode="External" Id="rId425"/><Relationship Type="http://schemas.openxmlformats.org/officeDocument/2006/relationships/hyperlink" Target="https://newsbook.com.mt/en/the-impact-of-overtourism-in-malta-is-clear-adpd/" TargetMode="External" Id="rId426"/><Relationship Type="http://schemas.openxmlformats.org/officeDocument/2006/relationships/hyperlink" Target="https://www.maltatoday.com.mt/news/national/135697/fajtata_bay_closed_to_bathers_after_public_toilet_overflow_spills_into_sea_" TargetMode="External" Id="rId427"/><Relationship Type="http://schemas.openxmlformats.org/officeDocument/2006/relationships/hyperlink" Target="https://www.maltatoday.com.mt/news/national/135753/fajtata_bay_open_to_swimmers_again" TargetMode="External" Id="rId428"/><Relationship Type="http://schemas.openxmlformats.org/officeDocument/2006/relationships/hyperlink" Target="https://www.independent.com.mt/articles/2025-07-01/local-news/Marsascala-beach-goes-from-Blue-Flag-to-Red-Alert-in-48-hours-PN-says-6736271331" TargetMode="External" Id="rId429"/><Relationship Type="http://schemas.openxmlformats.org/officeDocument/2006/relationships/hyperlink" Target="https://lovinmalta.com/lifestyle/announcements/fajtata-beach-closed-due-to-sewage-leak-days-after-earning-blue-flag-status/" TargetMode="External" Id="rId430"/><Relationship Type="http://schemas.openxmlformats.org/officeDocument/2006/relationships/hyperlink" Target="https://pn.org.mt/facts-seawater/" TargetMode="External" Id="rId431"/><Relationship Type="http://schemas.openxmlformats.org/officeDocument/2006/relationships/hyperlink" Target="https://doi.org/10.1016/j.ejrh.2026.103162" TargetMode="External" Id="rId432"/><Relationship Type="http://schemas.openxmlformats.org/officeDocument/2006/relationships/hyperlink" Target="https://doi.org/10.5194/egusphere-egu25-13344" TargetMode="External" Id="rId433"/><Relationship Type="http://schemas.openxmlformats.org/officeDocument/2006/relationships/hyperlink" Target="https://data.consilium.europa.eu/doc/document/ST-12018-2026-ADD-19/en/pdf" TargetMode="External" Id="rId434"/><Relationship Type="http://schemas.openxmlformats.org/officeDocument/2006/relationships/hyperlink" Target="https://birdlifemalta.org/2026/05/birdlife-malta-condemns-dangerous-political-race-to-weaken-environmental-enforcement/" TargetMode="External" Id="rId435"/><Relationship Type="http://schemas.openxmlformats.org/officeDocument/2006/relationships/hyperlink" Target="https://lovinmalta.com/news/general-election-2026/watch-borg-pledges-hunting-and-trapping-will-be-safeguarded-during-gozo-mass-meeting/" TargetMode="External" Id="rId436"/><Relationship Type="http://schemas.openxmlformats.org/officeDocument/2006/relationships/hyperlink" Target="https://newsbook.com.mt/en/government-should-fight-wildlife-crime-not-reward-it-10-ngos-warn/" TargetMode="External" Id="rId437"/><Relationship Type="http://schemas.openxmlformats.org/officeDocument/2006/relationships/hyperlink" Target="https://newsbook.com.mt/en/birdlife-warns-reduced-hunting-fines-would-reward-those-who-break-the-law/" TargetMode="External" Id="rId438"/><Relationship Type="http://schemas.openxmlformats.org/officeDocument/2006/relationships/hyperlink" Target="https://birdlifemalta.org/2026/10/birdlife-malta-rejects-fknk-presidents-statement-as-false/" TargetMode="External" Id="rId439"/><Relationship Type="http://schemas.openxmlformats.org/officeDocument/2006/relationships/hyperlink" Target="https://legislation.mt/eli/sl/549.42/eng" TargetMode="External" Id="rId440"/><Relationship Type="http://schemas.openxmlformats.org/officeDocument/2006/relationships/hyperlink" Target="https://www.businesstoday.com.mt/business/business/1503/crippling_construction_waste_dumping_costs_behind_road_works_standstill_mda_says" TargetMode="External" Id="rId441"/><Relationship Type="http://schemas.openxmlformats.org/officeDocument/2006/relationships/hyperlink" Target="https://www.maltatoday.com.mt/news/national/112566/construction_drive_produced_unprecedented_levels_of_construction_waste_farrugia_says" TargetMode="External" Id="rId442"/><Relationship Type="http://schemas.openxmlformats.org/officeDocument/2006/relationships/hyperlink" Target="https://ec.europa.eu/eurostat/databrowser/view/sts_copr_a/default/table" TargetMode="External" Id="rId443"/><Relationship Type="http://schemas.openxmlformats.org/officeDocument/2006/relationships/hyperlink" Target="https://ec.europa.eu/eurostat/databrowser/view/env_wasgen/default/table" TargetMode="External" Id="rId444"/><Relationship Type="http://schemas.openxmlformats.org/officeDocument/2006/relationships/hyperlink" Target="https://nso.gov.mt/motor-vehicles-q1-2026/" TargetMode="External" Id="rId445"/><Relationship Type="http://schemas.openxmlformats.org/officeDocument/2006/relationships/hyperlink" Target="https://newsbook.com.mt/en/over-3200-new-vehicles-added-to-maltas-roads-in-three-months/" TargetMode="External" Id="rId446"/><Relationship Type="http://schemas.openxmlformats.org/officeDocument/2006/relationships/hyperlink" Target="https://nso.gov.mt/world-population-day-11-july-2026/" TargetMode="External" Id="rId447"/><Relationship Type="http://schemas.openxmlformats.org/officeDocument/2006/relationships/hyperlink" Target="https://ec.europa.eu/eurostat/databrowser/view/demo_gind/default/table" TargetMode="External" Id="rId448"/><Relationship Type="http://schemas.openxmlformats.org/officeDocument/2006/relationships/hyperlink" Target="https://ohsa.mt/sites/default/files/2026-05/AR-OHSA-2025.pdf" TargetMode="External" Id="rId449"/><Relationship Type="http://schemas.openxmlformats.org/officeDocument/2006/relationships/hyperlink" Target="https://www.ohsa.mt/sites/default/files/2025-05/AR-OHSA-2024.pdf" TargetMode="External" Id="rId450"/><Relationship Type="http://schemas.openxmlformats.org/officeDocument/2006/relationships/hyperlink" Target="https://ec.europa.eu/eurostat/databrowser/view/hsw_n2_02/default/table" TargetMode="External" Id="rId451"/><Relationship Type="http://schemas.openxmlformats.org/officeDocument/2006/relationships/hyperlink" Target="https://adpd.mt/it-tniggis-qieghed-ihassrilna-sahhitna-adpd/" TargetMode="External" Id="rId452"/><Relationship Type="http://schemas.openxmlformats.org/officeDocument/2006/relationships/hyperlink" Target="https://era.org.mt/wp-content/uploads/2024/12/R4_Noise_Maps_Malta_Final_Report_compressed.pdf" TargetMode="External" Id="rId453"/><Relationship Type="http://schemas.openxmlformats.org/officeDocument/2006/relationships/hyperlink" Target="https://era.org.mt/wp-content/uploads/2023/12/Noise-Action-Plan-Agglomeration-Interactive.pdf" TargetMode="External" Id="rId454"/><Relationship Type="http://schemas.openxmlformats.org/officeDocument/2006/relationships/hyperlink" Target="https://era.org.mt/wp-content/uploads/2019/10/593-14-2v3-1_Malta-International-Airport-R3-Final-Report.pdf" TargetMode="External" Id="rId455"/><Relationship Type="http://schemas.openxmlformats.org/officeDocument/2006/relationships/hyperlink" Target="https://doi.org/10.18280/ijsdp.170732" TargetMode="External" Id="rId456"/><Relationship Type="http://schemas.openxmlformats.org/officeDocument/2006/relationships/hyperlink" Target="https://tvmnews.mt/en/news/level-of-noise-disturbance-at-birzebbuga-is-higher-than-that-established-by-who/" TargetMode="External" Id="rId457"/><Relationship Type="http://schemas.openxmlformats.org/officeDocument/2006/relationships/hyperlink" Target="https://grda.mt/gozo-towards-climate-neutrality-conference/" TargetMode="External" Id="rId458"/><Relationship Type="http://schemas.openxmlformats.org/officeDocument/2006/relationships/hyperlink" Target="https://tvmnews.mt/en/news/11-increase-in-public-transport-use-in-gozo-since-full-transition-to-electric-buses/" TargetMode="External" Id="rId459"/><Relationship Type="http://schemas.openxmlformats.org/officeDocument/2006/relationships/hyperlink" Target="https://ec.europa.eu/eurostat/databrowser/view/env_air_gge/default/table" TargetMode="External" Id="rId460"/><Relationship Type="http://schemas.openxmlformats.org/officeDocument/2006/relationships/hyperlink" Target="https://icm.mt/projects/offshore-renewable-energy-project/" TargetMode="External" Id="rId461"/><Relationship Type="http://schemas.openxmlformats.org/officeDocument/2006/relationships/hyperlink" Target="https://icm.mt/offshore-floating-wind-farm-icm-issues-tender-to-collect-data-on-wind-wave-conditions/" TargetMode="External" Id="rId462"/><Relationship Type="http://schemas.openxmlformats.org/officeDocument/2006/relationships/hyperlink" Target="https://ec.europa.eu/eurostat/databrowser/view/nrg_cb_e/default/table" TargetMode="External" Id="rId463"/><Relationship Type="http://schemas.openxmlformats.org/officeDocument/2006/relationships/hyperlink" Target="https://www.maltatoday.com.mt/news/national/136333/miriam_dalli_offshore_wind_farm_contractor_to_be_selected_by_end_2027" TargetMode="External" Id="rId464"/><Relationship Type="http://schemas.openxmlformats.org/officeDocument/2006/relationships/hyperlink" Target="https://tvmnews.mt/en/news/2400-tonnes-of-waste-removed-from-16-km-of-stormwater-tunnels/" TargetMode="External" Id="rId465"/><Relationship Type="http://schemas.openxmlformats.org/officeDocument/2006/relationships/hyperlink" Target="https://www.gov.mt/en/Government/DOI/Press%20Releases/Pages/2025/07/04/pr251213en.aspx" TargetMode="External" Id="rId466"/><Relationship Type="http://schemas.openxmlformats.org/officeDocument/2006/relationships/hyperlink" Target="https://ec.europa.eu/regional_policy/projects/projects-database/fighting-floods-in-malta_en" TargetMode="External" Id="rId467"/><Relationship Type="http://schemas.openxmlformats.org/officeDocument/2006/relationships/hyperlink" Target="https://lovinmalta.com/opinion/analysis/an-underground-tunnel-and-millions-in-road-investment-later-but-malta-is-still-flooding/" TargetMode="External" Id="rId468"/><Relationship Type="http://schemas.openxmlformats.org/officeDocument/2006/relationships/hyperlink" Target="https://tvmnews.mt/en/news/underground-tunnels-being-excavated-to-alleviate-flooding/" TargetMode="External" Id="rId469"/><Relationship Type="http://schemas.openxmlformats.org/officeDocument/2006/relationships/hyperlink" Target="https://www.ncei.noaa.gov/access/services/data/v1?dataset=daily-summaries&amp;stations=MT000016597&amp;dataTypes=PRCP&amp;format=csv" TargetMode="External" Id="rId470"/><Relationship Type="http://schemas.openxmlformats.org/officeDocument/2006/relationships/hyperlink" Target="https://ec.europa.eu/eurostat/databrowser/view/road_eqs_carhab/default/table?lang=en" TargetMode="External" Id="rId471"/><Relationship Type="http://schemas.openxmlformats.org/officeDocument/2006/relationships/hyperlink" Target="https://ec.europa.eu/eurostat/databrowser/view/road_eqs_carmot/default/table?lang=en" TargetMode="External" Id="rId472"/><Relationship Type="http://schemas.openxmlformats.org/officeDocument/2006/relationships/hyperlink" Target="https://ec.europa.eu/eurostat/databrowser/view/reg_area3/default/table?lang=en" TargetMode="External" Id="rId473"/><Relationship Type="http://schemas.openxmlformats.org/officeDocument/2006/relationships/hyperlink" Target="https://ec.europa.eu/eurostat/web/products-eurostat-news/w/ddn-20240117-1" TargetMode="External" Id="rId474"/><Relationship Type="http://schemas.openxmlformats.org/officeDocument/2006/relationships/hyperlink" Target="https://ec.europa.eu/eurostat/web/products-eurostat-news/w/ddn-20240506-2" TargetMode="External" Id="rId475"/><Relationship Type="http://schemas.openxmlformats.org/officeDocument/2006/relationships/hyperlink" Target="https://ec.europa.eu/eurostat/web/products-eurostat-news/w/ddn-20250521-1" TargetMode="External" Id="rId476"/><Relationship Type="http://schemas.openxmlformats.org/officeDocument/2006/relationships/hyperlink" Target="https://ec.europa.eu/eurostat/statistics-explained/index.php?title=Passenger_cars_in_the_EU" TargetMode="External" Id="rId477"/><Relationship Type="http://schemas.openxmlformats.org/officeDocument/2006/relationships/hyperlink" Target="https://ec.europa.eu/eurostat/statistics-explained/index.php?title=Transport_equipment_statistics" TargetMode="External" Id="rId478"/><Relationship Type="http://schemas.openxmlformats.org/officeDocument/2006/relationships/hyperlink" Target="https://doi.org/10.24043/isj.244" TargetMode="External" Id="rId479"/><Relationship Type="http://schemas.openxmlformats.org/officeDocument/2006/relationships/hyperlink" Target="https://nso.gov.mt/wp-content/uploads/News2023_023.pdf" TargetMode="External" Id="rId480"/><Relationship Type="http://schemas.openxmlformats.org/officeDocument/2006/relationships/hyperlink" Target="https://newsbook.com.mt/en/over-450000-licensed-vehicles-on-maltas-roads-nso-confirms/" TargetMode="External" Id="rId481"/><Relationship Type="http://schemas.openxmlformats.org/officeDocument/2006/relationships/hyperlink" Target="https://ec.europa.eu/eurostat/statistics-explained/api.php?action=query&amp;prop=revisions&amp;revids=647912&amp;rvprop=content|timestamp&amp;rvslots=main&amp;format=json" TargetMode="External" Id="rId482"/><Relationship Type="http://schemas.openxmlformats.org/officeDocument/2006/relationships/hyperlink" Target="https://ec.europa.eu/eurostat/statistics-explained/api.php?action=query&amp;prop=revisions&amp;revids=627098&amp;rvprop=content|timestamp&amp;rvslots=main&amp;format=json" TargetMode="External" Id="rId483"/><Relationship Type="http://schemas.openxmlformats.org/officeDocument/2006/relationships/hyperlink" Target="https://ec.europa.eu/eurostat/documents/4187653/18057933/Transport-equipment-passenger-cars.png/49ac26b9-94c8-9c35-a073-faa0cf8ed5eb?t=1705416759660" TargetMode="External" Id="rId484"/><Relationship Type="http://schemas.openxmlformats.org/officeDocument/2006/relationships/hyperlink" Target="https://sdi.eea.europa.eu/catalogue/srv/api/records/f80bebef-447e-4882-b3e9-c4a91cbae4f5" TargetMode="External" Id="rId485"/><Relationship Type="http://schemas.openxmlformats.org/officeDocument/2006/relationships/hyperlink" Target="https://doi.org/10.2909/d6938865-05e5-4016-a15c-a09bb898421d" TargetMode="External" Id="rId486"/><Relationship Type="http://schemas.openxmlformats.org/officeDocument/2006/relationships/hyperlink" Target="https://sdi.eea.europa.eu/catalogue/srv/api/records/fb3f4e09-0318-400d-beae-f1082153b2bb" TargetMode="External" Id="rId487"/><Relationship Type="http://schemas.openxmlformats.org/officeDocument/2006/relationships/hyperlink" Target="https://data.europa.eu/eli/reg/2018/842/oj" TargetMode="External" Id="rId488"/><Relationship Type="http://schemas.openxmlformats.org/officeDocument/2006/relationships/hyperlink" Target="https://data.europa.eu/eli/reg/2023/857/oj" TargetMode="External" Id="rId489"/><Relationship Type="http://schemas.openxmlformats.org/officeDocument/2006/relationships/hyperlink" Target="https://data.europa.eu/eli/dec_impl/2020/2126/oj" TargetMode="External" Id="rId490"/><Relationship Type="http://schemas.openxmlformats.org/officeDocument/2006/relationships/hyperlink" Target="https://data.europa.eu/eli/dec_impl/2023/1319/oj" TargetMode="External" Id="rId491"/><Relationship Type="http://schemas.openxmlformats.org/officeDocument/2006/relationships/hyperlink" Target="https://data.europa.eu/eli/dec_impl/2024/1884/oj" TargetMode="External" Id="rId492"/><Relationship Type="http://schemas.openxmlformats.org/officeDocument/2006/relationships/hyperlink" Target="https://data.europa.eu/eli/dec_impl/2026/895/oj" TargetMode="External" Id="rId493"/><Relationship Type="http://schemas.openxmlformats.org/officeDocument/2006/relationships/hyperlink" Target="https://data.europa.eu/eli/dec/2023/863/oj" TargetMode="External" Id="rId494"/><Relationship Type="http://schemas.openxmlformats.org/officeDocument/2006/relationships/hyperlink" Target="https://climate.ec.europa.eu/areas-action/carbon-removals-and-carbon-farming/effort-sharing-member-states-emission-targets/effort-sharing-2021-2030-targets-and-flexibilities_en" TargetMode="External" Id="rId495"/><Relationship Type="http://schemas.openxmlformats.org/officeDocument/2006/relationships/hyperlink" Target="https://doi.org/10.3390/su16010430" TargetMode="External" Id="rId496"/><Relationship Type="http://schemas.openxmlformats.org/officeDocument/2006/relationships/hyperlink" Target="https://ec.europa.eu/eurostat/databrowser/view/nama_10_pe/default/table" TargetMode="External" Id="rId497"/><Relationship Type="http://schemas.openxmlformats.org/officeDocument/2006/relationships/hyperlink" Target="https://economy-finance.ec.europa.eu/document/download/b0bb0c3b-1b52-4ac5-8090-ee21edf1e039_en?filename=MT_SWD_2026_218_1_EN_autre_document_travail_service_part1_v1.pdf" TargetMode="External" Id="rId498"/><Relationship Type="http://schemas.openxmlformats.org/officeDocument/2006/relationships/hyperlink" Target="https://doi.org/10.2909/cd572015-4d0d-408a-abf8-290ed2057bf7" TargetMode="External" Id="rId499"/><Relationship Type="http://schemas.openxmlformats.org/officeDocument/2006/relationships/hyperlink" Target="https://doi.org/10.2909/83ee8f8c-1422-4e3f-af63-ba88146811e5" TargetMode="External" Id="rId500"/><Relationship Type="http://schemas.openxmlformats.org/officeDocument/2006/relationships/hyperlink" Target="https://climate.ec.europa.eu/document/download/acb92e05-4220-44c3-9483-b3524c326f59_en?filename=mt_2025_factsheet_en.pdf" TargetMode="External" Id="rId501"/><Relationship Type="http://schemas.openxmlformats.org/officeDocument/2006/relationships/hyperlink" Target="https://climate.ec.europa.eu/document/download/4c335e40-6961-4473-9cc0-5b6367f75a6e_en?filename=mt_2024_factsheet_en.pdf" TargetMode="External" Id="rId502"/><Relationship Type="http://schemas.openxmlformats.org/officeDocument/2006/relationships/hyperlink" Target="https://economy-finance.ec.europa.eu/document/download/be493fbf-cb70-432c-a68a-13067176ff38_en?filename=MT_CR_SWD_2025_218_1_EN_autre_document_travail_service_part1_v5.pdf" TargetMode="External" Id="rId503"/><Relationship Type="http://schemas.openxmlformats.org/officeDocument/2006/relationships/hyperlink" Target="https://discomap.eea.europa.eu/App/AQViewer/index.html?fqn=Airquality_Dissem.ebd.countries_and_nuts" TargetMode="External" Id="rId504"/><Relationship Type="http://schemas.openxmlformats.org/officeDocument/2006/relationships/hyperlink" Target="https://www.eea.europa.eu/en/analysis/publications/harm-to-human-health-from-air-pollution-burden-of-disease-status-2025" TargetMode="External" Id="rId505"/><Relationship Type="http://schemas.openxmlformats.org/officeDocument/2006/relationships/hyperlink" Target="https://www.eea.europa.eu/en/analysis/indicators/health-impacts-of-exposure-to" TargetMode="External" Id="rId506"/><Relationship Type="http://schemas.openxmlformats.org/officeDocument/2006/relationships/hyperlink" Target="https://doi.org/10.5281/zenodo.17658760" TargetMode="External" Id="rId507"/><Relationship Type="http://schemas.openxmlformats.org/officeDocument/2006/relationships/hyperlink" Target="https://doi.org/10.5281/zenodo.4293744" TargetMode="External" Id="rId508"/><Relationship Type="http://schemas.openxmlformats.org/officeDocument/2006/relationships/hyperlink" Target="https://doi.org/10.5281/zenodo.17427294" TargetMode="External" Id="rId509"/><Relationship Type="http://schemas.openxmlformats.org/officeDocument/2006/relationships/hyperlink" Target="https://doi.org/10.1016/j.envint.2020.105974" TargetMode="External" Id="rId510"/><Relationship Type="http://schemas.openxmlformats.org/officeDocument/2006/relationships/hyperlink" Target="https://doi.org/10.1016/j.chemosphere.2018.07.104" TargetMode="External" Id="rId511"/><Relationship Type="http://schemas.openxmlformats.org/officeDocument/2006/relationships/hyperlink" Target="https://ec.europa.eu/eurostat/databrowser/view/sdg_11_52/default/table" TargetMode="External" Id="rId512"/><Relationship Type="http://schemas.openxmlformats.org/officeDocument/2006/relationships/hyperlink" Target="https://ec.europa.eu/eurostat/databrowser/view/demo_pjan/default/table" TargetMode="External" Id="rId513"/><Relationship Type="http://schemas.openxmlformats.org/officeDocument/2006/relationships/hyperlink" Target="https://ec.europa.eu/eurostat/databrowser/view/env_air_emis/default/table" TargetMode="External" Id="rId514"/><Relationship Type="http://schemas.openxmlformats.org/officeDocument/2006/relationships/hyperlink" Target="https://discomap.eea.europa.eu/map/fme/metadata/PanEuropean_metadata.csv" TargetMode="External" Id="rId515"/><Relationship Type="http://schemas.openxmlformats.org/officeDocument/2006/relationships/hyperlink" Target="https://financemalta.org/industry-updates/malta-s-rapid-population-growth-creates-urgent-need-to-focus-on-the-country-s-infrastructure-demands-for-the-future" TargetMode="External" Id="rId516"/><Relationship Type="http://schemas.openxmlformats.org/officeDocument/2006/relationships/hyperlink" Target="https://maltabusinessweekly.com/population-growth-drives-urgent-infrastructure-needs-pwc-malta-summer-2026-economic-update/30680/" TargetMode="External" Id="rId517"/><Relationship Type="http://schemas.openxmlformats.org/officeDocument/2006/relationships/hyperlink" Target="https://www.mondaq.com/economic-analysis/1821840/maltas-rapid-population-growth-creates-urgent-need-to-focus-on-the-countrys-infrastructure-demands-for-the-future" TargetMode="External" Id="rId518"/><Relationship Type="http://schemas.openxmlformats.org/officeDocument/2006/relationships/hyperlink" Target="https://www.pwc.com/mt/en/publications/economic-outlook/economic-outlook-summer-2026.html" TargetMode="External" Id="rId519"/><Relationship Type="http://schemas.openxmlformats.org/officeDocument/2006/relationships/hyperlink" Target="https://businessnow.mt/maltas-population-could-reach-636000-by-2030-pwc-projects/" TargetMode="External" Id="rId520"/><Relationship Type="http://schemas.openxmlformats.org/officeDocument/2006/relationships/hyperlink" Target="https://newsbook.com.mt/en/pwc-maltas-population-could-climb-to-660000-within-five-years/" TargetMode="External" Id="rId521"/><Relationship Type="http://schemas.openxmlformats.org/officeDocument/2006/relationships/hyperlink" Target="https://www.maltabusiness.it/en/population-challenges-population-growth" TargetMode="External" Id="rId522"/><Relationship Type="http://schemas.openxmlformats.org/officeDocument/2006/relationships/hyperlink" Target="https://newsbook.com.mt/en/maltas-population-grows-2-4-driven-entirely-by-migration/" TargetMode="External" Id="rId523"/><Relationship Type="http://schemas.openxmlformats.org/officeDocument/2006/relationships/hyperlink" Target="https://lovinmalta.com/news/local/world-population-day-maltas-population-reaches-record-588254/" TargetMode="External" Id="rId524"/><Relationship Type="http://schemas.openxmlformats.org/officeDocument/2006/relationships/hyperlink" Target="https://www.international-adviser.com/almost-a-third-of-maltas-population-now-made-up-of-foreign-nationals/" TargetMode="External" Id="rId525"/><Relationship Type="http://schemas.openxmlformats.org/officeDocument/2006/relationships/hyperlink" Target="https://meetinc.com.mt/news/malta-s-population-hits-588-254-with-2-4-growth-driven-entirely-by-net-migration/" TargetMode="External" Id="rId526"/><Relationship Type="http://schemas.openxmlformats.org/officeDocument/2006/relationships/hyperlink" Target="https://ec.europa.eu/eurostat/databrowser/product/page/MIGR_POP1CTZ" TargetMode="External" Id="rId527"/><Relationship Type="http://schemas.openxmlformats.org/officeDocument/2006/relationships/hyperlink" Target="https://ec.europa.eu/eurostat/databrowser/product/page/MIGR_POP3CTB" TargetMode="External" Id="rId528"/><Relationship Type="http://schemas.openxmlformats.org/officeDocument/2006/relationships/hyperlink" Target="https://ec.europa.eu/eurostat/databrowser/product/page/CENS_21CTZ_R3" TargetMode="External" Id="rId529"/><Relationship Type="http://schemas.openxmlformats.org/officeDocument/2006/relationships/hyperlink" Target="https://ec.europa.eu/eurostat/databrowser/product/page/MIGR_ACQ" TargetMode="External" Id="rId530"/><Relationship Type="http://schemas.openxmlformats.org/officeDocument/2006/relationships/hyperlink" Target="https://ec.europa.eu/eurostat/databrowser/product/page/DEMO_MACZC" TargetMode="External" Id="rId531"/><Relationship Type="http://schemas.openxmlformats.org/officeDocument/2006/relationships/hyperlink" Target="https://ec.europa.eu/eurostat/databrowser/product/page/PROJ_25NP" TargetMode="External" Id="rId532"/><Relationship Type="http://schemas.openxmlformats.org/officeDocument/2006/relationships/hyperlink" Target="https://ec.europa.eu/eurostat/cache/metadata/en/migr_immi_esms.htm" TargetMode="External" Id="rId533"/><Relationship Type="http://schemas.openxmlformats.org/officeDocument/2006/relationships/hyperlink" Target="https://ec.europa.eu/eurostat/cache/metadata/en/cens_21_esms.htm" TargetMode="External" Id="rId534"/><Relationship Type="http://schemas.openxmlformats.org/officeDocument/2006/relationships/hyperlink" Target="https://jobsplus.gov.mt/labour-market-trends/foreign-nationals-employment-trends" TargetMode="External" Id="rId535"/><Relationship Type="http://schemas.openxmlformats.org/officeDocument/2006/relationships/hyperlink" Target="https://jobsplus.gov.mt/labour-market-trends/employment-trends" TargetMode="External" Id="rId536"/><Relationship Type="http://schemas.openxmlformats.org/officeDocument/2006/relationships/hyperlink" Target="https://doi.org/10.2139/ssrn.5356748" TargetMode="External" Id="rId537"/><Relationship Type="http://schemas.openxmlformats.org/officeDocument/2006/relationships/hyperlink" Target="https://www.amphora.media/2025/11/fatti-malta-native-population-numbers-budget-tax-cut-child-parent" TargetMode="External" Id="rId538"/><Relationship Type="http://schemas.openxmlformats.org/officeDocument/2006/relationships/hyperlink" Target="https://tvmnews.mt/news/installati-l-ewwel-solar-flowers-tax-xorta-taghhom-fl-ewropa-fil-gozo-multi-modal-hub-fta-xhajma/" TargetMode="External" Id="rId539"/><Relationship Type="http://schemas.openxmlformats.org/officeDocument/2006/relationships/hyperlink" Target="https://lovinmalta.com/malta/gozo-leads-the-way-in-europe-with-first-ever-solar-flowers-at-ta-xhajma-multi-modal-hub/" TargetMode="External" Id="rId540"/><Relationship Type="http://schemas.openxmlformats.org/officeDocument/2006/relationships/hyperlink" Target="https://smartflower.com/news/one-of-europes-largest-installations-arrives-with-smartflowers/" TargetMode="External" Id="rId541"/><Relationship Type="http://schemas.openxmlformats.org/officeDocument/2006/relationships/hyperlink" Target="https://smartflower.com/news/2025-in-review-a-year-of-smartflower-growth-impact-and-inspiration/" TargetMode="External" Id="rId542"/><Relationship Type="http://schemas.openxmlformats.org/officeDocument/2006/relationships/hyperlink" Target="https://smartflower.com/frequently-asked-questions/" TargetMode="External" Id="rId543"/><Relationship Type="http://schemas.openxmlformats.org/officeDocument/2006/relationships/hyperlink" Target="https://www.worldofesf.com/docs/150-0016-SMARTFLOWER-DATA-SHEET-REV-G.pdf" TargetMode="External" Id="rId544"/><Relationship Type="http://schemas.openxmlformats.org/officeDocument/2006/relationships/hyperlink" Target="https://www.pv-magazine-australia.com/2024/10/25/nature-inspires-2-5-kw-smartflower-mobile-solar-system/" TargetMode="External" Id="rId545"/><Relationship Type="http://schemas.openxmlformats.org/officeDocument/2006/relationships/hyperlink" Target="https://newsbook.com.mt/en/gozos-solar-flower-installation-cost-e700000/" TargetMode="External" Id="rId546"/><Relationship Type="http://schemas.openxmlformats.org/officeDocument/2006/relationships/hyperlink" Target="https://www.energynews.es/smartflower-made-in-austria-llega-a-espana-para-hacer-posible-el-autoconsumo/" TargetMode="External" Id="rId547"/><Relationship Type="http://schemas.openxmlformats.org/officeDocument/2006/relationships/hyperlink" Target="https://www.pv-magazine.com/2016/07/13/intersolar-north-america-smartflower-unfurls-its-dual-axis-tracker_100025392/" TargetMode="External" Id="rId548"/><Relationship Type="http://schemas.openxmlformats.org/officeDocument/2006/relationships/hyperlink" Target="https://www.meinbezirk.at/moedling/c-lokales/gruener-strom-fuer-den-rastplatz-hinterbruehl-auf-der-a-21_a1960598" TargetMode="External" Id="rId549"/><Relationship Type="http://schemas.openxmlformats.org/officeDocument/2006/relationships/hyperlink" Target="https://www.ioeb.at/erfolgreiche-projekte-detail/asfinag-photovoltaikanlage-solarblume" TargetMode="External" Id="rId550"/><Relationship Type="http://schemas.openxmlformats.org/officeDocument/2006/relationships/hyperlink" Target="https://www.newburytoday.co.uk/news/vodafone-installs-smartflower-solar-sunflower-on-newbury-c-9211498/" TargetMode="External" Id="rId551"/><Relationship Type="http://schemas.openxmlformats.org/officeDocument/2006/relationships/hyperlink" Target="https://smartflowersolar.co.uk/installations/" TargetMode="External" Id="rId552"/><Relationship Type="http://schemas.openxmlformats.org/officeDocument/2006/relationships/hyperlink" Target="https://www.smartflowerbenelux.com/references" TargetMode="External" Id="rId553"/><Relationship Type="http://schemas.openxmlformats.org/officeDocument/2006/relationships/hyperlink" Target="https://re.jrc.ec.europa.eu/api/v5_3/PVcalc" TargetMode="External" Id="rId554"/><Relationship Type="http://schemas.openxmlformats.org/officeDocument/2006/relationships/hyperlink" Target="https://doi.org/10.1016/j.apenergy.2016.05.103" TargetMode="External" Id="rId555"/><Relationship Type="http://schemas.openxmlformats.org/officeDocument/2006/relationships/hyperlink" Target="https://grda.mt/wp-content/uploads/2025/12/National-Transport-Master-Plan-2030.pdf" TargetMode="External" Id="rId556"/><Relationship Type="http://schemas.openxmlformats.org/officeDocument/2006/relationships/hyperlink" Target="https://ted.europa.eu/en/notice/-/detail/183660-2026" TargetMode="External" Id="rId557"/><Relationship Type="http://schemas.openxmlformats.org/officeDocument/2006/relationships/hyperlink" Target="https://www.publictransport.com.mt/travel-information/electric-buses/" TargetMode="External" Id="rId558"/><Relationship Type="http://schemas.openxmlformats.org/officeDocument/2006/relationships/hyperlink" Target="https://router.project-osrm.org/" TargetMode="External" Id="rId559"/><Relationship Type="http://schemas.openxmlformats.org/officeDocument/2006/relationships/hyperlink" Target="https://doi.org/10.3390/en16155706" TargetMode="External" Id="rId560"/><Relationship Type="http://schemas.openxmlformats.org/officeDocument/2006/relationships/hyperlink" Target="https://doi.org/10.3390/en18061545" TargetMode="External" Id="rId561"/><Relationship Type="http://schemas.openxmlformats.org/officeDocument/2006/relationships/hyperlink" Target="https://ted.europa.eu/en/notice/-/detail/742398-2024" TargetMode="External" Id="rId562"/><Relationship Type="http://schemas.openxmlformats.org/officeDocument/2006/relationships/hyperlink" Target="https://www.europarl.europa.eu/RegData/etudes/BRIE/2026/782613/EPRS_BRI(2026)782613_EN.pdf" TargetMode="External" Id="rId563"/><Relationship Type="http://schemas.openxmlformats.org/officeDocument/2006/relationships/hyperlink" Target="https://data.consilium.europa.eu/doc/document/ST-11894-2026-ADD-1/en/pdf" TargetMode="External" Id="rId564"/><Relationship Type="http://schemas.openxmlformats.org/officeDocument/2006/relationships/hyperlink" Target="https://www.moneycab.com/dossiers/in-der-umwelt-arena-erzeugen-sogar-blumen-elektrizitaet/amp/" TargetMode="External" Id="rId565"/><Relationship Type="http://schemas.openxmlformats.org/officeDocument/2006/relationships/hyperlink" Target="https://www.smartgridsinfo.es/2016/01/28/nuevo-sistema-fotovoltaico-para-la-recarga-de-vehiculos-electricos" TargetMode="External" Id="rId566"/><Relationship Type="http://schemas.openxmlformats.org/officeDocument/2006/relationships/hyperlink" Target="https://pn.org.mt/press-releases/malta-l-uniku-stat-membru-tal-ue-li-zied-l-intenstita-tal-emissjonijiet-tieghu-mill-2013-l-hawn/" TargetMode="External" Id="rId567"/><Relationship Type="http://schemas.openxmlformats.org/officeDocument/2006/relationships/hyperlink" Target="https://ec.europa.eu/eurostat/web/products-eurostat-news/w/ddn-20260123-1" TargetMode="External" Id="rId568"/><Relationship Type="http://schemas.openxmlformats.org/officeDocument/2006/relationships/hyperlink" Target="https://ec.europa.eu/eurostat/documents/4187653/22762673/greenhouse-gas-emissions-intensity-2013-2024.html/98651795-bcd1-3b5a-b273-7da9727ee5f3?t=1768906967687" TargetMode="External" Id="rId569"/><Relationship Type="http://schemas.openxmlformats.org/officeDocument/2006/relationships/hyperlink" Target="https://ec.europa.eu/eurostat/statistics-explained/index.php?title=Greenhouse_gas_emission_accounts" TargetMode="External" Id="rId570"/><Relationship Type="http://schemas.openxmlformats.org/officeDocument/2006/relationships/hyperlink" Target="https://ec.europa.eu/eurostat/databrowser/view/env_ac_aeint_r2/default/table" TargetMode="External" Id="rId571"/><Relationship Type="http://schemas.openxmlformats.org/officeDocument/2006/relationships/hyperlink" Target="https://ec.europa.eu/eurostat/cache/metadata/en/env_ac_ainah_r2_sims.htm" TargetMode="External" Id="rId572"/><Relationship Type="http://schemas.openxmlformats.org/officeDocument/2006/relationships/hyperlink" Target="https://ec.europa.eu/eurostat/cache/metadata/en/env_ac_ainah_r2_simsae_mt.htm" TargetMode="External" Id="rId573"/><Relationship Type="http://schemas.openxmlformats.org/officeDocument/2006/relationships/hyperlink" Target="https://ec.europa.eu/eurostat/databrowser/view/nama_10_a64/default/table" TargetMode="External" Id="rId574"/><Relationship Type="http://schemas.openxmlformats.org/officeDocument/2006/relationships/hyperlink" Target="https://doi.org/10.1080/09535314.2015.1049126" TargetMode="External" Id="rId575"/><Relationship Type="http://schemas.openxmlformats.org/officeDocument/2006/relationships/hyperlink" Target="https://ec.europa.eu/eurostat/web/products-eurostat-news/w/ddn-20251218-2" TargetMode="External" Id="rId576"/><Relationship Type="http://schemas.openxmlformats.org/officeDocument/2006/relationships/hyperlink" Target="https://www.eea.europa.eu/en/analysis/indicators/fossil-fuel-subsidies/fossil-fuel-subsidies-as" TargetMode="External" Id="rId577"/><Relationship Type="http://schemas.openxmlformats.org/officeDocument/2006/relationships/hyperlink" Target="https://www.eea.europa.eu/en/analysis/publications/monitoring-progress-towards-8th-eap-objectives/indicators/19-fossil-fuel-subsidies/@@download/file" TargetMode="External" Id="rId578"/><Relationship Type="http://schemas.openxmlformats.org/officeDocument/2006/relationships/hyperlink" Target="https://www.eea.europa.eu/en/analysis/publications/monitoring-report-on-progress-towards-the-8th-eap-objectives-2025/indicators/19-fossil-fuel-subsidies_indicator.pdf/@@download/file" TargetMode="External" Id="rId579"/><Relationship Type="http://schemas.openxmlformats.org/officeDocument/2006/relationships/hyperlink" Target="https://www.eea.europa.eu/en/europe-environment-2025/countries/malta/fossil-fuel-subsidies" TargetMode="External" Id="rId580"/><Relationship Type="http://schemas.openxmlformats.org/officeDocument/2006/relationships/hyperlink" Target="https://circabc.europa.eu/ui/group/8f5f9424-a7ef-4dbf-b914-1af1d12ff5d2/library/4e6f2b2c-702b-429b-bb19-7aeb48f28f58/details" TargetMode="External" Id="rId581"/><Relationship Type="http://schemas.openxmlformats.org/officeDocument/2006/relationships/hyperlink" Target="http://publications.europa.eu/resource/cellar/7150e5a9-dd6f-11ef-be2a-01aa75ed71a1.0017.03/DOC_1" TargetMode="External" Id="rId582"/><Relationship Type="http://schemas.openxmlformats.org/officeDocument/2006/relationships/hyperlink" Target="https://energy.ec.europa.eu/strategy/energy-union/ninth-report-state-energy-union_en" TargetMode="External" Id="rId583"/><Relationship Type="http://schemas.openxmlformats.org/officeDocument/2006/relationships/hyperlink" Target="https://energy.ec.europa.eu/news/energy-subsidies-report-shows-progress-2023-2025-01-29_en" TargetMode="External" Id="rId584"/><Relationship Type="http://schemas.openxmlformats.org/officeDocument/2006/relationships/hyperlink" Target="https://data.consilium.europa.eu/doc/document/ST-13343-2026-INIT/en/pdf" TargetMode="External" Id="rId585"/><Relationship Type="http://schemas.openxmlformats.org/officeDocument/2006/relationships/hyperlink" Target="https://economy-finance.ec.europa.eu/document/download/0ae8556a-14a3-4ac9-840f-7f86a5c58521_en?filename=dp214_en.pdf" TargetMode="External" Id="rId586"/><Relationship Type="http://schemas.openxmlformats.org/officeDocument/2006/relationships/hyperlink" Target="https://economy-finance.ec.europa.eu/document/download/4edb4e16-f5c7-4443-ba70-dc3c0dc4099b_en?filename=2024_dbp_mt_en.pdf" TargetMode="External" Id="rId587"/><Relationship Type="http://schemas.openxmlformats.org/officeDocument/2006/relationships/hyperlink" Target="https://economy-finance.ec.europa.eu/document/download/8d77183d-aad8-464a-9c97-8baded7f13a8_en?filename=2025_dbp_mt_en.pdf" TargetMode="External" Id="rId588"/><Relationship Type="http://schemas.openxmlformats.org/officeDocument/2006/relationships/hyperlink" Target="https://climatedata.imf.org/datasets/d48cfd2124954fb0900cef95f2db2724_0" TargetMode="External" Id="rId589"/><Relationship Type="http://schemas.openxmlformats.org/officeDocument/2006/relationships/hyperlink" Target="https://fossilfuelsubsidytracker.org/country/" TargetMode="External" Id="rId590"/><Relationship Type="http://schemas.openxmlformats.org/officeDocument/2006/relationships/hyperlink" Target="https://ec.europa.eu/eurostat/databrowser/view/gov_10a_main/default/table" TargetMode="External" Id="rId591"/><Relationship Type="http://schemas.openxmlformats.org/officeDocument/2006/relationships/hyperlink" Target="https://economy-finance.ec.europa.eu/document/download/b8357ca1-e31e-4a3a-b7e4-25ebf8d01121_en?filename=SWD_2024_618_1_EN_Malta.pdf" TargetMode="External" Id="rId592"/><Relationship Type="http://schemas.openxmlformats.org/officeDocument/2006/relationships/hyperlink" Target="https://doi.org/10.1080/14693062.2016.1169393" TargetMode="External" Id="rId593"/><Relationship Type="http://schemas.openxmlformats.org/officeDocument/2006/relationships/hyperlink" Target="https://doi.org/10.1177/01956574241277304" TargetMode="External" Id="rId594"/><Relationship Type="http://schemas.openxmlformats.org/officeDocument/2006/relationships/hyperlink" Target="https://www.centralbankmalta.org/site/Publications/Economic%20Research/2025/DP-4-25.pdf" TargetMode="External" Id="rId595"/><Relationship Type="http://schemas.openxmlformats.org/officeDocument/2006/relationships/hyperlink" Target="https://ec.europa.eu/commission/presscorner/detail/en/inf_26_1376" TargetMode="External" Id="rId596"/><Relationship Type="http://schemas.openxmlformats.org/officeDocument/2006/relationships/hyperlink" Target="https://data.europa.eu/eli/dir/2000/60/oj" TargetMode="External" Id="rId597"/><Relationship Type="http://schemas.openxmlformats.org/officeDocument/2006/relationships/hyperlink" Target="https://legislation.mt/eli/sl/549.100/eng" TargetMode="External" Id="rId598"/><Relationship Type="http://schemas.openxmlformats.org/officeDocument/2006/relationships/hyperlink" Target="https://legislation.mt/eli/sl/549.164/eng" TargetMode="External" Id="rId599"/><Relationship Type="http://schemas.openxmlformats.org/officeDocument/2006/relationships/hyperlink" Target="https://legislation.mt/eli/sl/549.165/eng" TargetMode="External" Id="rId600"/><Relationship Type="http://schemas.openxmlformats.org/officeDocument/2006/relationships/hyperlink" Target="https://legislation.mt/eli/sl/549.166/eng" TargetMode="External" Id="rId601"/><Relationship Type="http://schemas.openxmlformats.org/officeDocument/2006/relationships/hyperlink" Target="https://legislation.mt/eli/sl/545.14/eng" TargetMode="External" Id="rId602"/><Relationship Type="http://schemas.openxmlformats.org/officeDocument/2006/relationships/hyperlink" Target="https://legislation.mt/eli/cap/549/eng" TargetMode="External" Id="rId603"/><Relationship Type="http://schemas.openxmlformats.org/officeDocument/2006/relationships/hyperlink" Target="https://legislation.mt/eli/sitemap.xml" TargetMode="External" Id="rId604"/><Relationship Type="http://schemas.openxmlformats.org/officeDocument/2006/relationships/hyperlink" Target="https://energywateragency.gov.mt/wp-content/uploads/2025/12/Interim-Report-2025-Final-Version.pdf" TargetMode="External" Id="rId605"/><Relationship Type="http://schemas.openxmlformats.org/officeDocument/2006/relationships/hyperlink" Target="https://era.org.mt/wp-content/uploads/2019/05/2nd_Water_Catchment_Management_Plan-Malta_Water_in_Maltese_Islands.pdf" TargetMode="External" Id="rId606"/><Relationship Type="http://schemas.openxmlformats.org/officeDocument/2006/relationships/hyperlink" Target="http://publications.europa.eu/resource/celex/52019SC0048" TargetMode="External" Id="rId607"/><Relationship Type="http://schemas.openxmlformats.org/officeDocument/2006/relationships/hyperlink" Target="http://publications.europa.eu/resource/celex/52025DC0002" TargetMode="External" Id="rId608"/><Relationship Type="http://schemas.openxmlformats.org/officeDocument/2006/relationships/hyperlink" Target="http://publications.europa.eu/resource/celex/52025SC0013" TargetMode="External" Id="rId609"/><Relationship Type="http://schemas.openxmlformats.org/officeDocument/2006/relationships/hyperlink" Target="https://water.discomap.eea.europa.eu/arcgis/rest/services/WISE_WFD" TargetMode="External" Id="rId610"/><Relationship Type="http://schemas.openxmlformats.org/officeDocument/2006/relationships/hyperlink" Target="https://www.amphora.media/2026/08/profit-in-every-drop-malta-groundwater" TargetMode="External" Id="rId611"/><Relationship Type="http://schemas.openxmlformats.org/officeDocument/2006/relationships/hyperlink" Target="https://legislation.mt/eli/sl/545.2/eng" TargetMode="External" Id="rId612"/><Relationship Type="http://schemas.openxmlformats.org/officeDocument/2006/relationships/hyperlink" Target="https://legislation.mt/eli/sl/549.21/eng" TargetMode="External" Id="rId613"/><Relationship Type="http://schemas.openxmlformats.org/officeDocument/2006/relationships/hyperlink" Target="https://legislation.mt/eli/sl/549.53/eng" TargetMode="External" Id="rId614"/><Relationship Type="http://schemas.openxmlformats.org/officeDocument/2006/relationships/hyperlink" Target="https://legislation.mt/eli/sl/549.155/eng" TargetMode="External" Id="rId615"/><Relationship Type="http://schemas.openxmlformats.org/officeDocument/2006/relationships/hyperlink" Target="https://eeadmz1-downloads-api-appservice.azurewebsites.net/" TargetMode="External" Id="rId616"/><Relationship Type="http://schemas.openxmlformats.org/officeDocument/2006/relationships/hyperlink" Target="https://cdr.eionet.europa.eu/mt/eu/aqd/g/" TargetMode="External" Id="rId617"/><Relationship Type="http://schemas.openxmlformats.org/officeDocument/2006/relationships/hyperlink" Target="https://ec.europa.eu/eurostat/databrowser/view/road_eqs_carpda/default/table" TargetMode="External" Id="rId618"/><Relationship Type="http://schemas.openxmlformats.org/officeDocument/2006/relationships/hyperlink" Target="https://www.eea.europa.eu/en/analysis/maps-and-charts/particulate-matter-pm10-annual-limit-value-for-the-protection-of-human-health-3" TargetMode="External" Id="rId619"/><Relationship Type="http://schemas.openxmlformats.org/officeDocument/2006/relationships/hyperlink" Target="https://doi.org/10.1016/j.envpol.2022.120569" TargetMode="External" Id="rId620"/><Relationship Type="http://schemas.openxmlformats.org/officeDocument/2006/relationships/hyperlink" Target="https://doi.org/10.1016/j.atmosenv.2016.10.028" TargetMode="External" Id="rId621"/><Relationship Type="http://schemas.openxmlformats.org/officeDocument/2006/relationships/hyperlink" Target="https://doi.org/10.3389/frsc.2021.631280" TargetMode="External" Id="rId622"/><Relationship Type="http://schemas.openxmlformats.org/officeDocument/2006/relationships/hyperlink" Target="https://doi.org/10.1007/s10640-026-01090-5" TargetMode="External" Id="rId623"/><Relationship Type="http://schemas.openxmlformats.org/officeDocument/2006/relationships/hyperlink" Target="https://doi.org/10.1016/j.ecotra.2024.100380" TargetMode="External" Id="rId624"/><Relationship Type="http://schemas.openxmlformats.org/officeDocument/2006/relationships/hyperlink" Target="https://doi.org/10.5194/acp-18-6223-2018" TargetMode="External" Id="rId625"/><Relationship Type="http://schemas.openxmlformats.org/officeDocument/2006/relationships/hyperlink" Target="https://www.imo.org/en/MediaCentre/HotTopics/Pages/Sulphur-2020.aspx" TargetMode="External" Id="rId626"/><Relationship Type="http://schemas.openxmlformats.org/officeDocument/2006/relationships/hyperlink" Target="https://doi.org/10.2908/ENV_WAT_CAT" TargetMode="External" Id="rId627"/><Relationship Type="http://schemas.openxmlformats.org/officeDocument/2006/relationships/hyperlink" Target="https://doi.org/10.2908/DEMO_PJAN" TargetMode="External" Id="rId628"/><Relationship Type="http://schemas.openxmlformats.org/officeDocument/2006/relationships/hyperlink" Target="https://www.gov.mt/en/Government/DOI/Press%20Releases/Pages/2025/06/28/pr251165en.aspx" TargetMode="External" Id="rId629"/><Relationship Type="http://schemas.openxmlformats.org/officeDocument/2006/relationships/hyperlink" Target="https://www.guidememalta.com/en/let-s-go-to-the-beach-malta-and-gozo-celebrate-13-beaches-recognised-with-2025-blue-flag-distinction" TargetMode="External" Id="rId630"/><Relationship Type="http://schemas.openxmlformats.org/officeDocument/2006/relationships/hyperlink" Target="https://maltatoday.com.mt/news/national/113350/new_reverse_osmosis_plant_gives_gozo_autonomy_in_water_supply" TargetMode="External" Id="rId631"/><Relationship Type="http://schemas.openxmlformats.org/officeDocument/2006/relationships/hyperlink" Target="https://www.atuna.com/news/maltese-environmental-watchdog-pushes-bluefin-farms-to-clean-up-slime/" TargetMode="External" Id="rId632"/><Relationship Type="http://schemas.openxmlformats.org/officeDocument/2006/relationships/hyperlink" Target="https://housingauthority.gov.mt/wp-content/uploads/2026/07/The-Path-to-Homeownership.pdf" TargetMode="External" Id="rId633"/><Relationship Type="http://schemas.openxmlformats.org/officeDocument/2006/relationships/hyperlink" Target="https://nso.gov.mt/road-transport-public-transport/" TargetMode="External" Id="rId634"/><Relationship Type="http://schemas.openxmlformats.org/officeDocument/2006/relationships/hyperlink" Target="https://newsbook.com.mt/en/agreement-over-manoel-island-and-fort-tigne-signed/" TargetMode="External" Id="rId635"/><Relationship Type="http://schemas.openxmlformats.org/officeDocument/2006/relationships/hyperlink" Target="https://tvmnews.mt/en/news/manoel-island-and-fort-tigne-agreement-finalised-to-return-sites-to-the-public/" TargetMode="External" Id="rId636"/><Relationship Type="http://schemas.openxmlformats.org/officeDocument/2006/relationships/hyperlink" Target="https://cdn.borzamalta.com.mt/download/announcements/MDI222.pdf" TargetMode="External" Id="rId637"/><Relationship Type="http://schemas.openxmlformats.org/officeDocument/2006/relationships/hyperlink" Target="https://tvmnews.mt/en/news/government-reaches-e43m-agreement-to-end-concession-midi-requested-e78m" TargetMode="External" Id="rId638"/><Relationship Type="http://schemas.openxmlformats.org/officeDocument/2006/relationships/hyperlink" Target="https://pn.org.mt/en/?p=29629" TargetMode="External" Id="rId639"/><Relationship Type="http://schemas.openxmlformats.org/officeDocument/2006/relationships/hyperlink" Target="https://lovinmalta.com/news/local/planning-authority-sanctions-20-illegal-manoel-island-padel-courts-and-approves-10-more/" TargetMode="External" Id="rId640"/><Relationship Type="http://schemas.openxmlformats.org/officeDocument/2006/relationships/hyperlink" Target="https://legislation.mt/" TargetMode="External" Id="rId641"/><Relationship Type="http://schemas.openxmlformats.org/officeDocument/2006/relationships/hyperlink" Target="https://adpd.mt/forti-chambray-ezempju-wiehed-biss-tas-saltna-tar-reghba-fpajjizna/" TargetMode="External" Id="rId642"/><Relationship Type="http://schemas.openxmlformats.org/officeDocument/2006/relationships/hyperlink" Target="https://newsbook.com.mt/en/fort-chambray-debacle-just-one-example-of-maltas-reign-of-greed-adpd/" TargetMode="External" Id="rId643"/><Relationship Type="http://schemas.openxmlformats.org/officeDocument/2006/relationships/hyperlink" Target="https://newsbook.com.mt/en/ggantija-development-approved-despite-heritage-fears/" TargetMode="External" Id="rId644"/><Relationship Type="http://schemas.openxmlformats.org/officeDocument/2006/relationships/hyperlink" Target="https://newsbook.com.mt/en/abela-claims-ggantija-apartments-will-not-prejudice-unesco-site/" TargetMode="External" Id="rId645"/><Relationship Type="http://schemas.openxmlformats.org/officeDocument/2006/relationships/hyperlink" Target="https://newsbook.com.mt/en/watch-farmhouse-beside-ggantija-temples-demolished-following-planning-approval/" TargetMode="External" Id="rId646"/><Relationship Type="http://schemas.openxmlformats.org/officeDocument/2006/relationships/hyperlink" Target="https://tvmnews.mt/en/news/momentum-condemns-permit-approval-for-22-block-apartment-near-ggantija-temples/" TargetMode="External" Id="rId647"/><Relationship Type="http://schemas.openxmlformats.org/officeDocument/2006/relationships/hyperlink" Target="https://tvmnews.mt/en/news/planning-authority-revokes-permit-for-apartments-in-ggantija-area/" TargetMode="External" Id="rId648"/><Relationship Type="http://schemas.openxmlformats.org/officeDocument/2006/relationships/hyperlink" Target="https://newsbook.com.mt/en/pa-revokes-approval-of-apartment-block-overlooking-ggantija-temples/" TargetMode="External" Id="rId649"/><Relationship Type="http://schemas.openxmlformats.org/officeDocument/2006/relationships/hyperlink" Target="https://theshiftnews.com/2026/03/12/planning-authority-delays-decision-on-ggantija-buffer-zone-flats-after-ngos-challenge-heritage-assessment/" TargetMode="External" Id="rId650"/><Relationship Type="http://schemas.openxmlformats.org/officeDocument/2006/relationships/hyperlink" Target="https://regjunghawdex.com/?p=1812" TargetMode="External" Id="rId651"/><Relationship Type="http://schemas.openxmlformats.org/officeDocument/2006/relationships/hyperlink" Target="https://heritagemalta.mt/app/uploads/2024/02/Megalithic-Temples-Management-Plan-2012-17.pdf" TargetMode="External" Id="rId652"/><Relationship Type="http://schemas.openxmlformats.org/officeDocument/2006/relationships/hyperlink" Target="https://tvmnews.mt/en/news/residential-development-downsized-outside-buffer-zone-will-not-impact-ggantija-temples-pa/" TargetMode="External" Id="rId653"/><Relationship Type="http://schemas.openxmlformats.org/officeDocument/2006/relationships/hyperlink" Target="https://newsbook.com.mt/en/coalition-for-gozo-unesco-confirms-need-for-heritage-impact-assessment-near-ggantija/" TargetMode="External" Id="rId654"/><Relationship Type="http://schemas.openxmlformats.org/officeDocument/2006/relationships/hyperlink" Target="https://tvmnews.mt/en/news/new-traffic-measures-will-cost-e15million/" TargetMode="External" Id="rId655"/><Relationship Type="http://schemas.openxmlformats.org/officeDocument/2006/relationships/hyperlink" Target="https://tvmnews.mt/en/news/more-than-45-measures-announced-to-reduce-traffic-congestion/" TargetMode="External" Id="rId656"/><Relationship Type="http://schemas.openxmlformats.org/officeDocument/2006/relationships/hyperlink" Target="https://newsbook.com.mt/en/two-new-gozo-ferries-and-fleet-upgrade-planned-in-e130-million-investment/" TargetMode="External" Id="rId657"/><Relationship Type="http://schemas.openxmlformats.org/officeDocument/2006/relationships/hyperlink" Target="https://nso.gov.mt/sea-transport-between-malta-and-gozo-q4-2025/" TargetMode="External" Id="rId658"/><Relationship Type="http://schemas.openxmlformats.org/officeDocument/2006/relationships/hyperlink" Target="https://tvmnews.mt/en/news/pa-starts-process-to-withdraw-marsascala-yacht-marina-planning-policy/" TargetMode="External" Id="rId659"/><Relationship Type="http://schemas.openxmlformats.org/officeDocument/2006/relationships/hyperlink" Target="https://newsbook.com.mt/en/pa-withdraws-marsaskala-yacht-marina-plans/" TargetMode="External" Id="rId660"/><Relationship Type="http://schemas.openxmlformats.org/officeDocument/2006/relationships/hyperlink" Target="https://businessnow.mt/marsascala-yacht-marina-will-not-happen-says-prime-minister/" TargetMode="External" Id="rId661"/><Relationship Type="http://schemas.openxmlformats.org/officeDocument/2006/relationships/hyperlink" Target="https://www.pa.org.mt/en/local-plan-details/south-malta-local-plan" TargetMode="External" Id="rId662"/><Relationship Type="http://schemas.openxmlformats.org/officeDocument/2006/relationships/hyperlink" Target="https://theshiftnews.com/2026/02/26/free-public-transport-reaches-e100-million-a-year-in-subsidies-as-traffic-gridlock-worsens/" TargetMode="External" Id="rId663"/><Relationship Type="http://schemas.openxmlformats.org/officeDocument/2006/relationships/hyperlink" Target="https://newsbook.com.mt/nefqa-ta-e100-miljun-fis-sena-ghal-trasport-pubbliku-bxejn/" TargetMode="External" Id="rId664"/><Relationship Type="http://schemas.openxmlformats.org/officeDocument/2006/relationships/hyperlink" Target="https://businessnow.mt/government-shells-out-close-to-e70-million-to-national-bus-operator-malta-public-transport-in-2023/" TargetMode="External" Id="rId665"/><Relationship Type="http://schemas.openxmlformats.org/officeDocument/2006/relationships/hyperlink" Target="https://doi.org/10.2908/ROAD_EQS_CARMOT" TargetMode="External" Id="rId666"/><Relationship Type="http://schemas.openxmlformats.org/officeDocument/2006/relationships/hyperlink" Target="https://www.tomtom.com/traffic-index/city/valletta/" TargetMode="External" Id="rId667"/><Relationship Type="http://schemas.openxmlformats.org/officeDocument/2006/relationships/hyperlink" Target="https://partitmomentum.org/?p=6437" TargetMode="External" Id="rId668"/><Relationship Type="http://schemas.openxmlformats.org/officeDocument/2006/relationships/hyperlink" Target="https://www.italpress.com/malta-heat-linked-to-20-deaths-in-one-week/" TargetMode="External" Id="rId669"/><Relationship Type="http://schemas.openxmlformats.org/officeDocument/2006/relationships/hyperlink" Target="https://assets.kpmg.com/content/dam/kpmgsites/mt/pdf/2025/12/kpmg-mda-construction-industry-and-property-market-report-2025.pdf" TargetMode="External" Id="rId670"/><Relationship Type="http://schemas.openxmlformats.org/officeDocument/2006/relationships/hyperlink" Target="https://ec.europa.eu/eurostat/databrowser/view/nama_10_a64/" TargetMode="External" Id="rId671"/><Relationship Type="http://schemas.openxmlformats.org/officeDocument/2006/relationships/hyperlink" Target="https://ec.europa.eu/eurostat/databrowser/view/naio_10_cp1750/" TargetMode="External" Id="rId672"/><Relationship Type="http://schemas.openxmlformats.org/officeDocument/2006/relationships/hyperlink" Target="https://lovinmalta.com/news/major-central-link-pledge-only-254-trees-will-be-destroyed-all-replacements-will-be-mature/" TargetMode="External" Id="rId673"/><Relationship Type="http://schemas.openxmlformats.org/officeDocument/2006/relationships/hyperlink" Target="https://theshiftnews.com/2020/01/21/some-trees-marked-with-spray-paint-will-be-removed-for-central-link-project/" TargetMode="External" Id="rId674"/><Relationship Type="http://schemas.openxmlformats.org/officeDocument/2006/relationships/hyperlink" Target="https://www.italpress.com/?p=752830" TargetMode="External" Id="rId675"/></Relationships>
</file>

<file path=xl/worksheets/_rels/sheet11.xml.rels><Relationships xmlns="http://schemas.openxmlformats.org/package/2006/relationships"><Relationship Type="http://schemas.openxmlformats.org/officeDocument/2006/relationships/hyperlink" Target="https://leandergrech.github.io/Mizien/claims/CC-012/" TargetMode="External" Id="rId1"/><Relationship Type="http://schemas.openxmlformats.org/officeDocument/2006/relationships/hyperlink" Target="https://leandergrech.github.io/Mizien/claims/CC-013/" TargetMode="External" Id="rId2"/><Relationship Type="http://schemas.openxmlformats.org/officeDocument/2006/relationships/hyperlink" Target="https://leandergrech.github.io/Mizien/claims/CC-014/" TargetMode="External" Id="rId3"/><Relationship Type="http://schemas.openxmlformats.org/officeDocument/2006/relationships/hyperlink" Target="https://leandergrech.github.io/Mizien/claims/CC-015/" TargetMode="External" Id="rId4"/><Relationship Type="http://schemas.openxmlformats.org/officeDocument/2006/relationships/hyperlink" Target="https://leandergrech.github.io/Mizien/claims/CC-016/" TargetMode="External" Id="rId5"/><Relationship Type="http://schemas.openxmlformats.org/officeDocument/2006/relationships/hyperlink" Target="https://leandergrech.github.io/Mizien/claims/CC-017/" TargetMode="External" Id="rId6"/><Relationship Type="http://schemas.openxmlformats.org/officeDocument/2006/relationships/hyperlink" Target="https://leandergrech.github.io/Mizien/claims/CC-018/" TargetMode="External" Id="rId7"/><Relationship Type="http://schemas.openxmlformats.org/officeDocument/2006/relationships/hyperlink" Target="https://leandergrech.github.io/Mizien/claims/CC-019/" TargetMode="External" Id="rId8"/><Relationship Type="http://schemas.openxmlformats.org/officeDocument/2006/relationships/hyperlink" Target="https://leandergrech.github.io/Mizien/claims/CC-020/" TargetMode="External" Id="rId9"/><Relationship Type="http://schemas.openxmlformats.org/officeDocument/2006/relationships/hyperlink" Target="https://leandergrech.github.io/Mizien/claims/CC-022/" TargetMode="External" Id="rId10"/><Relationship Type="http://schemas.openxmlformats.org/officeDocument/2006/relationships/hyperlink" Target="https://leandergrech.github.io/Mizien/claims/CC-023/" TargetMode="External" Id="rId11"/><Relationship Type="http://schemas.openxmlformats.org/officeDocument/2006/relationships/hyperlink" Target="https://leandergrech.github.io/Mizien/claims/CC-024/" TargetMode="External" Id="rId12"/><Relationship Type="http://schemas.openxmlformats.org/officeDocument/2006/relationships/hyperlink" Target="https://leandergrech.github.io/Mizien/claims/CC-025/" TargetMode="External" Id="rId13"/><Relationship Type="http://schemas.openxmlformats.org/officeDocument/2006/relationships/hyperlink" Target="https://leandergrech.github.io/Mizien/claims/CC-026/" TargetMode="External" Id="rId14"/><Relationship Type="http://schemas.openxmlformats.org/officeDocument/2006/relationships/hyperlink" Target="https://leandergrech.github.io/Mizien/claims/CC-027/" TargetMode="External" Id="rId15"/><Relationship Type="http://schemas.openxmlformats.org/officeDocument/2006/relationships/hyperlink" Target="https://leandergrech.github.io/Mizien/claims/CC-028/" TargetMode="External" Id="rId16"/><Relationship Type="http://schemas.openxmlformats.org/officeDocument/2006/relationships/hyperlink" Target="https://leandergrech.github.io/Mizien/claims/CC-029/" TargetMode="External" Id="rId17"/><Relationship Type="http://schemas.openxmlformats.org/officeDocument/2006/relationships/hyperlink" Target="https://leandergrech.github.io/Mizien/claims/CC-030/" TargetMode="External" Id="rId18"/><Relationship Type="http://schemas.openxmlformats.org/officeDocument/2006/relationships/hyperlink" Target="https://leandergrech.github.io/Mizien/claims/CC-031/" TargetMode="External" Id="rId19"/><Relationship Type="http://schemas.openxmlformats.org/officeDocument/2006/relationships/hyperlink" Target="https://leandergrech.github.io/Mizien/claims/CC-032/" TargetMode="External" Id="rId20"/><Relationship Type="http://schemas.openxmlformats.org/officeDocument/2006/relationships/hyperlink" Target="https://leandergrech.github.io/Mizien/claims/CC-033/" TargetMode="External" Id="rId21"/><Relationship Type="http://schemas.openxmlformats.org/officeDocument/2006/relationships/hyperlink" Target="https://leandergrech.github.io/Mizien/claims/CC-034/" TargetMode="External" Id="rId22"/><Relationship Type="http://schemas.openxmlformats.org/officeDocument/2006/relationships/hyperlink" Target="https://leandergrech.github.io/Mizien/claims/CC-035/" TargetMode="External" Id="rId23"/><Relationship Type="http://schemas.openxmlformats.org/officeDocument/2006/relationships/hyperlink" Target="https://leandergrech.github.io/Mizien/claims/CC-036/" TargetMode="External" Id="rId24"/><Relationship Type="http://schemas.openxmlformats.org/officeDocument/2006/relationships/hyperlink" Target="https://leandergrech.github.io/Mizien/claims/CC-037/" TargetMode="External" Id="rId25"/><Relationship Type="http://schemas.openxmlformats.org/officeDocument/2006/relationships/hyperlink" Target="https://leandergrech.github.io/Mizien/claims/CC-038/" TargetMode="External" Id="rId26"/><Relationship Type="http://schemas.openxmlformats.org/officeDocument/2006/relationships/hyperlink" Target="https://leandergrech.github.io/Mizien/claims/CC-039/" TargetMode="External" Id="rId27"/><Relationship Type="http://schemas.openxmlformats.org/officeDocument/2006/relationships/hyperlink" Target="https://leandergrech.github.io/Mizien/claims/CC-040/" TargetMode="External" Id="rId28"/><Relationship Type="http://schemas.openxmlformats.org/officeDocument/2006/relationships/hyperlink" Target="https://leandergrech.github.io/Mizien/claims/CC-041/" TargetMode="External" Id="rId29"/><Relationship Type="http://schemas.openxmlformats.org/officeDocument/2006/relationships/hyperlink" Target="https://leandergrech.github.io/Mizien/claims/CC-042/" TargetMode="External" Id="rId30"/><Relationship Type="http://schemas.openxmlformats.org/officeDocument/2006/relationships/hyperlink" Target="https://leandergrech.github.io/Mizien/claims/CC-043/" TargetMode="External" Id="rId31"/><Relationship Type="http://schemas.openxmlformats.org/officeDocument/2006/relationships/hyperlink" Target="https://leandergrech.github.io/Mizien/claims/CC-044/" TargetMode="External" Id="rId32"/><Relationship Type="http://schemas.openxmlformats.org/officeDocument/2006/relationships/hyperlink" Target="https://leandergrech.github.io/Mizien/claims/CC-045/" TargetMode="External" Id="rId33"/><Relationship Type="http://schemas.openxmlformats.org/officeDocument/2006/relationships/hyperlink" Target="https://leandergrech.github.io/Mizien/claims/CC-046/" TargetMode="External" Id="rId34"/><Relationship Type="http://schemas.openxmlformats.org/officeDocument/2006/relationships/hyperlink" Target="https://leandergrech.github.io/Mizien/claims/CC-047/" TargetMode="External" Id="rId35"/><Relationship Type="http://schemas.openxmlformats.org/officeDocument/2006/relationships/hyperlink" Target="https://leandergrech.github.io/Mizien/claims/CC-048/" TargetMode="External" Id="rId36"/><Relationship Type="http://schemas.openxmlformats.org/officeDocument/2006/relationships/hyperlink" Target="https://leandergrech.github.io/Mizien/claims/CC-049/" TargetMode="External" Id="rId37"/><Relationship Type="http://schemas.openxmlformats.org/officeDocument/2006/relationships/hyperlink" Target="https://leandergrech.github.io/Mizien/claims/CC-050/" TargetMode="External" Id="rId38"/><Relationship Type="http://schemas.openxmlformats.org/officeDocument/2006/relationships/hyperlink" Target="https://leandergrech.github.io/Mizien/claims/CC-051/" TargetMode="External" Id="rId39"/><Relationship Type="http://schemas.openxmlformats.org/officeDocument/2006/relationships/hyperlink" Target="https://leandergrech.github.io/Mizien/claims/CC-052/" TargetMode="External" Id="rId40"/><Relationship Type="http://schemas.openxmlformats.org/officeDocument/2006/relationships/hyperlink" Target="https://leandergrech.github.io/Mizien/claims/CC-053/" TargetMode="External" Id="rId41"/><Relationship Type="http://schemas.openxmlformats.org/officeDocument/2006/relationships/hyperlink" Target="https://leandergrech.github.io/Mizien/claims/CC-054/" TargetMode="External" Id="rId42"/><Relationship Type="http://schemas.openxmlformats.org/officeDocument/2006/relationships/hyperlink" Target="https://leandergrech.github.io/Mizien/claims/CC-055/" TargetMode="External" Id="rId43"/><Relationship Type="http://schemas.openxmlformats.org/officeDocument/2006/relationships/hyperlink" Target="https://leandergrech.github.io/Mizien/claims/CC-056/" TargetMode="External" Id="rId44"/><Relationship Type="http://schemas.openxmlformats.org/officeDocument/2006/relationships/hyperlink" Target="https://leandergrech.github.io/Mizien/claims/CC-057/" TargetMode="External" Id="rId45"/><Relationship Type="http://schemas.openxmlformats.org/officeDocument/2006/relationships/hyperlink" Target="https://leandergrech.github.io/Mizien/claims/CC-058/" TargetMode="External" Id="rId46"/><Relationship Type="http://schemas.openxmlformats.org/officeDocument/2006/relationships/hyperlink" Target="https://leandergrech.github.io/Mizien/claims/CC-059/" TargetMode="External" Id="rId47"/><Relationship Type="http://schemas.openxmlformats.org/officeDocument/2006/relationships/hyperlink" Target="https://leandergrech.github.io/Mizien/claims/CC-060/" TargetMode="External" Id="rId48"/><Relationship Type="http://schemas.openxmlformats.org/officeDocument/2006/relationships/hyperlink" Target="https://leandergrech.github.io/Mizien/claims/CC-061/" TargetMode="External" Id="rId49"/><Relationship Type="http://schemas.openxmlformats.org/officeDocument/2006/relationships/hyperlink" Target="https://leandergrech.github.io/Mizien/claims/CC-062/" TargetMode="External" Id="rId50"/><Relationship Type="http://schemas.openxmlformats.org/officeDocument/2006/relationships/hyperlink" Target="https://leandergrech.github.io/Mizien/claims/CC-063/" TargetMode="External" Id="rId51"/><Relationship Type="http://schemas.openxmlformats.org/officeDocument/2006/relationships/hyperlink" Target="https://leandergrech.github.io/Mizien/claims/CC-064/" TargetMode="External" Id="rId52"/><Relationship Type="http://schemas.openxmlformats.org/officeDocument/2006/relationships/hyperlink" Target="https://leandergrech.github.io/Mizien/claims/CC-065/" TargetMode="External" Id="rId53"/><Relationship Type="http://schemas.openxmlformats.org/officeDocument/2006/relationships/hyperlink" Target="https://leandergrech.github.io/Mizien/claims/CC-066/" TargetMode="External" Id="rId54"/><Relationship Type="http://schemas.openxmlformats.org/officeDocument/2006/relationships/hyperlink" Target="https://leandergrech.github.io/Mizien/claims/CC-067/" TargetMode="External" Id="rId55"/><Relationship Type="http://schemas.openxmlformats.org/officeDocument/2006/relationships/hyperlink" Target="https://leandergrech.github.io/Mizien/claims/CC-068/" TargetMode="External" Id="rId56"/><Relationship Type="http://schemas.openxmlformats.org/officeDocument/2006/relationships/hyperlink" Target="https://leandergrech.github.io/Mizien/claims/CC-069/" TargetMode="External" Id="rId57"/><Relationship Type="http://schemas.openxmlformats.org/officeDocument/2006/relationships/hyperlink" Target="https://leandergrech.github.io/Mizien/claims/CC-070/" TargetMode="External" Id="rId58"/><Relationship Type="http://schemas.openxmlformats.org/officeDocument/2006/relationships/hyperlink" Target="https://leandergrech.github.io/Mizien/claims/CC-071/" TargetMode="External" Id="rId59"/><Relationship Type="http://schemas.openxmlformats.org/officeDocument/2006/relationships/hyperlink" Target="https://leandergrech.github.io/Mizien/claims/CC-072/" TargetMode="External" Id="rId60"/><Relationship Type="http://schemas.openxmlformats.org/officeDocument/2006/relationships/hyperlink" Target="https://leandergrech.github.io/Mizien/claims/CC-073/" TargetMode="External" Id="rId61"/><Relationship Type="http://schemas.openxmlformats.org/officeDocument/2006/relationships/hyperlink" Target="https://leandergrech.github.io/Mizien/claims/CC-074/" TargetMode="External" Id="rId62"/><Relationship Type="http://schemas.openxmlformats.org/officeDocument/2006/relationships/hyperlink" Target="https://leandergrech.github.io/Mizien/claims/CC-075/" TargetMode="External" Id="rId63"/><Relationship Type="http://schemas.openxmlformats.org/officeDocument/2006/relationships/hyperlink" Target="https://leandergrech.github.io/Mizien/claims/CC-076/" TargetMode="External" Id="rId64"/><Relationship Type="http://schemas.openxmlformats.org/officeDocument/2006/relationships/hyperlink" Target="https://leandergrech.github.io/Mizien/claims/CC-077/" TargetMode="External" Id="rId65"/><Relationship Type="http://schemas.openxmlformats.org/officeDocument/2006/relationships/hyperlink" Target="https://leandergrech.github.io/Mizien/claims/CC-078/" TargetMode="External" Id="rId66"/><Relationship Type="http://schemas.openxmlformats.org/officeDocument/2006/relationships/hyperlink" Target="https://leandergrech.github.io/Mizien/claims/CC-079/" TargetMode="External" Id="rId67"/><Relationship Type="http://schemas.openxmlformats.org/officeDocument/2006/relationships/hyperlink" Target="https://leandergrech.github.io/Mizien/claims/CC-080/" TargetMode="External" Id="rId68"/><Relationship Type="http://schemas.openxmlformats.org/officeDocument/2006/relationships/hyperlink" Target="https://leandergrech.github.io/Mizien/claims/CC-081/" TargetMode="External" Id="rId69"/><Relationship Type="http://schemas.openxmlformats.org/officeDocument/2006/relationships/hyperlink" Target="https://leandergrech.github.io/Mizien/claims/CC-082/" TargetMode="External" Id="rId70"/><Relationship Type="http://schemas.openxmlformats.org/officeDocument/2006/relationships/hyperlink" Target="https://leandergrech.github.io/Mizien/claims/CC-083/" TargetMode="External" Id="rId71"/><Relationship Type="http://schemas.openxmlformats.org/officeDocument/2006/relationships/hyperlink" Target="https://leandergrech.github.io/Mizien/claims/CC-084/" TargetMode="External" Id="rId72"/><Relationship Type="http://schemas.openxmlformats.org/officeDocument/2006/relationships/hyperlink" Target="https://leandergrech.github.io/Mizien/claims/CC-085/" TargetMode="External" Id="rId73"/><Relationship Type="http://schemas.openxmlformats.org/officeDocument/2006/relationships/hyperlink" Target="https://leandergrech.github.io/Mizien/claims/CC-086/" TargetMode="External" Id="rId74"/><Relationship Type="http://schemas.openxmlformats.org/officeDocument/2006/relationships/hyperlink" Target="https://leandergrech.github.io/Mizien/claims/CC-087/" TargetMode="External" Id="rId75"/><Relationship Type="http://schemas.openxmlformats.org/officeDocument/2006/relationships/hyperlink" Target="https://leandergrech.github.io/Mizien/claims/CC-088/" TargetMode="External" Id="rId76"/><Relationship Type="http://schemas.openxmlformats.org/officeDocument/2006/relationships/hyperlink" Target="https://leandergrech.github.io/Mizien/claims/CC-089/" TargetMode="External" Id="rId77"/><Relationship Type="http://schemas.openxmlformats.org/officeDocument/2006/relationships/hyperlink" Target="https://leandergrech.github.io/Mizien/claims/CC-090/" TargetMode="External" Id="rId78"/><Relationship Type="http://schemas.openxmlformats.org/officeDocument/2006/relationships/hyperlink" Target="https://leandergrech.github.io/Mizien/claims/CC-091/" TargetMode="External" Id="rId79"/><Relationship Type="http://schemas.openxmlformats.org/officeDocument/2006/relationships/hyperlink" Target="https://leandergrech.github.io/Mizien/claims/CC-092/" TargetMode="External" Id="rId80"/><Relationship Type="http://schemas.openxmlformats.org/officeDocument/2006/relationships/hyperlink" Target="https://leandergrech.github.io/Mizien/claims/CC-093/" TargetMode="External" Id="rId81"/><Relationship Type="http://schemas.openxmlformats.org/officeDocument/2006/relationships/hyperlink" Target="https://leandergrech.github.io/Mizien/claims/CC-094/" TargetMode="External" Id="rId82"/><Relationship Type="http://schemas.openxmlformats.org/officeDocument/2006/relationships/hyperlink" Target="https://leandergrech.github.io/Mizien/claims/CC-095/" TargetMode="External" Id="rId83"/><Relationship Type="http://schemas.openxmlformats.org/officeDocument/2006/relationships/hyperlink" Target="https://leandergrech.github.io/Mizien/claims/CC-096/" TargetMode="External" Id="rId84"/><Relationship Type="http://schemas.openxmlformats.org/officeDocument/2006/relationships/hyperlink" Target="https://leandergrech.github.io/Mizien/claims/CC-097/" TargetMode="External" Id="rId85"/><Relationship Type="http://schemas.openxmlformats.org/officeDocument/2006/relationships/hyperlink" Target="https://leandergrech.github.io/Mizien/claims/CC-098/" TargetMode="External" Id="rId86"/><Relationship Type="http://schemas.openxmlformats.org/officeDocument/2006/relationships/hyperlink" Target="https://leandergrech.github.io/Mizien/claims/CC-099/" TargetMode="External" Id="rId87"/><Relationship Type="http://schemas.openxmlformats.org/officeDocument/2006/relationships/hyperlink" Target="https://leandergrech.github.io/Mizien/claims/CC-100/" TargetMode="External" Id="rId88"/><Relationship Type="http://schemas.openxmlformats.org/officeDocument/2006/relationships/hyperlink" Target="https://leandergrech.github.io/Mizien/claims/CC-101/" TargetMode="External" Id="rId89"/><Relationship Type="http://schemas.openxmlformats.org/officeDocument/2006/relationships/hyperlink" Target="https://leandergrech.github.io/Mizien/claims/CC-102/" TargetMode="External" Id="rId90"/><Relationship Type="http://schemas.openxmlformats.org/officeDocument/2006/relationships/hyperlink" Target="https://leandergrech.github.io/Mizien/claims/CC-103/" TargetMode="External" Id="rId91"/><Relationship Type="http://schemas.openxmlformats.org/officeDocument/2006/relationships/hyperlink" Target="https://leandergrech.github.io/Mizien/claims/CC-104/" TargetMode="External" Id="rId92"/><Relationship Type="http://schemas.openxmlformats.org/officeDocument/2006/relationships/hyperlink" Target="https://leandergrech.github.io/Mizien/claims/CC-105/" TargetMode="External" Id="rId93"/><Relationship Type="http://schemas.openxmlformats.org/officeDocument/2006/relationships/hyperlink" Target="https://leandergrech.github.io/Mizien/claims/CC-106/" TargetMode="External" Id="rId94"/><Relationship Type="http://schemas.openxmlformats.org/officeDocument/2006/relationships/hyperlink" Target="https://leandergrech.github.io/Mizien/claims/CC-108/" TargetMode="External" Id="rId95"/><Relationship Type="http://schemas.openxmlformats.org/officeDocument/2006/relationships/hyperlink" Target="https://leandergrech.github.io/Mizien/claims/CC-109/" TargetMode="External" Id="rId96"/><Relationship Type="http://schemas.openxmlformats.org/officeDocument/2006/relationships/hyperlink" Target="https://leandergrech.github.io/Mizien/claims/CC-110/" TargetMode="External" Id="rId97"/><Relationship Type="http://schemas.openxmlformats.org/officeDocument/2006/relationships/hyperlink" Target="https://leandergrech.github.io/Mizien/claims/CC-111/" TargetMode="External" Id="rId98"/><Relationship Type="http://schemas.openxmlformats.org/officeDocument/2006/relationships/hyperlink" Target="https://leandergrech.github.io/Mizien/claims/CC-112/" TargetMode="External" Id="rId99"/><Relationship Type="http://schemas.openxmlformats.org/officeDocument/2006/relationships/hyperlink" Target="https://leandergrech.github.io/Mizien/claims/CC-113/" TargetMode="External" Id="rId100"/><Relationship Type="http://schemas.openxmlformats.org/officeDocument/2006/relationships/hyperlink" Target="https://leandergrech.github.io/Mizien/claims/CC-114/" TargetMode="External" Id="rId101"/><Relationship Type="http://schemas.openxmlformats.org/officeDocument/2006/relationships/hyperlink" Target="https://leandergrech.github.io/Mizien/claims/CC-115/" TargetMode="External" Id="rId102"/><Relationship Type="http://schemas.openxmlformats.org/officeDocument/2006/relationships/hyperlink" Target="https://leandergrech.github.io/Mizien/claims/CC-116/" TargetMode="External" Id="rId103"/></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110" customWidth="1" min="2" max="2"/>
  </cols>
  <sheetData>
    <row r="1">
      <c r="A1" s="1" t="inlineStr">
        <is>
          <t>Miżien: claim tracker</t>
        </is>
      </c>
    </row>
    <row r="2">
      <c r="A2" s="2" t="inlineStr">
        <is>
          <t>Generated from the claim records by scripts/sheets.py; records as of 2026-10-10 (latest research-log date). Do not edit this workbook: change claims/CC-NNN/claim.yml or the CSV named for each sheet, then run python scripts/sheets.py --xlsx.</t>
        </is>
      </c>
      <c r="B2" s="2" t="n"/>
    </row>
    <row r="3">
      <c r="A3" s="2" t="n"/>
      <c r="B3" s="2" t="n"/>
    </row>
    <row r="4">
      <c r="A4" s="3" t="inlineStr">
        <is>
          <t>SHEETS</t>
        </is>
      </c>
      <c r="B4" s="2" t="n"/>
    </row>
    <row r="5">
      <c r="A5" s="2" t="inlineStr">
        <is>
          <t>Claims</t>
        </is>
      </c>
      <c r="B5" s="2" t="inlineStr">
        <is>
          <t>The claim sheet (data/claims.csv): one row per claim, plus verdict, pledge label, version, dates, the worker queue and a link to the claim page.</t>
        </is>
      </c>
    </row>
    <row r="6">
      <c r="A6" s="2" t="inlineStr">
        <is>
          <t>Facts</t>
        </is>
      </c>
      <c r="B6" s="2" t="inlineStr">
        <is>
          <t>The fact sheet (data/facts.csv): every figure a check recomputed, from data/cc-nnn/checks.csv. Row is CC-NNN:line in that file (header = line 1).</t>
        </is>
      </c>
    </row>
    <row r="7">
      <c r="A7" s="2" t="inlineStr">
        <is>
          <t>Quick checks</t>
        </is>
      </c>
      <c r="B7" s="2" t="inlineStr">
        <is>
          <t>Arithmetic on figures quoted publicly, at intake (data/quick_checks.csv). Calculated is a formula where one of the usual operations reproduces it; blue figures are inputs.</t>
        </is>
      </c>
    </row>
    <row r="8">
      <c r="A8" s="2" t="inlineStr">
        <is>
          <t>Patterns</t>
        </is>
      </c>
      <c r="B8" s="2" t="inlineStr">
        <is>
          <t>The pattern tags (methodology/pattern-tags.md) and the claims that carry each, finished or provisional.</t>
        </is>
      </c>
    </row>
    <row r="9">
      <c r="A9" s="2" t="inlineStr">
        <is>
          <t>Themes</t>
        </is>
      </c>
      <c r="B9" s="2" t="inlineStr">
        <is>
          <t>Themes linking several claims (data/themes.csv), with edges counted.</t>
        </is>
      </c>
    </row>
    <row r="10">
      <c r="A10" s="2" t="inlineStr">
        <is>
          <t>Edges</t>
        </is>
      </c>
      <c r="B10" s="2" t="inlineStr">
        <is>
          <t>Pairwise links between claims, each through a theme (data/edges.csv).</t>
        </is>
      </c>
    </row>
    <row r="11">
      <c r="A11" s="2" t="inlineStr">
        <is>
          <t>Sources</t>
        </is>
      </c>
      <c r="B11" s="2" t="inlineStr">
        <is>
          <t>Every source recorded for the claims (data/sources.csv).</t>
        </is>
      </c>
    </row>
    <row r="12">
      <c r="A12" s="2" t="inlineStr">
        <is>
          <t>Bodies</t>
        </is>
      </c>
      <c r="B12" s="2" t="inlineStr">
        <is>
          <t>The register of bodies and people (data/bodies.csv), with the claims each made.</t>
        </is>
      </c>
    </row>
    <row r="13">
      <c r="A13" s="2" t="inlineStr">
        <is>
          <t>Actors</t>
        </is>
      </c>
      <c r="B13" s="2" t="inlineStr">
        <is>
          <t>Organisations and the claims made by them or their people (data/actors.csv).</t>
        </is>
      </c>
    </row>
    <row r="14">
      <c r="A14" s="2" t="inlineStr">
        <is>
          <t>Queue</t>
        </is>
      </c>
      <c r="B14" s="2" t="inlineStr">
        <is>
          <t>Claims assigned to the nightly workers (data/queue.csv), with attempts and blockers.</t>
        </is>
      </c>
    </row>
    <row r="15">
      <c r="A15" s="2" t="n"/>
      <c r="B15" s="2" t="n"/>
    </row>
    <row r="16">
      <c r="A16" s="3" t="inlineStr">
        <is>
          <t>RULES</t>
        </is>
      </c>
      <c r="B16" s="2" t="n"/>
    </row>
    <row r="17">
      <c r="A17" s="2" t="inlineStr">
        <is>
          <t>Source of truth</t>
        </is>
      </c>
      <c r="B17" s="2" t="inlineStr">
        <is>
          <t>claims/CC-NNN/claim.yml. Verdicts follow methodology/verdict-scale.md.</t>
        </is>
      </c>
    </row>
    <row r="18">
      <c r="A18" s="2" t="inlineStr">
        <is>
          <t>Right of reply</t>
        </is>
      </c>
      <c r="B18" s="2" t="inlineStr">
        <is>
          <t>Sought only for Not substantiated, Misleading or Contradicted (pledges: Not measurable, Off track, Missed). A draft verdict may appear on the project's own site, marked as a draft; do not circulate a Misleading or Contradicted verdict elsewhere before the right-of-reply deadline.</t>
        </is>
      </c>
    </row>
    <row r="19">
      <c r="A19" s="2" t="inlineStr">
        <is>
          <t>Wording status</t>
        </is>
      </c>
      <c r="B19" s="2" t="inlineStr">
        <is>
          <t>Verbatim found: the speaker's own words from a primary source. Paraphrase: locate quote: a report or summary only; no report until the wording is found.</t>
        </is>
      </c>
    </row>
    <row r="20">
      <c r="A20" s="2" t="inlineStr">
        <is>
          <t>Sub judice</t>
        </is>
      </c>
      <c r="B20" s="2" t="inlineStr">
        <is>
          <t>CC-002 (Comino) is before a planning tribunal: the science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11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9" customWidth="1" min="1" max="1"/>
    <col width="16" customWidth="1" min="2" max="2"/>
    <col width="24" customWidth="1" min="3" max="3"/>
    <col width="48" customWidth="1" min="4" max="4"/>
    <col width="42" customWidth="1" min="5" max="5"/>
    <col width="34" customWidth="1" min="6" max="6"/>
    <col width="30" customWidth="1" min="7" max="7"/>
    <col width="20" customWidth="1" min="8" max="8"/>
    <col width="26" customWidth="1" min="9" max="9"/>
    <col width="18" customWidth="1" min="10" max="10"/>
    <col width="10" customWidth="1" min="11" max="11"/>
    <col width="12" customWidth="1" min="12" max="12"/>
    <col width="40" customWidth="1" min="13" max="13"/>
    <col width="12" customWidth="1" min="14" max="14"/>
    <col width="12" customWidth="1" min="15" max="15"/>
    <col width="9" customWidth="1" min="16" max="16"/>
    <col width="40" customWidth="1" min="17" max="17"/>
    <col width="18" customWidth="1" min="18" max="18"/>
    <col width="11" customWidth="1" min="19" max="19"/>
    <col width="14" customWidth="1" min="20" max="20"/>
    <col width="18" customWidth="1" min="21" max="21"/>
    <col width="11" customWidth="1" min="22" max="22"/>
    <col width="8" customWidth="1" min="23" max="23"/>
    <col width="12" customWidth="1" min="24" max="24"/>
    <col width="8" customWidth="1" min="25" max="25"/>
    <col width="8" customWidth="1" min="26" max="26"/>
    <col width="11" customWidth="1" min="27" max="27"/>
    <col width="40" customWidth="1" min="28" max="28"/>
    <col width="30" customWidth="1" min="29" max="29"/>
  </cols>
  <sheetData>
    <row r="1">
      <c r="A1" s="4" t="inlineStr">
        <is>
          <t>ID</t>
        </is>
      </c>
      <c r="B1" s="4" t="inlineStr">
        <is>
          <t>Category</t>
        </is>
      </c>
      <c r="C1" s="4" t="inlineStr">
        <is>
          <t>Short title</t>
        </is>
      </c>
      <c r="D1" s="4" t="inlineStr">
        <is>
          <t>Claim and who made it</t>
        </is>
      </c>
      <c r="E1" s="4" t="inlineStr">
        <is>
          <t>Counter-evidence or context</t>
        </is>
      </c>
      <c r="F1" s="4" t="inlineStr">
        <is>
          <t>Test it against</t>
        </is>
      </c>
      <c r="G1" s="4" t="inlineStr">
        <is>
          <t>Why it is low-hanging</t>
        </is>
      </c>
      <c r="H1" s="4" t="inlineStr">
        <is>
          <t>Pattern tag (provisional)</t>
        </is>
      </c>
      <c r="I1" s="4" t="inlineStr">
        <is>
          <t>Body / actor</t>
        </is>
      </c>
      <c r="J1" s="4" t="inlineStr">
        <is>
          <t>Claim wording status</t>
        </is>
      </c>
      <c r="K1" s="4" t="inlineStr">
        <is>
          <t>Data readiness</t>
        </is>
      </c>
      <c r="L1" s="4" t="inlineStr">
        <is>
          <t>Priority</t>
        </is>
      </c>
      <c r="M1" s="4" t="inlineStr">
        <is>
          <t>Caveats</t>
        </is>
      </c>
      <c r="N1" s="4" t="inlineStr">
        <is>
          <t>Check status</t>
        </is>
      </c>
      <c r="O1" s="4" t="inlineStr">
        <is>
          <t>Right of reply sent (date)</t>
        </is>
      </c>
      <c r="P1" s="4" t="inlineStr">
        <is>
          <t>Linked claims (count)</t>
        </is>
      </c>
      <c r="Q1" s="4" t="inlineStr">
        <is>
          <t>Notes</t>
        </is>
      </c>
      <c r="R1" s="4" t="inlineStr">
        <is>
          <t>Verdict</t>
        </is>
      </c>
      <c r="S1" s="4" t="inlineStr">
        <is>
          <t>Confidence</t>
        </is>
      </c>
      <c r="T1" s="4" t="inlineStr">
        <is>
          <t>Pledge label</t>
        </is>
      </c>
      <c r="U1" s="4" t="inlineStr">
        <is>
          <t>Subtopic</t>
        </is>
      </c>
      <c r="V1" s="4" t="inlineStr">
        <is>
          <t>Said on</t>
        </is>
      </c>
      <c r="W1" s="4" t="inlineStr">
        <is>
          <t>Version</t>
        </is>
      </c>
      <c r="X1" s="4" t="inlineStr">
        <is>
          <t>Last reviewed</t>
        </is>
      </c>
      <c r="Y1" s="4" t="inlineStr">
        <is>
          <t>Worker</t>
        </is>
      </c>
      <c r="Z1" s="4" t="inlineStr">
        <is>
          <t>Attempts</t>
        </is>
      </c>
      <c r="AA1" s="4" t="inlineStr">
        <is>
          <t>Last attempt</t>
        </is>
      </c>
      <c r="AB1" s="4" t="inlineStr">
        <is>
          <t>Blocker</t>
        </is>
      </c>
      <c r="AC1" s="4" t="inlineStr">
        <is>
          <t>Page</t>
        </is>
      </c>
    </row>
    <row r="2">
      <c r="A2" s="2" t="inlineStr">
        <is>
          <t>CC-001</t>
        </is>
      </c>
      <c r="B2" s="2" t="inlineStr">
        <is>
          <t>Land &amp; Trees</t>
        </is>
      </c>
      <c r="C2" s="2" t="inlineStr">
        <is>
          <t>Upper Barrakka concrete</t>
        </is>
      </c>
      <c r="D2" s="2" t="inlineStr">
        <is>
          <t>Ambjent Malta told the Times of Malta (1 Oct 2026) that because the concrete in the tree planters is temporary, it will not damage the tree.</t>
        </is>
      </c>
      <c r="E2" s="2" t="inlineStr">
        <is>
          <t>Ambjent itself says prolonged cover would be a concern. No duration for 'temporary' is given; soil removal and root exposure are not addressed; no tree-specific evidence published.</t>
        </is>
      </c>
      <c r="F2" s="2" t="inlineStr">
        <is>
          <t>Soil-sealing and construction-damage literature; guidance on exposed roots.</t>
        </is>
      </c>
      <c r="G2" s="2" t="inlineStr">
        <is>
          <t>Done: Claim Check 001 report and flyer.</t>
        </is>
      </c>
      <c r="H2" s="2" t="inlineStr">
        <is>
          <t>Conditional-turned-unconditional</t>
        </is>
      </c>
      <c r="I2" s="2" t="inlineStr">
        <is>
          <t>Ambjent Malta; Fondazzjoni Wirt Artna</t>
        </is>
      </c>
      <c r="J2" s="2" t="inlineStr">
        <is>
          <t>Verbatim found</t>
        </is>
      </c>
      <c r="K2" s="2" t="inlineStr">
        <is>
          <t>High</t>
        </is>
      </c>
      <c r="L2" s="2" t="inlineStr">
        <is>
          <t>Done (v1.1)</t>
        </is>
      </c>
      <c r="M2" s="2" t="inlineStr">
        <is>
          <t>Draft pending right of reply. Verdict is plausible-but-unproven: no study found on short-term concrete contact with roots; Ambjent's own reasoning is consistent with the literature.</t>
        </is>
      </c>
      <c r="N2" s="2" t="inlineStr">
        <is>
          <t>Drafted</t>
        </is>
      </c>
      <c r="O2" s="2" t="n"/>
      <c r="P2" s="2" t="n">
        <v>5</v>
      </c>
      <c r="Q2" s="2" t="inlineStr">
        <is>
          <t>Report v1.1; verdict Not substantiated (moderate); right of reply to send (draft; not for circulation before the deadline).</t>
        </is>
      </c>
      <c r="R2" s="2" t="inlineStr">
        <is>
          <t>Not substantiated</t>
        </is>
      </c>
      <c r="S2" s="2" t="inlineStr">
        <is>
          <t>Moderate</t>
        </is>
      </c>
      <c r="T2" s="2" t="n"/>
      <c r="U2" s="2" t="inlineStr">
        <is>
          <t>Open spaces &amp; parks</t>
        </is>
      </c>
      <c r="V2" s="2" t="inlineStr">
        <is>
          <t>2026-10-01</t>
        </is>
      </c>
      <c r="W2" s="2" t="inlineStr">
        <is>
          <t>1.1</t>
        </is>
      </c>
      <c r="X2" s="2" t="inlineStr">
        <is>
          <t>2026-10-02</t>
        </is>
      </c>
      <c r="Y2" s="2" t="n"/>
      <c r="Z2" s="2" t="n"/>
      <c r="AA2" s="2" t="n"/>
      <c r="AB2" s="2" t="n"/>
      <c r="AC2" s="5" t="inlineStr">
        <is>
          <t>https://leandergrech.github.io/Mizien/claims/CC-001/</t>
        </is>
      </c>
    </row>
    <row r="3">
      <c r="A3" s="2" t="inlineStr">
        <is>
          <t>CC-002</t>
        </is>
      </c>
      <c r="B3" s="2" t="inlineStr">
        <is>
          <t>Land &amp; Trees</t>
        </is>
      </c>
      <c r="C3" s="2" t="inlineStr">
        <is>
          <t>Comino tree compensation</t>
        </is>
      </c>
      <c r="D3" s="2" t="inlineStr">
        <is>
          <t>ERA (11 Aug 2026): 54 protected trees will be removed, with 10 new indigenous trees planted for each (540). Of 678 trees and shrubs to be removed, 92% are classified as non-protected; 348 more are to be transplanted.</t>
        </is>
      </c>
      <c r="E3" s="2" t="inlineStr">
        <is>
          <t>The published figures describe proposed interventions and planting conditions, not completed work or measured ecological replacement. Studies show that transplant outcomes vary with species, source, site suitability and aftercare; tree counts alone do not establish survival, habitat recovery or equivalent ecological function.</t>
        </is>
      </c>
      <c r="F3" s="2" t="inlineStr">
        <is>
          <t>Recalculate ERA's count and ratio; distinguish the removal, transplantation and pruning categories; compare species-level local ecological evidence with plant-translocation and mature-tree studies; identify what monitoring would demonstrate survival and recovery. Do not assess the permit's legal merits.</t>
        </is>
      </c>
      <c r="G3" s="2" t="inlineStr">
        <is>
          <t>ERA's direct statement gives verifiable counts; the ecological outcome needs independent, species-specific follow-up data.</t>
        </is>
      </c>
      <c r="H3" s="2" t="inlineStr">
        <is>
          <t>Input-as-outcome; Selective metric</t>
        </is>
      </c>
      <c r="I3" s="2" t="inlineStr">
        <is>
          <t>Environment and Resources Authority (ERA)</t>
        </is>
      </c>
      <c r="J3" s="2" t="inlineStr">
        <is>
          <t>Verbatim found</t>
        </is>
      </c>
      <c r="K3" s="2" t="inlineStr">
        <is>
          <t>Medium</t>
        </is>
      </c>
      <c r="L3" s="2" t="inlineStr">
        <is>
          <t>Done (v1.0)</t>
        </is>
      </c>
      <c r="M3" s="2" t="inlineStr">
        <is>
          <t>This check assesses the scientific meaning of the reported tree counts and proposed mitigation only. It does not assess permit validity or any tribunal proceedings. The tree works and planting had not been independently verified as completed at the 3 October 2026 cut-off. ERA and secondary reporting differ by one oleander in the breakdown of the 624 non-protected specimens (467 versus 468); the permit annex should be checked before treating that species count as settled. No right of reply needed (verdict Largely supported; a reply is sought only for Not substantiated, Misleading or Contradicted).</t>
        </is>
      </c>
      <c r="N3" s="2" t="inlineStr">
        <is>
          <t>Drafted</t>
        </is>
      </c>
      <c r="O3" s="2" t="n"/>
      <c r="P3" s="2" t="n">
        <v>7</v>
      </c>
      <c r="Q3" s="2" t="inlineStr">
        <is>
          <t>Report v1.0; verdict Largely supported (moderate); no right of reply needed.</t>
        </is>
      </c>
      <c r="R3" s="2" t="inlineStr">
        <is>
          <t>Largely supported</t>
        </is>
      </c>
      <c r="S3" s="2" t="inlineStr">
        <is>
          <t>Moderate</t>
        </is>
      </c>
      <c r="T3" s="2" t="n"/>
      <c r="U3" s="2" t="inlineStr">
        <is>
          <t>Trees &amp; planting</t>
        </is>
      </c>
      <c r="V3" s="2" t="inlineStr">
        <is>
          <t>2026-08-11</t>
        </is>
      </c>
      <c r="W3" s="2" t="inlineStr">
        <is>
          <t>1.0</t>
        </is>
      </c>
      <c r="X3" s="2" t="inlineStr"/>
      <c r="Y3" s="2" t="n"/>
      <c r="Z3" s="2" t="n"/>
      <c r="AA3" s="2" t="n"/>
      <c r="AB3" s="2" t="n"/>
      <c r="AC3" s="5" t="inlineStr">
        <is>
          <t>https://leandergrech.github.io/Mizien/claims/CC-002/</t>
        </is>
      </c>
    </row>
    <row r="4">
      <c r="A4" s="2" t="inlineStr">
        <is>
          <t>CC-003</t>
        </is>
      </c>
      <c r="B4" s="2" t="inlineStr">
        <is>
          <t>Climate &amp; Energy</t>
        </is>
      </c>
      <c r="C4" s="2" t="inlineStr">
        <is>
          <t>Per-capita emissions vs 2030 projection</t>
        </is>
      </c>
      <c r="D4" s="2" t="inlineStr">
        <is>
          <t>Climate Action Authority (13 Nov 2025): emissions per capita have fallen 44% since 2005, well above the EU average of 34%, showing Malta is reducing emissions at household level and across the economy.</t>
        </is>
      </c>
      <c r="E4" s="2" t="inlineStr">
        <is>
          <t>The same Commission report shows effort-sharing emissions 41% above 2005 in 2024 and projects +42% (existing measures) or +30% (planned measures) by 2030 against a -19% target: the largest gap in the EU in percentage points. Malta was over its yearly ESR limit by 22, 25 and 30 points in 2022-2024 (+43/+42/+41% vs +21/+16/+11%); the 2021 surplus carried forward brings the cumulative balance to 0.0 Mt in 2024, -2.1 Mt projected for 2030 before flexibilities. Total emissions fell 27% (EU 33%); population grew 41%, explaining about half the per-person fall. Among the EU-27 (2005-2024) Malta ranks 3rd on the per-person cut (-48.5%) but 20th on the total cut (-27.4%). Transport +49%, F-gases about six-fold. In the authority's favour: effort-sharing emissions per person are flat (2.50 t in 2005, 2.52 t in 2024; proxy: total minus power generation), and no compliance shortfall has arisen before the first check in 2027.</t>
        </is>
      </c>
      <c r="F4" s="2" t="inlineStr">
        <is>
          <t>Eurostat env_air_gge and nama_10_pe (Malta, EU-27 aggregate and all 27 Member States); Commission CAPR 2025 SWD Tables 25 and 26; Eurostat nrg_ind_ren.</t>
        </is>
      </c>
      <c r="G4" s="2" t="inlineStr">
        <is>
          <t>Done: Claim Check 003 report and flyer.</t>
        </is>
      </c>
      <c r="H4" s="2" t="inlineStr">
        <is>
          <t>Selective metric</t>
        </is>
      </c>
      <c r="I4" s="2" t="inlineStr">
        <is>
          <t>Climate Action Authority; Ministry for the Environment</t>
        </is>
      </c>
      <c r="J4" s="2" t="inlineStr">
        <is>
          <t>Verbatim found</t>
        </is>
      </c>
      <c r="K4" s="2" t="inlineStr">
        <is>
          <t>High</t>
        </is>
      </c>
      <c r="L4" s="2" t="inlineStr">
        <is>
          <t>Done (v1.2)</t>
        </is>
      </c>
      <c r="M4" s="2" t="inlineStr">
        <is>
          <t>Draft pending right of reply (Climate Action Authority; Environment Ministry). Misleading must not be published before the reply deadline passes. Figures accurate; verdict rests on omission of the 2030 projection from the report the authority cites.</t>
        </is>
      </c>
      <c r="N4" s="2" t="inlineStr">
        <is>
          <t>Drafted</t>
        </is>
      </c>
      <c r="O4" s="2" t="n"/>
      <c r="P4" s="2" t="n">
        <v>12</v>
      </c>
      <c r="Q4" s="2" t="inlineStr">
        <is>
          <t>Report v1.2; verdict Misleading (high); right of reply to send (draft; not for circulation before the deadline).</t>
        </is>
      </c>
      <c r="R4" s="2" t="inlineStr">
        <is>
          <t>Misleading</t>
        </is>
      </c>
      <c r="S4" s="2" t="inlineStr">
        <is>
          <t>High</t>
        </is>
      </c>
      <c r="T4" s="2" t="n"/>
      <c r="U4" s="2" t="inlineStr">
        <is>
          <t>Emissions &amp; targets</t>
        </is>
      </c>
      <c r="V4" s="2" t="inlineStr">
        <is>
          <t>2025-11-13</t>
        </is>
      </c>
      <c r="W4" s="2" t="inlineStr">
        <is>
          <t>1.2</t>
        </is>
      </c>
      <c r="X4" s="2" t="inlineStr">
        <is>
          <t>2026-10-05</t>
        </is>
      </c>
      <c r="Y4" s="2" t="n"/>
      <c r="Z4" s="2" t="n"/>
      <c r="AA4" s="2" t="n"/>
      <c r="AB4" s="2" t="n"/>
      <c r="AC4" s="5" t="inlineStr">
        <is>
          <t>https://leandergrech.github.io/Mizien/claims/CC-003/</t>
        </is>
      </c>
    </row>
    <row r="5">
      <c r="A5" s="2" t="inlineStr">
        <is>
          <t>CC-004</t>
        </is>
      </c>
      <c r="B5" s="2" t="inlineStr">
        <is>
          <t>Waste</t>
        </is>
      </c>
      <c r="C5" s="2" t="inlineStr">
        <is>
          <t>'Strong progress' in waste separation</t>
        </is>
      </c>
      <c r="D5" s="2" t="inlineStr">
        <is>
          <t>Ministry for the Environment (19 Jan 2026): Malta continues to make strong progress in waste management; mixed waste down over 30% to 95.5 million kg; about 412 million kg diverted from landfill over five years; the Long-Term Waste Management Plan is working.</t>
        </is>
      </c>
      <c r="E5" s="2" t="inlineStr">
        <is>
          <t>Municipal recycling rate 16.7% in 2024 (EU 48.1%; 2025 target 55%), second-lowest of the 20 states with 2024 data; 79% of treated municipal waste landfilled. The Commission's 2023 early-warning report lists Malta among 10 states at risk of missing both 2025 targets and 13 far from the 2035 landfill target; its 2025 review says Malta missed the 2020 target by a large margin and is on course to miss 2025. Malta notified a postponement in December 2023 and renounced it in November 2024. Treated biowaste is used for landscaping and landfill remediation and reported as landfilled. The 412 million kg cannot be reconciled with Eurostat (271 kt recycled or recovered, 2020-24); the 141 million kg baseline has no year. In fairness, the rate rose 7.6 points 2019-2024 (4th-largest rise of 20 EU states) and packaging recycling rose from 30.8% to 43.4% in 2023. (ERA's 68% figure is explicitly for construction waste and is not part of this claim.)</t>
        </is>
      </c>
      <c r="F5" s="2" t="inlineStr">
        <is>
          <t>Eurostat cei_wm011 (Malta and all EU-27), env_wasmun, cei_wm020; NSO releases; Directive (EU) 2018/851 Art 11a; Commission COM(2023) 304, SWD(2023) 195 and SWD(2025) 318.</t>
        </is>
      </c>
      <c r="G5" s="2" t="inlineStr">
        <is>
          <t>Done: Claim Check 004 report and flyer (v1.1).</t>
        </is>
      </c>
      <c r="H5" s="2" t="inlineStr">
        <is>
          <t>Selective metric; Input-as-outcome</t>
        </is>
      </c>
      <c r="I5" s="2" t="inlineStr">
        <is>
          <t>Ministry for the Environment, Energy and Public Cleanliness (Minister Dalli); WasteServ</t>
        </is>
      </c>
      <c r="J5" s="2" t="inlineStr">
        <is>
          <t>Verbatim found</t>
        </is>
      </c>
      <c r="K5" s="2" t="inlineStr">
        <is>
          <t>High</t>
        </is>
      </c>
      <c r="L5" s="2" t="inlineStr">
        <is>
          <t>Done (v1.1)</t>
        </is>
      </c>
      <c r="M5" s="2" t="inlineStr">
        <is>
          <t>Draft pending right of reply (Environment Ministry; WasteServ). The ministry may hold operational data that explain the 412 figure; 2025 statistics not yet published. The link between the deposit refund scheme and the 2023 packaging jump is our inference; the scheme's 78% collected and 74% recycled (2023) are reported by the Commission from ERA and were not recomputed.</t>
        </is>
      </c>
      <c r="N5" s="2" t="inlineStr">
        <is>
          <t>Drafted</t>
        </is>
      </c>
      <c r="O5" s="2" t="n"/>
      <c r="P5" s="2" t="n">
        <v>9</v>
      </c>
      <c r="Q5" s="2" t="inlineStr">
        <is>
          <t>Report v1.1; verdict Not substantiated (high); right of reply to send (draft; not for circulation before the deadline).</t>
        </is>
      </c>
      <c r="R5" s="2" t="inlineStr">
        <is>
          <t>Not substantiated</t>
        </is>
      </c>
      <c r="S5" s="2" t="inlineStr">
        <is>
          <t>High</t>
        </is>
      </c>
      <c r="T5" s="2" t="n"/>
      <c r="U5" s="2" t="inlineStr">
        <is>
          <t>Recycling &amp; separation</t>
        </is>
      </c>
      <c r="V5" s="2" t="inlineStr">
        <is>
          <t>2026-01-19</t>
        </is>
      </c>
      <c r="W5" s="2" t="inlineStr">
        <is>
          <t>1.1</t>
        </is>
      </c>
      <c r="X5" s="2" t="inlineStr">
        <is>
          <t>2026-10-05</t>
        </is>
      </c>
      <c r="Y5" s="2" t="n"/>
      <c r="Z5" s="2" t="n"/>
      <c r="AA5" s="2" t="n"/>
      <c r="AB5" s="2" t="n"/>
      <c r="AC5" s="5" t="inlineStr">
        <is>
          <t>https://leandergrech.github.io/Mizien/claims/CC-004/</t>
        </is>
      </c>
    </row>
    <row r="6">
      <c r="A6" s="2" t="inlineStr">
        <is>
          <t>CC-005</t>
        </is>
      </c>
      <c r="B6" s="2" t="inlineStr">
        <is>
          <t>Water</t>
        </is>
      </c>
      <c r="C6" s="2" t="inlineStr">
        <is>
          <t>“92% excellent” bathing water</t>
        </is>
      </c>
      <c r="D6" s="2" t="inlineStr">
        <is>
          <t>Malta also shows excellent records under the Bathing Water Directive: 92% of Maltese bathing waters are of excellent quality.</t>
        </is>
      </c>
      <c r="E6" s="2" t="inlineStr">
        <is>
          <t>The EEA series shows a decline: 86 of 87 sites were excellent in 2016–2018 (98.9%), then 85, 84, 84, 82, 80, 80 and 77 (88.5%) in 2025, the lowest of the eleven seasons since 2015. Malta's lead over the EU-27 coastal average (88.3% in 2025) fell from about 11 percentage points in 2016 to 0.2. Ten of the 87 sites account for every rating below excellent; in 2025 St George's Bay B03 (St Julian's) and Xlendi D06 and D07 fell from excellent to good. Balluta Bay's two sites (B08, B09) were rated only sufficient in every season 2022–2025, with a sewage-related warning from late May to 12 August 2024 inside that run. The CJEU found failures to comply with urban wastewater treatment obligations in named agglomerations. None of this refutes the Commission's figure, which was correct for 2023 and again for 2024, but the summary sentence gives no year.</t>
        </is>
      </c>
      <c r="F6" s="2" t="inlineStr">
        <is>
          <t>Confirm the Commission's exact wording and reference year; reproduce the count from the EEA's per-site classifications for every season 2015–2025 (map service, checked site by site against the WISE dataset) and compare with the EU-27 coastal share; identify the sites behind each change; establish what the Bathing Water Directive classification measures; distinguish multi-season classification from short-term warnings and from urban wastewater treatment compliance.</t>
        </is>
      </c>
      <c r="G6" s="2" t="inlineStr">
        <is>
          <t>The Commission’s precise 2023 indicator is verifiable, while the omission of its reference year and the newer 2025 result can make it sound current.</t>
        </is>
      </c>
      <c r="H6" s="2" t="inlineStr">
        <is>
          <t>Compliance-not-health</t>
        </is>
      </c>
      <c r="I6" s="2" t="inlineStr">
        <is>
          <t>European Commission</t>
        </is>
      </c>
      <c r="J6" s="2" t="inlineStr">
        <is>
          <t>Verbatim found</t>
        </is>
      </c>
      <c r="K6" s="2" t="inlineStr">
        <is>
          <t>High</t>
        </is>
      </c>
      <c r="L6" s="2" t="inlineStr">
        <is>
          <t>Done (v1.2)</t>
        </is>
      </c>
      <c r="M6" s="2" t="inlineStr">
        <is>
          <t>Supported applies to the quoted statistic, which was the 2023 result (80/87) and was repeated in 2024. The 2025 classification is 88.5%, the lowest since 2015. This indicator uses E. coli and intestinal enterococci over four seasons of samples and is not a general assessment of marine ecological or chemical status. No right of reply needed (verdict Supported; a reply is sought only for Not substantiated, Misleading or Contradicted).</t>
        </is>
      </c>
      <c r="N6" s="2" t="inlineStr">
        <is>
          <t>Drafted</t>
        </is>
      </c>
      <c r="O6" s="2" t="n"/>
      <c r="P6" s="2" t="n">
        <v>4</v>
      </c>
      <c r="Q6" s="2" t="inlineStr">
        <is>
          <t>Report v1.2; verdict Supported (high); no right of reply needed.</t>
        </is>
      </c>
      <c r="R6" s="2" t="inlineStr">
        <is>
          <t>Supported</t>
        </is>
      </c>
      <c r="S6" s="2" t="inlineStr">
        <is>
          <t>High</t>
        </is>
      </c>
      <c r="T6" s="2" t="n"/>
      <c r="U6" s="2" t="inlineStr">
        <is>
          <t>Bathing water &amp; sewage</t>
        </is>
      </c>
      <c r="V6" s="2" t="inlineStr">
        <is>
          <t>2025</t>
        </is>
      </c>
      <c r="W6" s="2" t="inlineStr">
        <is>
          <t>1.2</t>
        </is>
      </c>
      <c r="X6" s="2" t="inlineStr">
        <is>
          <t>2026-10-05</t>
        </is>
      </c>
      <c r="Y6" s="2" t="n"/>
      <c r="Z6" s="2" t="n"/>
      <c r="AA6" s="2" t="n"/>
      <c r="AB6" s="2" t="n"/>
      <c r="AC6" s="5" t="inlineStr">
        <is>
          <t>https://leandergrech.github.io/Mizien/claims/CC-005/</t>
        </is>
      </c>
    </row>
    <row r="7">
      <c r="A7" s="2" t="inlineStr">
        <is>
          <t>CC-006</t>
        </is>
      </c>
      <c r="B7" s="2" t="inlineStr">
        <is>
          <t>Nature &amp; Wildlife</t>
        </is>
      </c>
      <c r="C7" s="2" t="inlineStr">
        <is>
          <t>Spring hunting derogation</t>
        </is>
      </c>
      <c r="D7" s="2" t="inlineStr">
        <is>
          <t>Malta’s 2026 spring-hunting derogation met the Birds Directive’s “small numbers” and strict-supervision conditions, with quotas of 2,400 Quail and 1,500 Turtle-doves.</t>
        </is>
      </c>
      <c r="E7" s="2" t="inlineStr">
        <is>
          <t>The 2025 WBRU outcome report documents enforcement activity and offences, but it cannot establish how the 2026 season was supervised. The 2026 season outcome report was not available at review.</t>
        </is>
      </c>
      <c r="F7" s="2" t="inlineStr">
        <is>
          <t>Compare each 2026 quota with the mortality benchmark calculated in the legal notices; assess what the rules and available enforcement evidence show about supervision; keep legal benchmark compliance separate from ecological sustainability.</t>
        </is>
      </c>
      <c r="G7" s="2" t="inlineStr">
        <is>
          <t>Drafted: statutory benchmarks recomputed and report/flyer produced. Right of reply remains for the maintainer.</t>
        </is>
      </c>
      <c r="H7" s="2" t="inlineStr">
        <is>
          <t>Conditional-turned-unconditional</t>
        </is>
      </c>
      <c r="I7" s="2" t="inlineStr">
        <is>
          <t>Government of Malta, applying Directive 2009/147/EC</t>
        </is>
      </c>
      <c r="J7" s="2" t="inlineStr">
        <is>
          <t>Verbatim found</t>
        </is>
      </c>
      <c r="K7" s="2" t="inlineStr">
        <is>
          <t>Medium</t>
        </is>
      </c>
      <c r="L7" s="2" t="inlineStr">
        <is>
          <t>Done (v1.1)</t>
        </is>
      </c>
      <c r="M7" s="2" t="inlineStr">
        <is>
          <t>The statutory “small numbers” estimate is a modelled benchmark, not an independent estimate of the number of birds migrating through Malta or the effect of the hunt. Right of reply remains for the maintainer.</t>
        </is>
      </c>
      <c r="N7" s="2" t="inlineStr">
        <is>
          <t>Drafted</t>
        </is>
      </c>
      <c r="O7" s="2" t="n"/>
      <c r="P7" s="2" t="n">
        <v>0</v>
      </c>
      <c r="Q7" s="2" t="inlineStr">
        <is>
          <t>Report v1.1; verdict Not substantiated (moderate); right of reply to send (draft; not for circulation before the deadline).</t>
        </is>
      </c>
      <c r="R7" s="2" t="inlineStr">
        <is>
          <t>Not substantiated</t>
        </is>
      </c>
      <c r="S7" s="2" t="inlineStr">
        <is>
          <t>Moderate</t>
        </is>
      </c>
      <c r="T7" s="2" t="n"/>
      <c r="U7" s="2" t="inlineStr">
        <is>
          <t>Hunting &amp; birds</t>
        </is>
      </c>
      <c r="V7" s="2" t="inlineStr">
        <is>
          <t>2026-03-30</t>
        </is>
      </c>
      <c r="W7" s="2" t="inlineStr">
        <is>
          <t>1.1</t>
        </is>
      </c>
      <c r="X7" s="2" t="inlineStr">
        <is>
          <t>2026-10-03</t>
        </is>
      </c>
      <c r="Y7" s="2" t="n"/>
      <c r="Z7" s="2" t="n"/>
      <c r="AA7" s="2" t="n"/>
      <c r="AB7" s="2" t="n"/>
      <c r="AC7" s="5" t="inlineStr">
        <is>
          <t>https://leandergrech.github.io/Mizien/claims/CC-006/</t>
        </is>
      </c>
    </row>
    <row r="8">
      <c r="A8" s="2" t="inlineStr">
        <is>
          <t>CC-007</t>
        </is>
      </c>
      <c r="B8" s="2" t="inlineStr">
        <is>
          <t>Air</t>
        </is>
      </c>
      <c r="C8" s="2" t="inlineStr">
        <is>
          <t>Within EU limits vs WHO guideline</t>
        </is>
      </c>
      <c r="D8" s="2" t="inlineStr">
        <is>
          <t>Newsbook (18 Jul 2025), reporting Parliamentary Question 29696: measurements taken between 2020 and 2024 at ERA's five PM2.5 monitoring stations are well above the WHO guideline but well within the less stringent EU annual limits.</t>
        </is>
      </c>
      <c r="E8" s="2" t="inlineStr">
        <is>
          <t>All 23 reported station-year values exceed the WHO annual PM2.5 guideline of 5 µg/m³ and are below the EU annual limit of 25 µg/m³ applicable in 2020-2024. The annex marks St Paul's Bay as n/a for 2020 and 2021. Fourteen of 23 values exceed the EU limit of 10 µg/m³ due by 2030; this future standard does not establish past non-compliance. EEA validated daily data independently cross-check 11 station-years; ten match the annex to 0.1 µg/m³. Attard 2024 differs (12.122 µg/m³ from the EEA valid-day mean versus 11.9 in the annex), though both remain below 25 µg/m³.</t>
        </is>
      </c>
      <c r="F8" s="2" t="inlineStr">
        <is>
          <t>Parliamentary station means against the WHO 2021 annual guideline, the EU annual limit applicable in each data year, and the separate EU 2030 standard. Missing values and the Minister's exact answer are checked explicitly. Cross-check valid EEA daily aggregates against the rounded annex values and report completeness for available station-years.</t>
        </is>
      </c>
      <c r="G8" s="2" t="inlineStr">
        <is>
          <t>'Within EU limits' is a legal comparison, not a general health assessment; the official table is directly testable.</t>
        </is>
      </c>
      <c r="H8" s="2" t="inlineStr">
        <is>
          <t>Compliance-not-health</t>
        </is>
      </c>
      <c r="I8" s="2" t="inlineStr">
        <is>
          <t>Newsbook, summarising Parliamentary Question 29696</t>
        </is>
      </c>
      <c r="J8" s="2" t="inlineStr">
        <is>
          <t>Verbatim found</t>
        </is>
      </c>
      <c r="K8" s="2" t="inlineStr">
        <is>
          <t>High</t>
        </is>
      </c>
      <c r="L8" s="2" t="inlineStr">
        <is>
          <t>Done (v1.2)</t>
        </is>
      </c>
      <c r="M8" s="2" t="inlineStr">
        <is>
          <t>The PQ answer only says the table is being laid before Parliament; it does not claim the table demonstrates compliance. Newsbook's report was read in full from its Wayback snapshot (4 Oct 2026). St Paul's Bay has no reported value for 2020 or 2021. The EEA validated data cross-check reproduces 10 of 11 available values to one decimal; Attard 2024 is 12.122 µg/m³ in the retrieved daily series versus 11.9 in the annex. Both remain below the applicable EU limit. The result does not show the air is healthy, infer individual health effects, or treat the 2030 EU standard as a limit for prior years.</t>
        </is>
      </c>
      <c r="N8" s="2" t="inlineStr">
        <is>
          <t>Drafted</t>
        </is>
      </c>
      <c r="O8" s="2" t="n"/>
      <c r="P8" s="2" t="n">
        <v>10</v>
      </c>
      <c r="Q8" s="2" t="inlineStr">
        <is>
          <t>Report v1.2; verdict Largely supported (high); no right of reply needed.</t>
        </is>
      </c>
      <c r="R8" s="2" t="inlineStr">
        <is>
          <t>Largely supported</t>
        </is>
      </c>
      <c r="S8" s="2" t="inlineStr">
        <is>
          <t>High</t>
        </is>
      </c>
      <c r="T8" s="2" t="n"/>
      <c r="U8" s="2" t="inlineStr">
        <is>
          <t>Air quality &amp; health</t>
        </is>
      </c>
      <c r="V8" s="2" t="inlineStr">
        <is>
          <t>2025-07-18</t>
        </is>
      </c>
      <c r="W8" s="2" t="inlineStr">
        <is>
          <t>1.2</t>
        </is>
      </c>
      <c r="X8" s="2" t="inlineStr">
        <is>
          <t>2026-10-04</t>
        </is>
      </c>
      <c r="Y8" s="2" t="n"/>
      <c r="Z8" s="2" t="n"/>
      <c r="AA8" s="2" t="n"/>
      <c r="AB8" s="2" t="n"/>
      <c r="AC8" s="5" t="inlineStr">
        <is>
          <t>https://leandergrech.github.io/Mizien/claims/CC-007/</t>
        </is>
      </c>
    </row>
    <row r="9">
      <c r="A9" s="2" t="inlineStr">
        <is>
          <t>CC-008</t>
        </is>
      </c>
      <c r="B9" s="2" t="inlineStr">
        <is>
          <t>Transport</t>
        </is>
      </c>
      <c r="C9" s="2" t="inlineStr">
        <is>
          <t>Flyovers and congestion</t>
        </is>
      </c>
      <c r="D9" s="2" t="inlineStr">
        <is>
          <t>Infrastructure Malta says the Msida Creek flyover will reduce delays, emissions and noise, and that the Marsa Junction Project has reduced travel time and air pollution.</t>
        </is>
      </c>
      <c r="E9" s="2" t="inlineStr">
        <is>
          <t>The Msida Creek flyover opened to traffic on 18 December 2025, and the wider project remains under construction until 2027. At the only public air monitor near it (EEA sampling point MT00011, about 410 m away), mean NO2 for January–September 2026 was 25.2 µg/m³, against 22.0 in 2025 and 19.2 in 2024 (2026 data not yet validated); urban background stations rose about 4% and St Paul's Bay fell 6%, so the expected improvement has not appeared in the measured data. The Marsa release does not link the surveys behind its percentage claims, and no EEA-reported air monitor has operated within 1.4 km of the Marsa junction since Kordin (Paola) closed at the end of 2016. No project-level before-and-after series was found for traffic or noise at either site.</t>
        </is>
      </c>
      <c r="F9" s="2" t="inlineStr">
        <is>
          <t>Separate forecasts from measured outcomes for Msida and Marsa; inspect the planning baseline and public monitoring record; compare hourly EEA NO2 at the Msida monitor with background and traffic stations for January–September 2024, 2025 and 2026 (before and after the flyover opened); locate the monitoring points from ERA's station metadata; assess what induced-demand research can and cannot infer for these individual junctions.</t>
        </is>
      </c>
      <c r="G9" s="2" t="inlineStr">
        <is>
          <t>Official wording and project dates are available; outcome data need to be requested or located.</t>
        </is>
      </c>
      <c r="H9" s="2" t="inlineStr">
        <is>
          <t>Promise-without-baseline</t>
        </is>
      </c>
      <c r="I9" s="2" t="inlineStr">
        <is>
          <t>Infrastructure Malta</t>
        </is>
      </c>
      <c r="J9" s="2" t="inlineStr">
        <is>
          <t>Verbatim found</t>
        </is>
      </c>
      <c r="K9" s="2" t="inlineStr">
        <is>
          <t>Medium</t>
        </is>
      </c>
      <c r="L9" s="2" t="inlineStr">
        <is>
          <t>Done (v1.2)</t>
        </is>
      </c>
      <c r="M9" s="2" t="inlineStr">
        <is>
          <t>The 79% travel-time and emissions reductions are Infrastructure Malta’s reported figures; their underlying survey design, time windows, calculation methods and raw results were not located. The Msida NO2 comparison rests on one monitor about 410 m from the flyover, a sampling point that replaced the old one (about 300 m west) in January 2024, unvalidated 2026 data, and no adjustment for weather or traffic; works continue until 2027, so it does not show that the flyover raised pollution. No post-project noise dataset was found for either site. The induced-demand literature cited is from US urban road networks and is not a direct estimate for Malta. Right of reply not sought, at the maintainer’s direction.</t>
        </is>
      </c>
      <c r="N9" s="2" t="inlineStr">
        <is>
          <t>Drafted</t>
        </is>
      </c>
      <c r="O9" s="2" t="n"/>
      <c r="P9" s="2" t="n">
        <v>17</v>
      </c>
      <c r="Q9" s="2" t="inlineStr">
        <is>
          <t>Report v1.2; verdict Not substantiated (moderate); right of reply to send (draft; not for circulation before the deadline).</t>
        </is>
      </c>
      <c r="R9" s="2" t="inlineStr">
        <is>
          <t>Not substantiated</t>
        </is>
      </c>
      <c r="S9" s="2" t="inlineStr">
        <is>
          <t>Moderate</t>
        </is>
      </c>
      <c r="T9" s="2" t="n"/>
      <c r="U9" s="2" t="inlineStr">
        <is>
          <t>Roads &amp; mass transit</t>
        </is>
      </c>
      <c r="V9" s="2" t="inlineStr">
        <is>
          <t>2024-10-28</t>
        </is>
      </c>
      <c r="W9" s="2" t="inlineStr">
        <is>
          <t>1.2</t>
        </is>
      </c>
      <c r="X9" s="2" t="inlineStr">
        <is>
          <t>2026-10-05</t>
        </is>
      </c>
      <c r="Y9" s="2" t="n"/>
      <c r="Z9" s="2" t="n"/>
      <c r="AA9" s="2" t="n"/>
      <c r="AB9" s="2" t="n"/>
      <c r="AC9" s="5" t="inlineStr">
        <is>
          <t>https://leandergrech.github.io/Mizien/claims/CC-008/</t>
        </is>
      </c>
    </row>
    <row r="10">
      <c r="A10" s="2" t="inlineStr">
        <is>
          <t>CC-009</t>
        </is>
      </c>
      <c r="B10" s="2" t="inlineStr">
        <is>
          <t>Water</t>
        </is>
      </c>
      <c r="C10" s="2" t="inlineStr">
        <is>
          <t>More RO, less WSC groundwater</t>
        </is>
      </c>
      <c r="D10" s="2" t="inlineStr">
        <is>
          <t>WSC reported that reverse osmosis supplied 70.7% of its potable-water production in 2025, while groundwater production fell to 11.5 million m³, its lowest annual total in a decade. In August 2026, WSC issued a tender for a new 30,000 m³/day reverse-osmosis plant at Għar Lapsi.</t>
        </is>
      </c>
      <c r="E10" s="2" t="inlineStr">
        <is>
          <t>The latest published River Basin Management Plan classifies both Malta and Gozo Mean Sea Level aquifer systems in poor quantitative status and 14 groundwater bodies in poor chemical status. Malta's reporting of the same cycle to the EEA lists four bodies in poor quantitative status (adding Pwales Coastal and Marfa Coastal) and all 15 in poor chemical status. The plan reports nitrate above the 50 mg/L standard in 12 of 15 bodies, with three named exceptions; not every body fails for nitrate. WSC's potable-production figures cover its supply system, not national abstraction. Eurostat estimates national fresh groundwater abstraction at 38.46 million m³ in 2024 (57% agriculture, up 3.1 million m³ on 2023), so WSC's 2025 cut of 1.55 million m³ is about 4% of it; a published water balance (Sapiano 2020) puts available groundwater at about 37 million m³ a year. Tracer ages of 15-40 years (Malta) and up to 60 or more (Gozo) mean water-quality recovery would take years to decades to show (Stuart et al. 2010).</t>
        </is>
      </c>
      <c r="F10" s="2" t="inlineStr">
        <is>
          <t>Recalculate RO shares and groundwater-production changes from WSC annual-report data; compare the WSC series with national abstraction and recharge (Eurostat env_wat_abs, env_wat_res) and with the regulator's separate groundwater-body quantity and chemistry assessments; read the peer-reviewed literature on Malta's aquifers; distinguish a tendered plant from commissioned capacity and measured aquifer recovery.</t>
        </is>
      </c>
      <c r="G10" s="2" t="inlineStr">
        <is>
          <t>A rising desalinated-water share can reduce WSC's groundwater production, but it is not by itself proof that groundwater bodies have returned to good quantitative or chemical status.</t>
        </is>
      </c>
      <c r="H10" s="2" t="inlineStr">
        <is>
          <t>Selective metric</t>
        </is>
      </c>
      <c r="I10" s="2" t="inlineStr">
        <is>
          <t>Water Services Corporation</t>
        </is>
      </c>
      <c r="J10" s="2" t="inlineStr">
        <is>
          <t>Verbatim found</t>
        </is>
      </c>
      <c r="K10" s="2" t="inlineStr">
        <is>
          <t>High</t>
        </is>
      </c>
      <c r="L10" s="2" t="inlineStr">
        <is>
          <t>Done (v1.2)</t>
        </is>
      </c>
      <c r="M10" s="2" t="inlineStr">
        <is>
          <t>No right of reply needed (verdict Largely supported; a reply is sought only for Not substantiated, Misleading or Contradicted). WSC's 2025 annual report states that groundwater extraction fell 11.4% from 2024, while the annual-report chart values transcribed for 2024 and 2025 imply an 11.9% decline; the discrepancy is retained. WSC production is not a complete national groundwater- abstraction series; national abstraction and recharge are Eurostat estimates, and 2025 national figures are not yet published. The 3rd RBMP assessment period is older than the 2025 production figures, and a tender does not establish future operation or aquifer recovery. The plan's groundwater-body counts as recorded (Malta and Gozo Mean Sea Level poor quantitatively; 14 poor chemically) differ from Malta's 3rd-cycle EU reporting (4 and 15); the plan could not be re-opened to reconcile them, so the report shows both. "Lowest in a decade" is WSC's statement; the repo series covers 2022–2025 only. Stuart et al. (2010) was read as the authors' accepted manuscript; Mangion and Sapiano (2008) could not be read and is not used.</t>
        </is>
      </c>
      <c r="N10" s="2" t="inlineStr">
        <is>
          <t>Drafted</t>
        </is>
      </c>
      <c r="O10" s="2" t="n"/>
      <c r="P10" s="2" t="n">
        <v>5</v>
      </c>
      <c r="Q10" s="2" t="inlineStr">
        <is>
          <t>Report v1.2; verdict Largely supported (moderate); no right of reply needed.</t>
        </is>
      </c>
      <c r="R10" s="2" t="inlineStr">
        <is>
          <t>Largely supported</t>
        </is>
      </c>
      <c r="S10" s="2" t="inlineStr">
        <is>
          <t>Moderate</t>
        </is>
      </c>
      <c r="T10" s="2" t="n"/>
      <c r="U10" s="2" t="inlineStr">
        <is>
          <t>Water supply &amp; groundwater</t>
        </is>
      </c>
      <c r="V10" s="2" t="inlineStr">
        <is>
          <t>2026-08-25</t>
        </is>
      </c>
      <c r="W10" s="2" t="inlineStr">
        <is>
          <t>1.2</t>
        </is>
      </c>
      <c r="X10" s="2" t="inlineStr">
        <is>
          <t>2026-10-05</t>
        </is>
      </c>
      <c r="Y10" s="2" t="n"/>
      <c r="Z10" s="2" t="n"/>
      <c r="AA10" s="2" t="n"/>
      <c r="AB10" s="2" t="n"/>
      <c r="AC10" s="5" t="inlineStr">
        <is>
          <t>https://leandergrech.github.io/Mizien/claims/CC-009/</t>
        </is>
      </c>
    </row>
    <row r="11">
      <c r="A11" s="2" t="inlineStr">
        <is>
          <t>CC-010</t>
        </is>
      </c>
      <c r="B11" s="2" t="inlineStr">
        <is>
          <t>Land &amp; Trees</t>
        </is>
      </c>
      <c r="C11" s="2" t="inlineStr">
        <is>
          <t>Tree-planting counts</t>
        </is>
      </c>
      <c r="D11" s="2" t="inlineStr">
        <is>
          <t>Project Green reported more than 8,000 trees and more than 25,000 shrubs planted by government entities in 2024. Pledge 305 of the 2022 Labour manifesto commits to 100,000 trees being planted over the next five years; a February 2026 parliamentary answer reports around 60,000 trees and over 100,000 shrubs planted through the end of 2025.</t>
        </is>
      </c>
      <c r="E11" s="2" t="inlineStr">
        <is>
          <t>Counts confirmed; the 100,000 trees were not reached by the end of 2025 (about 60,000), and no later count was found before the legislature ended on 30 May 2026. Maintainer decision (5 Oct 2026): delivery of 100,000 trees within the pledge period is rated separately as Not substantiated (sub-claim D); the overall verdict, on the reported counts, is unchanged. The reported 2024 and cumulative counts are planting inputs, not survival or canopy outcomes. The 2026 parliamentary answer says about 60,000 trees were planted by the end of 2025, below the 100,000 target at that date, when about 75% of the five-year window (from the 26 March 2022 election) had elapsed; Labour's 2026 manifesto gives a lower count of more than 57,000 trees for 2022-2025. The legislature ended with the snap general election of 30 May 2026; no count after 2025 was found (Project Green news to 5 Oct 2026, web searches). Tree and shrub totals are separate; vouchers are not trees planted.</t>
        </is>
      </c>
      <c r="F11" s="2" t="inlineStr">
        <is>
          <t>Check the exact pledge and its timeframe against official planting counts; separate trees from shrubs, trees planted from vouchers or supplied stock, and planted counts from survival, maintenance, removals and canopy change.</t>
        </is>
      </c>
      <c r="G11" s="2" t="inlineStr">
        <is>
          <t>The headline totals are easy to check, but they do not show how many trees survived, where they were planted, or whether tree cover increased.</t>
        </is>
      </c>
      <c r="H11" s="2" t="inlineStr">
        <is>
          <t>Input-as-outcome; Promise-without-baseline</t>
        </is>
      </c>
      <c r="I11" s="2" t="inlineStr">
        <is>
          <t>Project Green; Partit Laburista; Minister for the Environment</t>
        </is>
      </c>
      <c r="J11" s="2" t="inlineStr">
        <is>
          <t>Verbatim found</t>
        </is>
      </c>
      <c r="K11" s="2" t="inlineStr">
        <is>
          <t>Medium</t>
        </is>
      </c>
      <c r="L11" s="2" t="inlineStr">
        <is>
          <t>Done (v1.2)</t>
        </is>
      </c>
      <c r="M11" s="2" t="inlineStr">
        <is>
          <t>The February 2026 answer gives a collective rounded total through end-2025 without project-level methods or a surviving-tree count. The legislature for which the pledge was made ended with the snap general election of 30 May 2026; no cumulative count after end-2025 was located (searched again 5 Oct 2026 for v1.2; parlament.mt returns 403 to scripts). The 2024 Project Green release and parliamentary answer report separate tree and shrub totals; do not combine them or treat them as canopy measures. Vouchers issued under the separate 2026 private-land scheme (23,000 trees by 13 May 2026) are not trees planted. Without a final count, the end-2025 figure does not prove a final shortfall either. Right of reply not sought, at the maintainer’s direction.</t>
        </is>
      </c>
      <c r="N11" s="2" t="inlineStr">
        <is>
          <t>Drafted</t>
        </is>
      </c>
      <c r="O11" s="2" t="n"/>
      <c r="P11" s="2" t="n">
        <v>8</v>
      </c>
      <c r="Q11" s="2" t="inlineStr">
        <is>
          <t>Report v1.2; verdict Largely supported (moderate); pledge Off track; right of reply to send (draft; not for circulation before the deadline).</t>
        </is>
      </c>
      <c r="R11" s="2" t="inlineStr">
        <is>
          <t>Largely supported</t>
        </is>
      </c>
      <c r="S11" s="2" t="inlineStr">
        <is>
          <t>Moderate</t>
        </is>
      </c>
      <c r="T11" s="2" t="inlineStr">
        <is>
          <t>Off track</t>
        </is>
      </c>
      <c r="U11" s="2" t="inlineStr">
        <is>
          <t>Trees &amp; planting</t>
        </is>
      </c>
      <c r="V11" s="2" t="inlineStr">
        <is>
          <t>2024-12-31</t>
        </is>
      </c>
      <c r="W11" s="2" t="inlineStr">
        <is>
          <t>1.2</t>
        </is>
      </c>
      <c r="X11" s="2" t="inlineStr">
        <is>
          <t>2026-10-05</t>
        </is>
      </c>
      <c r="Y11" s="2" t="n"/>
      <c r="Z11" s="2" t="n"/>
      <c r="AA11" s="2" t="n"/>
      <c r="AB11" s="2" t="n"/>
      <c r="AC11" s="5" t="inlineStr">
        <is>
          <t>https://leandergrech.github.io/Mizien/claims/CC-010/</t>
        </is>
      </c>
    </row>
    <row r="12">
      <c r="A12" s="2" t="inlineStr">
        <is>
          <t>CC-011</t>
        </is>
      </c>
      <c r="B12" s="2" t="inlineStr">
        <is>
          <t>Governance &amp; Promises</t>
        </is>
      </c>
      <c r="C12" s="2" t="inlineStr">
        <is>
          <t>Ten minutes' walk to green space</t>
        </is>
      </c>
      <c r="D12" s="2" t="inlineStr">
        <is>
          <t>Labour manifesto 2026, priority 19: every person no more than ten minutes' walk from an open or green space. (Until v1.1 this check also covered the PN's net-zero Gozo pledge, now CC-107.)</t>
        </is>
      </c>
      <c r="E12" s="2" t="inlineStr">
        <is>
          <t>Election held 30 May 2026; Labour won, so the pledge is now a government commitment. The manifesto defines neither "open or green space" nor a baseline or year. Our open-data analysis: 99.7-99.9% of residents already live within ten minutes of some green or open space, so read broadly the pledge is almost met; but only 55-68% live within a ten-minute walk of a public park of at least 0.5 ha (about 240,000 people outside), and 24% within 300 m of one (WHO Europe indicator).</t>
        </is>
      </c>
      <c r="F12" s="2" t="inlineStr">
        <is>
          <t>WorldPop 2025 + OpenStreetMap access analysis (six definitions; 300, 615 and 800 m).</t>
        </is>
      </c>
      <c r="G12" s="2" t="inlineStr">
        <is>
          <t>Done: Claim Check 011 report and flyer (v1.2: split; the PN Gozo pledge is now CC-107).</t>
        </is>
      </c>
      <c r="H12" s="2" t="inlineStr">
        <is>
          <t>Promise-without-baseline</t>
        </is>
      </c>
      <c r="I12" s="2" t="inlineStr">
        <is>
          <t>Labour Party</t>
        </is>
      </c>
      <c r="J12" s="2" t="inlineStr">
        <is>
          <t>Verbatim found</t>
        </is>
      </c>
      <c r="K12" s="2" t="inlineStr">
        <is>
          <t>High</t>
        </is>
      </c>
      <c r="L12" s="2" t="inlineStr">
        <is>
          <t>Done (v1.3)</t>
        </is>
      </c>
      <c r="M12" s="2" t="inlineStr">
        <is>
          <t>Draft pending right of reply (Partit Laburista / Government). Access analysis is a straight-line screening estimate. Manifesto translation is ours. The news summary narrowed the pledge to green space; the party's own text is assessed. Split on 5 Oct 2026; the PN's net-zero Gozo pledge is CC-107.</t>
        </is>
      </c>
      <c r="N12" s="2" t="inlineStr">
        <is>
          <t>Drafted</t>
        </is>
      </c>
      <c r="O12" s="2" t="n"/>
      <c r="P12" s="2" t="n">
        <v>2</v>
      </c>
      <c r="Q12" s="2" t="inlineStr">
        <is>
          <t>Report v1.3; pledge Not measurable; right of reply to send (draft; not for circulation before the deadline).</t>
        </is>
      </c>
      <c r="R12" s="2" t="n"/>
      <c r="S12" s="2" t="n"/>
      <c r="T12" s="2" t="inlineStr">
        <is>
          <t>Not measurable</t>
        </is>
      </c>
      <c r="U12" s="2" t="inlineStr">
        <is>
          <t>Manifestos &amp; pledges</t>
        </is>
      </c>
      <c r="V12" s="2" t="inlineStr">
        <is>
          <t>2026-05</t>
        </is>
      </c>
      <c r="W12" s="2" t="inlineStr">
        <is>
          <t>1.3</t>
        </is>
      </c>
      <c r="X12" s="2" t="inlineStr">
        <is>
          <t>2026-10-05</t>
        </is>
      </c>
      <c r="Y12" s="2" t="n"/>
      <c r="Z12" s="2" t="n"/>
      <c r="AA12" s="2" t="n"/>
      <c r="AB12" s="2" t="n"/>
      <c r="AC12" s="5" t="inlineStr">
        <is>
          <t>https://leandergrech.github.io/Mizien/claims/CC-011/</t>
        </is>
      </c>
    </row>
    <row r="13">
      <c r="A13" s="2" t="inlineStr">
        <is>
          <t>CC-012</t>
        </is>
      </c>
      <c r="B13" s="2" t="inlineStr">
        <is>
          <t>Land &amp; Trees</t>
        </is>
      </c>
      <c r="C13" s="2" t="inlineStr">
        <is>
          <t>Ta' Qali gravel and grass</t>
        </is>
      </c>
      <c r="D13" s="2" t="inlineStr">
        <is>
          <t>Public Works Ministry (Sept 2025): the sand and gravel laid on the Ta' Qali picnic area retains moisture, so 'the natural grass grows at a much faster rate well before the rainfall of the winter season'; park unit head Jason Micallef: grass would grow back with the winter rains. PM (Jan 2026): intervention after the spring concerts. PN and Momentum (Feb 2026): the gravel chokes the grass and could leave the area permanently barren.</t>
        </is>
      </c>
      <c r="E13" s="2" t="inlineStr">
        <is>
          <t>Sentinel-2 (v1.1, reflectance offset applied): the 2.8 ha gravel zone (Momentum measured ~2.2 ha) greened every winter before the gravel (winter median NDVI 0.53-0.67 in 2023-2025, close to the rest of the park at 0.65-0.68) and stayed bare in winter 2025-26 (0.15) while the rest of the park was at 0.68. Summers were already bare before the gravel (~0.15), as the park management said. Gravel still in place and area bare in the last clear image, 27 Sep 2026. Soil-compaction reviews support the choking mechanism; gravel-sand mulch is a known water-conservation technique.</t>
        </is>
      </c>
      <c r="F13" s="2" t="inlineStr">
        <is>
          <t>Sentinel-2 NDVI and brightness 2023-2026 against a control area in the same park; soil compaction literature.</t>
        </is>
      </c>
      <c r="G13" s="2" t="inlineStr">
        <is>
          <t>Done: Claim Check 012 report and flyer.</t>
        </is>
      </c>
      <c r="H13" s="2" t="inlineStr">
        <is>
          <t>Promise-without-baseline</t>
        </is>
      </c>
      <c r="I13" s="2" t="inlineStr">
        <is>
          <t>Public Works Ministry; Jason Micallef (Ta' Qali park unit); Prime Minister Robert Abela; Partit Nazzjonalista; Momentum</t>
        </is>
      </c>
      <c r="J13" s="2" t="inlineStr">
        <is>
          <t>Verbatim found</t>
        </is>
      </c>
      <c r="K13" s="2" t="inlineStr">
        <is>
          <t>High</t>
        </is>
      </c>
      <c r="L13" s="2" t="inlineStr">
        <is>
          <t>Done (v1.1)</t>
        </is>
      </c>
      <c r="M13" s="2" t="inlineStr">
        <is>
          <t>Draft pending right of reply (Ministry, park unit, OPM, PN, Momentum). Verdict applies to the government assurance that grass would regrow; PN/Momentum description of the current state is supported, 'permanently' not shown. Intent and procurement not assessed. Works after 27 Sep 2026 not covered.</t>
        </is>
      </c>
      <c r="N13" s="2" t="inlineStr">
        <is>
          <t>Drafted</t>
        </is>
      </c>
      <c r="O13" s="2" t="n"/>
      <c r="P13" s="2" t="n">
        <v>4</v>
      </c>
      <c r="Q13" s="2" t="inlineStr">
        <is>
          <t>Report v1.1; verdict Contradicted (high); right of reply to send (draft; not for circulation before the deadline).</t>
        </is>
      </c>
      <c r="R13" s="2" t="inlineStr">
        <is>
          <t>Contradicted</t>
        </is>
      </c>
      <c r="S13" s="2" t="inlineStr">
        <is>
          <t>High</t>
        </is>
      </c>
      <c r="T13" s="2" t="n"/>
      <c r="U13" s="2" t="inlineStr">
        <is>
          <t>Open spaces &amp; parks</t>
        </is>
      </c>
      <c r="V13" s="2" t="inlineStr">
        <is>
          <t>2025-09</t>
        </is>
      </c>
      <c r="W13" s="2" t="inlineStr">
        <is>
          <t>1.1</t>
        </is>
      </c>
      <c r="X13" s="2" t="inlineStr">
        <is>
          <t>2026-10-05</t>
        </is>
      </c>
      <c r="Y13" s="2" t="inlineStr">
        <is>
          <t>A</t>
        </is>
      </c>
      <c r="Z13" s="2" t="inlineStr">
        <is>
          <t>1</t>
        </is>
      </c>
      <c r="AA13" s="2" t="inlineStr">
        <is>
          <t>2026-10-03</t>
        </is>
      </c>
      <c r="AB13" s="2" t="inlineStr"/>
      <c r="AC13" s="5" t="inlineStr">
        <is>
          <t>https://leandergrech.github.io/Mizien/claims/CC-012/</t>
        </is>
      </c>
    </row>
    <row r="14">
      <c r="A14" s="2" t="inlineStr">
        <is>
          <t>CC-013</t>
        </is>
      </c>
      <c r="B14" s="2" t="inlineStr">
        <is>
          <t>Planning &amp; Housing</t>
        </is>
      </c>
      <c r="C14" s="2" t="inlineStr">
        <is>
          <t>Permits keep property prices in check</t>
        </is>
      </c>
      <c r="D14" s="2" t="inlineStr">
        <is>
          <t>Planning Authority CEO Johann Buttigieg (MaltaToday interview, 2 Mar 2025): continuing to issue permits helps keep property prices in check; without them Malta would face the same housing crises as other European countries. The interviewer cited about 91,000 dwellings approved over a decade.</t>
        </is>
      </c>
      <c r="E14" s="2" t="inlineStr">
        <is>
          <t>Supported in direction by peer-reviewed research on supply constraints (Glaeser et al. 2005; Hilber and Vermeulen 2016; Saiz 2010); Anenberg and Kung (2020) find extra supply alone does little for rent burdens. Malta population +31% 2015-2025 (EU +2%; highest of 27, about 16 times the EU rate); real house prices +34% (EU +25%; Malta 2025 provisional), which ranks 16th of 27, below the median Member State (+41%); the EU aggregate is weighted towards Germany, France and Italy (49%). Rents (HICP actual rentals) +53% vs EU +21% (8th of 27); house prices +6.9% a year to 2026-Q2 (provisional) vs EU +4.7%. Housing-cost overburden rose from 1.1% (2015) to 2.9% (2022) while the EU's fell; Eurostat flags a break in Malta's series in 2023, after which it held at about 6% (6.0% in 2025; EU 7.7%). Overcrowding 4.7% vs EU 16.8%. 27.5% of dwellings not a main residence (Census 2021).</t>
        </is>
      </c>
      <c r="F14" s="2" t="inlineStr">
        <is>
          <t>Eurostat prc_hpi_a, tipsho10, demo_gind, ilc_lvho07a, ilc_lvho05a; all EU-27 demo_gind, tipsho10, prc_hicp_aind, prc_hpi_q, prc_hpi_cow; PA approved dwellings 2007-2025; NSO Census 2021; housing-supply literature.</t>
        </is>
      </c>
      <c r="G14" s="2" t="inlineStr">
        <is>
          <t>Done: Claim Check 013 report and flyer.</t>
        </is>
      </c>
      <c r="H14" s="2" t="inlineStr"/>
      <c r="I14" s="2" t="inlineStr">
        <is>
          <t>Johann Buttigieg, Planning Authority CEO</t>
        </is>
      </c>
      <c r="J14" s="2" t="inlineStr">
        <is>
          <t>Verbatim found</t>
        </is>
      </c>
      <c r="K14" s="2" t="inlineStr">
        <is>
          <t>High</t>
        </is>
      </c>
      <c r="L14" s="2" t="inlineStr">
        <is>
          <t>Done (v1.2)</t>
        </is>
      </c>
      <c r="M14" s="2" t="inlineStr">
        <is>
          <t>No right of reply needed (verdict Largely supported; a reply is sought only for Not substantiated, Misleading or Contradicted). Effect size unproven for Malta; affordability worsening; approvals are not completions. Prices only, not environmental costs of the permits.</t>
        </is>
      </c>
      <c r="N14" s="2" t="inlineStr">
        <is>
          <t>Drafted</t>
        </is>
      </c>
      <c r="O14" s="2" t="n"/>
      <c r="P14" s="2" t="n">
        <v>5</v>
      </c>
      <c r="Q14" s="2" t="inlineStr">
        <is>
          <t>Report v1.2; verdict Largely supported (moderate); no right of reply needed.</t>
        </is>
      </c>
      <c r="R14" s="2" t="inlineStr">
        <is>
          <t>Largely supported</t>
        </is>
      </c>
      <c r="S14" s="2" t="inlineStr">
        <is>
          <t>Moderate</t>
        </is>
      </c>
      <c r="T14" s="2" t="n"/>
      <c r="U14" s="2" t="inlineStr">
        <is>
          <t>Housing &amp; affordability</t>
        </is>
      </c>
      <c r="V14" s="2" t="inlineStr">
        <is>
          <t>2025-03-02</t>
        </is>
      </c>
      <c r="W14" s="2" t="inlineStr">
        <is>
          <t>1.2</t>
        </is>
      </c>
      <c r="X14" s="2" t="inlineStr">
        <is>
          <t>2026-10-05</t>
        </is>
      </c>
      <c r="Y14" s="2" t="inlineStr">
        <is>
          <t>B</t>
        </is>
      </c>
      <c r="Z14" s="2" t="inlineStr">
        <is>
          <t>1</t>
        </is>
      </c>
      <c r="AA14" s="2" t="inlineStr">
        <is>
          <t>2026-10-03</t>
        </is>
      </c>
      <c r="AB14" s="2" t="inlineStr"/>
      <c r="AC14" s="5" t="inlineStr">
        <is>
          <t>https://leandergrech.github.io/Mizien/claims/CC-013/</t>
        </is>
      </c>
    </row>
    <row r="15">
      <c r="A15" s="2" t="inlineStr">
        <is>
          <t>CC-014</t>
        </is>
      </c>
      <c r="B15" s="2" t="inlineStr">
        <is>
          <t>Planning &amp; Housing</t>
        </is>
      </c>
      <c r="C15" s="2" t="inlineStr">
        <is>
          <t>Fewer enforcement notices, fewer illegalities</t>
        </is>
      </c>
      <c r="D15" s="2" t="inlineStr">
        <is>
          <t>Planning Authority CEO Johann Buttigieg (Malta Independent, 7 Sep 2025): the PA once issued over 1,000 enforcement notices a year and now about 200, which he attributed to fewer illegalities; over 5,000 cases await direct action and 1,500 illegalities were removed by direct action in 30 years.</t>
        </is>
      </c>
      <c r="E15" s="2" t="inlineStr">
        <is>
          <t>Notices fell 82% (1,033 a year in 2001-2009 to 187 in 2020-2024; PA annual reports give 164-233 a year in 2018-2024) while complaints of illegal development fell 11% since 2009 (2,701 to 2,411) and 35% since 2004/05, and averaged about 2,860 a year in 2017-2024, more than in 2009 or 2011 (2,105). Complaints confirmed as illegal development were about 1,280 in 2018 and about 1,200-1,250 in 2024; the fall of about a third since 2020 is measured from a 2020-21 peak (~1,820-1,880). Notices per 100 complaints fell from 29-41 (2005-2011) to 5-10 (2017-2024), and only 7-13 in every 100 confirmed cases ended in a notice in 2018-2024: most ended in a sanctioning application (497-818 a year) or removal by the owner. The PA's own reports explain the low number of notices as its strategy "to issue notices only where contraveners are uncooperative" (2018 p. 20; 2019 p. 18).</t>
        </is>
      </c>
      <c r="F15" s="2" t="inlineStr">
        <is>
          <t>MEPA annual reports 2004-2011; PA annual reports 2017-2023 (Issuu page images) and 2024; one news report of PA data (pending notices, end 2021); regulatory enforcement literature (context).</t>
        </is>
      </c>
      <c r="G15" s="2" t="inlineStr">
        <is>
          <t>Done: Claim Check 014 report and flyer.</t>
        </is>
      </c>
      <c r="H15" s="2" t="inlineStr">
        <is>
          <t>Input-as-outcome</t>
        </is>
      </c>
      <c r="I15" s="2" t="inlineStr">
        <is>
          <t>Johann Buttigieg, Planning Authority CEO</t>
        </is>
      </c>
      <c r="J15" s="2" t="inlineStr">
        <is>
          <t>Verbatim found</t>
        </is>
      </c>
      <c r="K15" s="2" t="inlineStr">
        <is>
          <t>Medium</t>
        </is>
      </c>
      <c r="L15" s="2" t="inlineStr">
        <is>
          <t>Done (v1.2)</t>
        </is>
      </c>
      <c r="M15" s="2" t="inlineStr">
        <is>
          <t>Draft pending right of reply (Planning Authority). Figures accurate; verdict rests on the omitted change in how cases are handled. Complaints are a proxy for illegal building and their definition shifts (construction-site complaints separate in 2018, third-party-damage complaints included in 2019, anonymous reports stopped in 2024); confirmed cases are approximate (stated share x complaints received; the PA's bases differ and outcomes do not always add up). 2008 and 2012-2016 are missing, and notices halved between 2011 and 2017. Daily fines (since 2012) now apply to most notices, which may deter. v1.2 (5 Oct 2026) replaced second-hand 2019-2023 figures with the PA reports and added 2017-2018; verdict unchanged.</t>
        </is>
      </c>
      <c r="N15" s="2" t="inlineStr">
        <is>
          <t>Drafted</t>
        </is>
      </c>
      <c r="O15" s="2" t="n"/>
      <c r="P15" s="2" t="n">
        <v>4</v>
      </c>
      <c r="Q15" s="2" t="inlineStr">
        <is>
          <t>Report v1.2; verdict Misleading (moderate); right of reply to send (draft; not for circulation before the deadline).</t>
        </is>
      </c>
      <c r="R15" s="2" t="inlineStr">
        <is>
          <t>Misleading</t>
        </is>
      </c>
      <c r="S15" s="2" t="inlineStr">
        <is>
          <t>Moderate</t>
        </is>
      </c>
      <c r="T15" s="2" t="n"/>
      <c r="U15" s="2" t="inlineStr">
        <is>
          <t>Permits &amp; enforcement</t>
        </is>
      </c>
      <c r="V15" s="2" t="inlineStr">
        <is>
          <t>2025-09-07</t>
        </is>
      </c>
      <c r="W15" s="2" t="inlineStr">
        <is>
          <t>1.2</t>
        </is>
      </c>
      <c r="X15" s="2" t="inlineStr">
        <is>
          <t>2026-10-05</t>
        </is>
      </c>
      <c r="Y15" s="2" t="inlineStr">
        <is>
          <t>C</t>
        </is>
      </c>
      <c r="Z15" s="2" t="inlineStr">
        <is>
          <t>1</t>
        </is>
      </c>
      <c r="AA15" s="2" t="inlineStr">
        <is>
          <t>2026-10-03</t>
        </is>
      </c>
      <c r="AB15" s="2" t="inlineStr"/>
      <c r="AC15" s="5" t="inlineStr">
        <is>
          <t>https://leandergrech.github.io/Mizien/claims/CC-014/</t>
        </is>
      </c>
    </row>
    <row r="16">
      <c r="A16" s="2" t="inlineStr">
        <is>
          <t>CC-015</t>
        </is>
      </c>
      <c r="B16" s="2" t="inlineStr">
        <is>
          <t>Governance &amp; Promises</t>
        </is>
      </c>
      <c r="C16" s="2" t="inlineStr">
        <is>
          <t>'Three weeks left' at the PA</t>
        </is>
      </c>
      <c r="D16" s="2" t="inlineStr">
        <is>
          <t>Johann Buttigieg (planning conference, Sept 2026, as reported): when his 2019 chats with Yorgen Fenech took place he only had three weeks left at the Planning Authority. Campaigners say the business exchange dates from March 2019 and his tenure ended in October 2019.</t>
        </is>
      </c>
      <c r="E16" s="2" t="inlineStr">
        <is>
          <t>Dates of the published chats and of the end of his first PA tenure are matters of record.</t>
        </is>
      </c>
      <c r="F16" s="2" t="inlineStr">
        <is>
          <t>Dates of the published chat messages against the documented end of his PA contract (2019). A document check only.</t>
        </is>
      </c>
      <c r="G16" s="2" t="inlineStr">
        <is>
          <t>Two dates.</t>
        </is>
      </c>
      <c r="H16" s="2" t="inlineStr"/>
      <c r="I16" s="2" t="inlineStr">
        <is>
          <t>Johann Buttigieg, Planning Authority CEO</t>
        </is>
      </c>
      <c r="J16" s="2" t="inlineStr">
        <is>
          <t>Paraphrase: locate quote</t>
        </is>
      </c>
      <c r="K16" s="2" t="inlineStr">
        <is>
          <t>Medium</t>
        </is>
      </c>
      <c r="L16" s="2" t="inlineStr">
        <is>
          <t>Queue</t>
        </is>
      </c>
      <c r="M16" s="2" t="inlineStr">
        <is>
          <t>Governance rather than environment: maintainer to confirm it is in scope. Date check only; no claims about motive or wrongdoing. Locate a recording or transcript of his exact words first.</t>
        </is>
      </c>
      <c r="N16" s="2" t="inlineStr">
        <is>
          <t>In progress</t>
        </is>
      </c>
      <c r="O16" s="2" t="n"/>
      <c r="P16" s="2" t="n">
        <v>0</v>
      </c>
      <c r="Q16" s="2" t="inlineStr">
        <is>
          <t>Worker A, attempt 1 (2026-10-04): source: exact words not obtained (Newsbook paraphrases 'three weeks' outside quote marks; Maltese Herald 403; Times/MaltaToday/Independent refused; Wayback reset)</t>
        </is>
      </c>
      <c r="R16" s="2" t="n"/>
      <c r="S16" s="2" t="n"/>
      <c r="T16" s="2" t="n"/>
      <c r="U16" s="2" t="inlineStr">
        <is>
          <t>Accountability</t>
        </is>
      </c>
      <c r="V16" s="2" t="inlineStr">
        <is>
          <t>2026-09</t>
        </is>
      </c>
      <c r="W16" s="2" t="n"/>
      <c r="X16" s="2" t="inlineStr"/>
      <c r="Y16" s="2" t="inlineStr">
        <is>
          <t>A</t>
        </is>
      </c>
      <c r="Z16" s="2" t="inlineStr">
        <is>
          <t>1</t>
        </is>
      </c>
      <c r="AA16" s="2" t="inlineStr">
        <is>
          <t>2026-10-04</t>
        </is>
      </c>
      <c r="AB16" s="2" t="inlineStr">
        <is>
          <t>source: exact words not obtained (Newsbook paraphrases 'three weeks' outside quote marks; Maltese Herald 403; Times/MaltaToday/Independent refused; Wayback reset)</t>
        </is>
      </c>
      <c r="AC16" s="5" t="inlineStr">
        <is>
          <t>https://leandergrech.github.io/Mizien/claims/CC-015/</t>
        </is>
      </c>
    </row>
    <row r="17">
      <c r="A17" s="2" t="inlineStr">
        <is>
          <t>CC-016</t>
        </is>
      </c>
      <c r="B17" s="2" t="inlineStr">
        <is>
          <t>Air</t>
        </is>
      </c>
      <c r="C17" s="2" t="inlineStr">
        <is>
          <t>Shore-to-ship: 90% less harbour pollution</t>
        </is>
      </c>
      <c r="D17" s="2" t="inlineStr">
        <is>
          <t>Infrastructure Malta (Shore-to-Ship project page, 1 Dec 2023): the Grand Harbour shore-to-ship initiative promises to slash 90% of air pollution in the Grand Harbour. Repeated at the inauguration (10 Jul 2024, cost given as EUR 33 million): completion means a 90% reduction, with 17,000 families around the harbour benefiting from cleaner air.</t>
        </is>
      </c>
      <c r="E17" s="2" t="inlineStr">
        <is>
          <t>Connection is voluntary until 1 Jan 2030 (Regulation (EU) 2023/1805 Art. 6); Transport Malta: connecting 'remains the prerogative of the shipping line'. Transport Malta FOI records (via Amphora Media): 67 of 373 cruise berths (18%) plugged in from Jul 2024 to Jul 2025, 9% of berth time; 306 berths not plugged in; MSC World Europa made 35 of the 67 (35 of its 51 calls; all other ships 32 of 322, 10%); no stay of 2-4 days plugged in. MSC World Europa is LNG-powered (dual-fuel LNG / low-sulphur marine gasoil, MSC Cruises 2022), so when it runs on LNG the SOx and PM saving from plugging it in is smaller than the per-liner figures. Cruise calls rose from 357 (2024) to 385 (2025; calendar years, while uptake runs Jul-Jul). Infrastructure Malta's own 2020-2023 pages scope the 90% to the pollution cruise liners and Ro-Ro ships produce, with per-liner cuts on shore power of NO2 -93%, PM -92.6%, SO2 -99.6%, CO2 -39.6% (study not cited); the 2023 project page dropped that scope. Research context: hotelling is &gt;90% of cruise CO2 in port (Mocerino et al. 2026); manoeuvring emissions remain (Gagic et al. 2022). Cost stated as EUR 33m (launch), 37m (phase 1) and 49.9m (whole project). No harbour air-quality study before and after.</t>
        </is>
      </c>
      <c r="F17" s="2" t="inlineStr">
        <is>
          <t>Transport Malta connection records (FOI, via Amphora Media); Valletta Cruise Port traffic; FuelEU Maritime Art. 6; peer-reviewed cruise emission inventories; MSC Cruises' ship description (v1.2).</t>
        </is>
      </c>
      <c r="G17" s="2" t="inlineStr">
        <is>
          <t>Done: Claim Check 016 report and flyer.</t>
        </is>
      </c>
      <c r="H17" s="2" t="inlineStr">
        <is>
          <t>Conditional-turned-unconditional</t>
        </is>
      </c>
      <c r="I17" s="2" t="inlineStr">
        <is>
          <t>Infrastructure Malta; Prime Minister Robert Abela; Ministry for Transport</t>
        </is>
      </c>
      <c r="J17" s="2" t="inlineStr">
        <is>
          <t>Verbatim found</t>
        </is>
      </c>
      <c r="K17" s="2" t="inlineStr">
        <is>
          <t>Medium</t>
        </is>
      </c>
      <c r="L17" s="2" t="inlineStr">
        <is>
          <t>Done (v1.2)</t>
        </is>
      </c>
      <c r="M17" s="2" t="inlineStr">
        <is>
          <t>Right of reply to Infrastructure Malta and Transport Malta not yet sent. Connection figures second-hand (FOI reply not public); no later data than Jul 2025; no air-quality measurement either way. The per-liner cuts are Infrastructure Malta's own estimates. Which fuel MSC World Europa burned at berth in Valletta is not known. v1.2 (5 Oct 2026) added a figure of the 373 berths and the 90% per connected ship vs the 9% harbour-wide, and the ship's fuel; verdict and confidence unchanged. Maintainer decision (5 Oct 2026): sub-claim A rated Largely supported (was Plausible).</t>
        </is>
      </c>
      <c r="N17" s="2" t="inlineStr">
        <is>
          <t>Drafted</t>
        </is>
      </c>
      <c r="O17" s="2" t="n"/>
      <c r="P17" s="2" t="n">
        <v>4</v>
      </c>
      <c r="Q17" s="2" t="inlineStr">
        <is>
          <t>Report v1.2; verdict Misleading (moderate); right of reply to send (draft; not for circulation before the deadline).</t>
        </is>
      </c>
      <c r="R17" s="2" t="inlineStr">
        <is>
          <t>Misleading</t>
        </is>
      </c>
      <c r="S17" s="2" t="inlineStr">
        <is>
          <t>Moderate</t>
        </is>
      </c>
      <c r="T17" s="2" t="n"/>
      <c r="U17" s="2" t="inlineStr">
        <is>
          <t>Port &amp; power emissions</t>
        </is>
      </c>
      <c r="V17" s="2" t="inlineStr">
        <is>
          <t>2023-12-01</t>
        </is>
      </c>
      <c r="W17" s="2" t="inlineStr">
        <is>
          <t>1.2</t>
        </is>
      </c>
      <c r="X17" s="2" t="inlineStr">
        <is>
          <t>2026-10-05</t>
        </is>
      </c>
      <c r="Y17" s="2" t="inlineStr">
        <is>
          <t>B</t>
        </is>
      </c>
      <c r="Z17" s="2" t="inlineStr">
        <is>
          <t>1</t>
        </is>
      </c>
      <c r="AA17" s="2" t="inlineStr">
        <is>
          <t>2026-10-03</t>
        </is>
      </c>
      <c r="AB17" s="2" t="inlineStr"/>
      <c r="AC17" s="5" t="inlineStr">
        <is>
          <t>https://leandergrech.github.io/Mizien/claims/CC-016/</t>
        </is>
      </c>
    </row>
    <row r="18">
      <c r="A18" s="2" t="inlineStr">
        <is>
          <t>CC-017</t>
        </is>
      </c>
      <c r="B18" s="2" t="inlineStr">
        <is>
          <t>Planning &amp; Housing</t>
        </is>
      </c>
      <c r="C18" s="2" t="inlineStr">
        <is>
          <t>Land reclamation outside the Freeport</t>
        </is>
      </c>
      <c r="D18" s="2" t="inlineStr">
        <is>
          <t>Budget 2026 (27 Oct 2025): a reclamation project is already under way in the Freeport; the government is preparing to launch a large-scale land reclamation project outside the Freeport perimeter next year, for industrial and maritime use and to relocate certain commercial activities so other spaces can be enjoyed by families. In 2019 the Environment Minister said an EUR 11 million seabed study had found five or six sites that are 'possible and environmentally safe'.</t>
        </is>
      </c>
      <c r="E18" s="2" t="inlineStr">
        <is>
          <t>Existing works confirmed: Sentinel-2 shows +3.7 ha (+/-1) at Terminal 2, 2023-2026 (stated ~30,000 m2, ~1 Mt inert fill). No site, size, cost, fill source, screening or call for the large-scale project found by 3 Oct 2026. Seabed study unpublished since 2019; budget lines EUR 500,000 (2023) -&gt; 10,000 (2025). Three Natura 2000 designations within ~0.5 km of the new Terminal 2 land, two of them overlapping on the same cliffs (SAC MT0000024, SPA MT0000033); marine SPA MT0000111 (256 km2) ~0.4 km away. v1.2: EMODnet Seabed Habitats (Maltese map of 2016, gridded at about 230 m) maps Posidonia next to the new land (0.01 km, one grid cell) and 72 ha within 1 km; EMODnet DTM 2024 depth within 1 km mostly 5-30 m (median 18 m); mapped meadows at 11-35 m in the bay (median 26 m) and 21-32 m within 1 km (median 29 m). Fairness: Malta's Article 17 reports assess Posidonia beds (1120) as favourable overall (2013-2018; 2019-2024, stable; 68.46 km2); the -34% in 50 years (Telesca et al. 2015) is Mediterranean-wide. A bay-wide Sentinel-2 MNDWI check for other new land was not robust and is not used.</t>
        </is>
      </c>
      <c r="F18" s="2" t="inlineStr">
        <is>
          <t>Sentinel-2 L2A (2017-2026); EEA Natura 2000 (2024); EMODnet Seabed Habitats seagrass (2025, CC BY 4.0); EMODnet bathymetry DTM 2024; EEA Article 17 web tool (habitat 1120); Budget Speech 2026; Freeport Corporation statements; seagrass literature.</t>
        </is>
      </c>
      <c r="G18" s="2" t="inlineStr">
        <is>
          <t>Done: Claim Check 017 report and flyer.</t>
        </is>
      </c>
      <c r="H18" s="2" t="inlineStr">
        <is>
          <t>Promise-without-baseline</t>
        </is>
      </c>
      <c r="I18" s="2" t="inlineStr">
        <is>
          <t>Clyde Caruana, Minister for Finance (Budget Speech 2026); Robert Abela, Prime Minister</t>
        </is>
      </c>
      <c r="J18" s="2" t="inlineStr">
        <is>
          <t>Verbatim found</t>
        </is>
      </c>
      <c r="K18" s="2" t="inlineStr">
        <is>
          <t>Medium</t>
        </is>
      </c>
      <c r="L18" s="2" t="inlineStr">
        <is>
          <t>Done (v1.2)</t>
        </is>
      </c>
      <c r="M18" s="2" t="inlineStr">
        <is>
          <t>Right of reply to the Ministry for Finance and the Environment Ministry not yet sent. Absence of public steps is from searches, not proof. The seagrass map (EMODnet; Maltese map of 2016) is gridded at about 230 m, so it is coarse near the shore and shows where meadows were mapped, not their condition now; the 2018-2019 national survey map was not found.</t>
        </is>
      </c>
      <c r="N18" s="2" t="inlineStr">
        <is>
          <t>Drafted</t>
        </is>
      </c>
      <c r="O18" s="2" t="n"/>
      <c r="P18" s="2" t="n">
        <v>8</v>
      </c>
      <c r="Q18" s="2" t="inlineStr">
        <is>
          <t>Report v1.2; verdict Not substantiated (moderate); right of reply to send (draft; not for circulation before the deadline).</t>
        </is>
      </c>
      <c r="R18" s="2" t="inlineStr">
        <is>
          <t>Not substantiated</t>
        </is>
      </c>
      <c r="S18" s="2" t="inlineStr">
        <is>
          <t>Moderate</t>
        </is>
      </c>
      <c r="T18" s="2" t="n"/>
      <c r="U18" s="2" t="inlineStr">
        <is>
          <t>Development &amp; construction</t>
        </is>
      </c>
      <c r="V18" s="2" t="inlineStr">
        <is>
          <t>2025-10-27</t>
        </is>
      </c>
      <c r="W18" s="2" t="inlineStr">
        <is>
          <t>1.2</t>
        </is>
      </c>
      <c r="X18" s="2" t="inlineStr">
        <is>
          <t>2026-10-05</t>
        </is>
      </c>
      <c r="Y18" s="2" t="inlineStr">
        <is>
          <t>C</t>
        </is>
      </c>
      <c r="Z18" s="2" t="inlineStr">
        <is>
          <t>1</t>
        </is>
      </c>
      <c r="AA18" s="2" t="inlineStr">
        <is>
          <t>2026-10-03</t>
        </is>
      </c>
      <c r="AB18" s="2" t="inlineStr"/>
      <c r="AC18" s="5" t="inlineStr">
        <is>
          <t>https://leandergrech.github.io/Mizien/claims/CC-017/</t>
        </is>
      </c>
    </row>
    <row r="19">
      <c r="A19" s="2" t="inlineStr">
        <is>
          <t>CC-018</t>
        </is>
      </c>
      <c r="B19" s="2" t="inlineStr">
        <is>
          <t>Planning &amp; Housing</t>
        </is>
      </c>
      <c r="C19" s="2" t="inlineStr">
        <is>
          <t>IMF 'confirms' MDA on housing</t>
        </is>
      </c>
      <c r="D19" s="2" t="inlineStr">
        <is>
          <t>Malta Developers Association (release on its website, 8 Feb 2026; quoted by MaltaToday the same day): 'The IMF's assessment of the Maltese housing market confirms what the Malta Developers Association has been saying for several years', i.e. (MaltaToday's summary) the strength and stability of the property sector.</t>
        </is>
      </c>
      <c r="E19" s="2" t="inlineStr">
        <is>
          <t>IMF CR 26/29: prices 'aligned with fundamentals', price-to-income and price-to-rent stable, weakening 'currently low' (supports). Eurostat tipsho60: Malta price-to-income -10.7% 2015-2024, 92.9% of long-term average (EU 98.9). But IMF calls banks' real-estate exposure (72% of private loans, from 61%) 'a vulnerability', urges vigilance and enhanced monitoring given rapid price growth; affordability not assessed (housing-cost overburden worsened between 2015 and 2022 on Eurostat's comparable series, 1.1% -&gt; 2.9%; a break in the series in 2023, 6.0%, flat since). MDA-commissioned study (as reported) found prices outpacing incomes. House prices +6.8% and +6.9% year on year in 2026 Q1 and Q2 (Eurostat prc_hpi_q, provisional). v1.2, the release's other statements: the IMF did move Malta to a 24-month cycle (supported), but Malta is not 'the first EU economy' on it (contradicted: Luxembourg 2000-2002; Malta is the only EU member on it in the 2025-26 reports); GDP per head 'nearly doubled' since 2013 is the IMF's own phrase (US$, x1.8 to 2024; Eurostat EUR x2.2 to 2025, real x1.5; largely supported); 'far higher than the EU average' is not substantiated (2025: +1.7% at market prices, PPS index 110).</t>
        </is>
      </c>
      <c r="F19" s="2" t="inlineStr">
        <is>
          <t>MDA release and IMF Country Report 26/29 read in full; Eurostat tipsho60, tipsho10, ilc_lvho07a. v1.2 IMF Selected Issues Paper 2026/022, IMF surveillance guidance (2022), latest staff reports of all 27 EU members and Luxembourg's 2000 and 2002 reports (IMF eLibrary); Eurostat nama_10_pc, prc_hpi_q, prc_hpi_a, nasa_10_nf_tr, nama_10_pe.</t>
        </is>
      </c>
      <c r="G19" s="2" t="inlineStr">
        <is>
          <t>Done: Claim Check 018 report and flyer.</t>
        </is>
      </c>
      <c r="H19" s="2" t="inlineStr"/>
      <c r="I19" s="2" t="inlineStr">
        <is>
          <t>Malta Developers Association (MDA)</t>
        </is>
      </c>
      <c r="J19" s="2" t="inlineStr">
        <is>
          <t>Verbatim found</t>
        </is>
      </c>
      <c r="K19" s="2" t="inlineStr">
        <is>
          <t>High</t>
        </is>
      </c>
      <c r="L19" s="2" t="inlineStr">
        <is>
          <t>Done (v1.2)</t>
        </is>
      </c>
      <c r="M19" s="2" t="inlineStr">
        <is>
          <t>No right of reply needed (verdict Largely supported; a reply is sought only for Not substantiated, Misleading or Contradicted). MDA release read (5 Oct 2026) and matches the quote; the page was modified on 17 Jun 2026 and the original text was not seen. The release does not mention the IMF's 'vulnerability' warning on bank exposure. MDA-commissioned study not seen. Eurostat flags a break in Malta's overburden series in 2023. House prices from 2025 Q3 and Malta household income 2021-2024 are provisional; household income not yet published after 2024. The consultation-cycle comparison uses the latest EU staff reports and, for earlier years, Luxembourg only. The v1.2 sub-claims D-G (the release's statements on the IMF cycle and GDP per head) are rated separately and do not change the verdict. Maintainer decision (5 Oct 2026): confidence raised from Moderate to High, because the MDA's own release is now verified.</t>
        </is>
      </c>
      <c r="N19" s="2" t="inlineStr">
        <is>
          <t>Drafted</t>
        </is>
      </c>
      <c r="O19" s="2" t="n"/>
      <c r="P19" s="2" t="n">
        <v>5</v>
      </c>
      <c r="Q19" s="2" t="inlineStr">
        <is>
          <t>Report v1.2; verdict Largely supported (high); no right of reply needed.</t>
        </is>
      </c>
      <c r="R19" s="2" t="inlineStr">
        <is>
          <t>Largely supported</t>
        </is>
      </c>
      <c r="S19" s="2" t="inlineStr">
        <is>
          <t>High</t>
        </is>
      </c>
      <c r="T19" s="2" t="n"/>
      <c r="U19" s="2" t="inlineStr">
        <is>
          <t>Housing &amp; affordability</t>
        </is>
      </c>
      <c r="V19" s="2" t="inlineStr">
        <is>
          <t>2026-02-08</t>
        </is>
      </c>
      <c r="W19" s="2" t="inlineStr">
        <is>
          <t>1.2</t>
        </is>
      </c>
      <c r="X19" s="2" t="inlineStr">
        <is>
          <t>2026-10-05</t>
        </is>
      </c>
      <c r="Y19" s="2" t="inlineStr">
        <is>
          <t>A</t>
        </is>
      </c>
      <c r="Z19" s="2" t="inlineStr">
        <is>
          <t>1</t>
        </is>
      </c>
      <c r="AA19" s="2" t="inlineStr">
        <is>
          <t>2026-10-04</t>
        </is>
      </c>
      <c r="AB19" s="2" t="inlineStr"/>
      <c r="AC19" s="5" t="inlineStr">
        <is>
          <t>https://leandergrech.github.io/Mizien/claims/CC-018/</t>
        </is>
      </c>
    </row>
    <row r="20">
      <c r="A20" s="2" t="inlineStr">
        <is>
          <t>CC-019</t>
        </is>
      </c>
      <c r="B20" s="2" t="inlineStr">
        <is>
          <t>Land &amp; Trees</t>
        </is>
      </c>
      <c r="C20" s="2" t="inlineStr">
        <is>
          <t>830,000 m2 of land lost in five years</t>
        </is>
      </c>
      <c r="D20" s="2" t="inlineStr">
        <is>
          <t>Amphora Media (Green to Grey, 11-12 Sep 2026): nearly 830,000 square metres of nature and cropland were built up in Malta between 2018 and 2023 (headline: 'over 830,000'), 0.26% of land; in nearly 95% of the take-up, farmland rather than natural area was affected.</t>
        </is>
      </c>
      <c r="E20" s="2" t="inlineStr">
        <is>
          <t>v1.2: Amphora's published polygons (397) cover 828,429 m2, so 'nearly 830,000' is reproduced (the headline's 'over' is not). Spatial cross-check with Impact Observatory/Esri 10 m land cover (2017-2025): the model already maps 68% of Amphora's area as built-up in 2018 (61% in all of 2017-19), classes only 6-14% of it as newly built, and only 2-3% of its own new built-up land lies inside Amphora's polygons (5-7% within 20 m); its national net total ranges from -0.06 to 2.96 km2 depending on the rule and years. So the model measures different land and neither confirms nor rules out 0.83 km2 (v1.1 had read it as corroboration). 'Nearly 95%': cropland + grass = 96% (95.3-95.7%) of the area with a known 2018 class in Amphora's own data (our reading of the basis), counting Dynamic World 'grass' (which includes natural meadows) as farmland and leaving out the 37% of the area with no class; cropland alone is 22% of the whole. Two polygons (4,429 m2) were sea in 2018. Arithmetic (0.26%, 116 pitches, 1.94 km2 since 2006) checks out. EEA CORINE change maps: 20.6 ha (2006-12) and 93.7 ha (2012-18) of new artificial land, matching the 190,000 and 920,000 m2 quoted; changes under 5 ha are not mapped. Imagery spot-check (maintainer decision, 5 Oct 2026): 40 draws by systematic sampling proportional to area (seed 20261005, 39 polygons), checked by eye against Esri World Imagery Wayback (before Jul 2015-Aug 2016, 4 Sep 2018, 6 May 2023, Jun-Sep 2025): 72.5% of the sampled area confirmed open/green to grey (Wilson 95% CI 57-84%), 7.5% partial, 2.5% already grey, 0% still open, 17.5% unclear (15% being developed by Sep 2018); 55% (40-69%) confirmed and mostly grey by May 2023, so part of the figure is 2024-25 change. The imagery contradicts the model's 2018 built-up reading on these parcels. Land before: fields 59% (43-73%), 64% with orchards, the rest scrub, garrigue or rough grass, so 'nearly 95% farmland' is overstated. Verdict (maintainer decision, 5 Oct 2026): Not substantiated: about 456,000 m2 (330,000-574,000) was grey by May 2023 against 'nearly 830,000' for 2018-2023 (about 600,000 m2 by 2025), and about a third of the land was scrub or garrigue, not farmland.</t>
        </is>
      </c>
      <c r="F20" s="2" t="inlineStr">
        <is>
          <t>Amphora's published change polygons; imagery spot-check of 40 PPS draws against Esri World Imagery Wayback (2015-16, 2018, 2023, 2025); Impact Observatory LULC v2 (Planetary Computer 2017-2023, Esri 2017-2025); EEA CORINE change layers 2006-2012 and 2012-2018; OSM island areas; Amphora articles read in full.</t>
        </is>
      </c>
      <c r="G20" s="2" t="inlineStr">
        <is>
          <t>Done: Claim Check 019 report and flyer.</t>
        </is>
      </c>
      <c r="H20" s="2" t="inlineStr"/>
      <c r="I20" s="2" t="inlineStr">
        <is>
          <t>Amphora Media</t>
        </is>
      </c>
      <c r="J20" s="2" t="inlineStr">
        <is>
          <t>Verbatim found</t>
        </is>
      </c>
      <c r="K20" s="2" t="inlineStr">
        <is>
          <t>High</t>
        </is>
      </c>
      <c r="L20" s="2" t="inlineStr">
        <is>
          <t>Done (v1.2)</t>
        </is>
      </c>
      <c r="M20" s="2" t="inlineStr">
        <is>
          <t>Right of reply to Amphora Media not yet sent. Imagery spot-check classified by eye by us on 40 draws (interval about +/-13 points); no imagery of the sampled spots from Aug 2016 to Sep 2018, so 15% of the sampled area cannot be dated; fallow fields and scrub are hard to tell apart; no check for developments Amphora missed. The basis of the 95% is our reading, not confirmed by Amphora; the map file gives its years as 2018-2025, the article 2018-2023; class definitions differ between land-cover models.</t>
        </is>
      </c>
      <c r="N20" s="2" t="inlineStr">
        <is>
          <t>Drafted</t>
        </is>
      </c>
      <c r="O20" s="2" t="n"/>
      <c r="P20" s="2" t="n">
        <v>9</v>
      </c>
      <c r="Q20" s="2" t="inlineStr">
        <is>
          <t>Report v1.2; verdict Not substantiated (moderate); right of reply to send (draft; not for circulation before the deadline).</t>
        </is>
      </c>
      <c r="R20" s="2" t="inlineStr">
        <is>
          <t>Not substantiated</t>
        </is>
      </c>
      <c r="S20" s="2" t="inlineStr">
        <is>
          <t>Moderate</t>
        </is>
      </c>
      <c r="T20" s="2" t="n"/>
      <c r="U20" s="2" t="inlineStr">
        <is>
          <t>Land take &amp; agriculture</t>
        </is>
      </c>
      <c r="V20" s="2" t="inlineStr">
        <is>
          <t>2026-09-11</t>
        </is>
      </c>
      <c r="W20" s="2" t="inlineStr">
        <is>
          <t>1.2</t>
        </is>
      </c>
      <c r="X20" s="2" t="inlineStr">
        <is>
          <t>2026-10-05</t>
        </is>
      </c>
      <c r="Y20" s="2" t="inlineStr">
        <is>
          <t>B</t>
        </is>
      </c>
      <c r="Z20" s="2" t="inlineStr">
        <is>
          <t>1</t>
        </is>
      </c>
      <c r="AA20" s="2" t="inlineStr">
        <is>
          <t>2026-10-04</t>
        </is>
      </c>
      <c r="AB20" s="2" t="inlineStr"/>
      <c r="AC20" s="5" t="inlineStr">
        <is>
          <t>https://leandergrech.github.io/Mizien/claims/CC-019/</t>
        </is>
      </c>
    </row>
    <row r="21">
      <c r="A21" s="2" t="inlineStr">
        <is>
          <t>CC-020</t>
        </is>
      </c>
      <c r="B21" s="2" t="inlineStr">
        <is>
          <t>Noise</t>
        </is>
      </c>
      <c r="C21" s="2" t="inlineStr">
        <is>
          <t>EP study: noise law not the cause</t>
        </is>
      </c>
      <c r="D21" s="2" t="inlineStr">
        <is>
          <t>Study for the European Parliament's Committee on Petitions (Ecocentric Consulting, February 2026): Malta's noise problems are not caused by how it transposed and implements the Environmental Noise Directive, with only two meaningful non-conformity issues, because the noise people complain about (construction, entertainment, neighbourhood) falls outside the Directive's scope; it cites a 2019 survey in which 21% of Maltese ranked noise among their top four environmental issues against an EU28 average of 9%.</t>
        </is>
      </c>
      <c r="E21" s="2" t="inlineStr">
        <is>
          <t>The conclusion follows from the study's evidence. The Directive sets only reporting thresholds (55 dB Lden and 50 dB Lnight, above the WHO 2018 levels of 53 and 45 dB for roads and 45 and 40 dB for aircraft) and excludes construction, entertainment and neighbourhood noise. Eurostat (ilc_mddw01), an all-source self-reported measure that includes road traffic (which the Directive covers) and so shows the size of the problem, not its cause, puts Malta first in the EU for reported street or neighbour noise, 31.3% against 18.1% in 2023, above the EU average in all 12 available years since 2010. Action-plan delays (plan due January 2025 unpublished at January 2026) are a genuine END implementation issue. Legal compliance is not the same as exposure below WHO levels. The transposition table and infringement record were not independently verified. The WHO levels and the EEA exposure figures are second-hand via the study (the study, citing EEA, says the END figures are likely a considerable underestimation). The 21% vs 9% figure is in ERA's consultation annex (pp. 5-6, in the Office of the Superintendent of Public Health's comment, no survey named; annex read via Wayback on 6 Oct 2026); it is not in the Marmarà October 2019 survey summary (mean worry score for noise 3.90 of 5 only), so its origin is unidentified.</t>
        </is>
      </c>
      <c r="F21" s="2" t="inlineStr">
        <is>
          <t>Study text and transposition table; Eurostat ilc_mddw01 for Malta, EU-27 and all Member States; END thresholds against WHO 2018 levels as reported in the study; Crossref-verified WHO review literature.</t>
        </is>
      </c>
      <c r="G21" s="2" t="inlineStr">
        <is>
          <t>Done: Claim Check 020 report and flyer.</t>
        </is>
      </c>
      <c r="H21" s="2" t="inlineStr">
        <is>
          <t>Compliance-not-health</t>
        </is>
      </c>
      <c r="I21" s="2" t="inlineStr">
        <is>
          <t>Peter Hjerp and Clare Coffey (Ecocentric Consulting), study for the European Parliament Committee on Petitions (PE 783.089)</t>
        </is>
      </c>
      <c r="J21" s="2" t="inlineStr">
        <is>
          <t>Verbatim found</t>
        </is>
      </c>
      <c r="K21" s="2" t="inlineStr">
        <is>
          <t>Medium</t>
        </is>
      </c>
      <c r="L21" s="2" t="inlineStr">
        <is>
          <t>Done (v1.1)</t>
        </is>
      </c>
      <c r="M21" s="2" t="inlineStr">
        <is>
          <t>The claimant is an EU body's commissioned study, not a Maltese speaker; the opinions are the authors', not the European Parliament's official position. The verdict covers legal conformity only, not whether Malta is quiet. Transposition table and infringement register not independently verified; the 21% vs 9% survey figure is in ERA's consultation annex (read via Wayback) but no survey is named and it is not in the Marmarà 2019 summary, so its origin is unidentified; sub-claim C rests on the study's own reading of the consultation and petition, not re-coded by us; WHO and EEA figures are second-hand via the study. No right of reply needed (verdict Largely supported; a reply is sought only for Not substantiated, Misleading or Contradicted).</t>
        </is>
      </c>
      <c r="N21" s="2" t="inlineStr">
        <is>
          <t>Drafted</t>
        </is>
      </c>
      <c r="O21" s="2" t="n"/>
      <c r="P21" s="2" t="n">
        <v>3</v>
      </c>
      <c r="Q21" s="2" t="inlineStr">
        <is>
          <t>Report v1.1; verdict Largely supported (moderate); no right of reply needed.</t>
        </is>
      </c>
      <c r="R21" s="2" t="inlineStr">
        <is>
          <t>Largely supported</t>
        </is>
      </c>
      <c r="S21" s="2" t="inlineStr">
        <is>
          <t>Moderate</t>
        </is>
      </c>
      <c r="T21" s="2" t="n"/>
      <c r="U21" s="2" t="n"/>
      <c r="V21" s="2" t="inlineStr">
        <is>
          <t>2026-02</t>
        </is>
      </c>
      <c r="W21" s="2" t="inlineStr">
        <is>
          <t>1.1</t>
        </is>
      </c>
      <c r="X21" s="2" t="inlineStr">
        <is>
          <t>2026-10-06</t>
        </is>
      </c>
      <c r="Y21" s="2" t="inlineStr">
        <is>
          <t>C</t>
        </is>
      </c>
      <c r="Z21" s="2" t="inlineStr">
        <is>
          <t>1</t>
        </is>
      </c>
      <c r="AA21" s="2" t="inlineStr">
        <is>
          <t>2026-10-05</t>
        </is>
      </c>
      <c r="AB21" s="2" t="inlineStr"/>
      <c r="AC21" s="5" t="inlineStr">
        <is>
          <t>https://leandergrech.github.io/Mizien/claims/CC-020/</t>
        </is>
      </c>
    </row>
    <row r="22">
      <c r="A22" s="2" t="inlineStr">
        <is>
          <t>CC-021</t>
        </is>
      </c>
      <c r="B22" s="2" t="inlineStr">
        <is>
          <t>Transport</t>
        </is>
      </c>
      <c r="C22" s="2" t="inlineStr">
        <is>
          <t>Malta-Gozo tunnel traffic</t>
        </is>
      </c>
      <c r="D22" s="2" t="inlineStr">
        <is>
          <t>Lead: past government studies found the Malta-Gozo tunnel would only be economically viable if car trips between the islands roughly tripled. The project was shelved in 2022; check whether it, or a fixed link, has been revived with new claims.</t>
        </is>
      </c>
      <c r="E22" s="2" t="inlineStr">
        <is>
          <t>Induced demand: a link designed to triple car trips works against transport-emission targets (see CC-003).</t>
        </is>
      </c>
      <c r="F22" s="2" t="inlineStr">
        <is>
          <t>Infrastructure Malta traffic and financial studies; induced-demand literature; Gozo traffic counts; ferry ridership.</t>
        </is>
      </c>
      <c r="G22" s="2" t="inlineStr">
        <is>
          <t>Weakest candidate: replace if no current claim is found.</t>
        </is>
      </c>
      <c r="H22" s="2" t="inlineStr">
        <is>
          <t>Promise-without-baseline</t>
        </is>
      </c>
      <c r="I22" s="2" t="inlineStr">
        <is>
          <t>Infrastructure Malta; Government of Malta</t>
        </is>
      </c>
      <c r="J22" s="2" t="inlineStr">
        <is>
          <t>Paraphrase: locate quote</t>
        </is>
      </c>
      <c r="K22" s="2" t="inlineStr">
        <is>
          <t>Low</t>
        </is>
      </c>
      <c r="L22" s="2" t="inlineStr">
        <is>
          <t>Queue</t>
        </is>
      </c>
      <c r="M22" s="2" t="inlineStr">
        <is>
          <t>Lead, not a statement: no current claim found (5 Oct 2026; the tunnel was shelved in 2022). Taken off the worker queue by the maintainer; intake may replace it if a fixed link is proposed again.</t>
        </is>
      </c>
      <c r="N22" s="2" t="inlineStr">
        <is>
          <t>Not started</t>
        </is>
      </c>
      <c r="O22" s="2" t="n"/>
      <c r="P22" s="2" t="n">
        <v>4</v>
      </c>
      <c r="Q22" s="2" t="inlineStr"/>
      <c r="R22" s="2" t="n"/>
      <c r="S22" s="2" t="n"/>
      <c r="T22" s="2" t="n"/>
      <c r="U22" s="2" t="inlineStr">
        <is>
          <t>Ferries &amp; Gozo links</t>
        </is>
      </c>
      <c r="V22" s="2" t="inlineStr"/>
      <c r="W22" s="2" t="n"/>
      <c r="X22" s="2" t="inlineStr"/>
      <c r="Y22" s="2" t="n"/>
      <c r="Z22" s="2" t="n"/>
      <c r="AA22" s="2" t="n"/>
      <c r="AB22" s="2" t="n"/>
      <c r="AC22" s="5" t="inlineStr">
        <is>
          <t>https://leandergrech.github.io/Mizien/claims/CC-021/</t>
        </is>
      </c>
    </row>
    <row r="23">
      <c r="A23" s="2" t="inlineStr">
        <is>
          <t>CC-022</t>
        </is>
      </c>
      <c r="B23" s="2" t="inlineStr">
        <is>
          <t>Climate &amp; Energy</t>
        </is>
      </c>
      <c r="C23" s="2" t="inlineStr">
        <is>
          <t>'Lowest electricity burden in the EU'</t>
        </is>
      </c>
      <c r="D23" s="2" t="inlineStr">
        <is>
          <t>Energy Ministry (press release, 6 May 2025): Malta has the lowest household electricity prices in the EU in purchasing power standards (14.33 PPS per 100 kWh, 2024-S2), the third-lowest nominal price (EUR 0.131), and 'the burden on Maltese families is the lowest in the EU'.</t>
        </is>
      </c>
      <c r="E23" s="2" t="inlineStr">
        <is>
          <t>Eurostat nrg_pc_204 confirms every figure for the standard household band (2,500-4,999 kWh): Malta 14.35 PPS/100 kWh in 2024-S2, lowest of 27; EUR 0.1303, third lowest; CZ 41.00, CY 35.70, DE 35.23 PPS. In other bands Malta is not the cheapest (2024-S2: 3rd for 1,000-2,499 kWh, 2nd for 5,000-14,999 kWh, 16th under 1,000 kWh, 23rd of 27 at 15,000 kWh or more; 4th of 26 on the all-band average). Malta's price -0.2% 2020-25 vs EU +35%; EUR 0.169 to 0.125 per kWh in 2014, 0.125-0.133 since. Fixed electricity and fuel prices are financed by energy subsidies of 1.8% of GDP (2022) to 0.8% (2025, projected), about EUR 1.0bn 2022-2025 (IMF CR 26/29; electricity and fuel together, electricity share not published). Against income (v1.2): a 3,750 kWh bill at the 2024 band-DC price is 2.2% of median equivalised income (EU 4.7%), 2nd of 27 after Luxembourg, and 3.5% of the 20th-percentile income (EU 7.3%), also 2nd; the average household's actual bill (4,617 kWh, 21st of 27 on use; a fifth for space cooling) is 1.26% of disposable income per household (EU 1.91%), 5th of 26; electricity's share of spending 2.3% in 2020 (joint 7th of 24). Energy poverty below the EU average but not the lowest: arrears 4.5% vs 7.0% (9th of 27); unable to keep warm 7.6% vs 8.8% (17th of 27).</t>
        </is>
      </c>
      <c r="F23" s="2" t="inlineStr">
        <is>
          <t>Eurostat nrg_pc_204 (EUR, PPS), nrg_pc_204_v, ilc_di03, ilc_di01, nrg_d_hhq, lfst_hhnhtych, nasa_10_nf_tr, hbs_str_t211, ilc_mdes01, ilc_mdes07, ilc_hcmp03; IMF CR 26/29 energy subsidies.</t>
        </is>
      </c>
      <c r="G23" s="2" t="inlineStr">
        <is>
          <t>Done: Claim Check 022 report and flyer.</t>
        </is>
      </c>
      <c r="H23" s="2" t="inlineStr"/>
      <c r="I23" s="2" t="inlineStr">
        <is>
          <t>Ministry for the Environment, Energy and Public Cleanliness</t>
        </is>
      </c>
      <c r="J23" s="2" t="inlineStr">
        <is>
          <t>Verbatim found</t>
        </is>
      </c>
      <c r="K23" s="2" t="inlineStr">
        <is>
          <t>Medium</t>
        </is>
      </c>
      <c r="L23" s="2" t="inlineStr">
        <is>
          <t>Done (v1.2)</t>
        </is>
      </c>
      <c r="M23" s="2" t="inlineStr">
        <is>
          <t>No right of reply needed (verdict Largely supported; a reply is sought only for Not substantiated, Misleading or Contradicted). IMF subsidy series includes fuel; 2025 projected. The release measures 'burden' by price only; v1.2 adds income- and use-based measures (Malta 2nd to 7th, not 1st). Confidence lowered from High to Moderate (maintainer decision, 5 Oct 2026), because the income measures mix survey and national-accounts sources, some provisional.</t>
        </is>
      </c>
      <c r="N23" s="2" t="inlineStr">
        <is>
          <t>Drafted</t>
        </is>
      </c>
      <c r="O23" s="2" t="n"/>
      <c r="P23" s="2" t="n">
        <v>4</v>
      </c>
      <c r="Q23" s="2" t="inlineStr">
        <is>
          <t>Report v1.2; verdict Largely supported (moderate); no right of reply needed.</t>
        </is>
      </c>
      <c r="R23" s="2" t="inlineStr">
        <is>
          <t>Largely supported</t>
        </is>
      </c>
      <c r="S23" s="2" t="inlineStr">
        <is>
          <t>Moderate</t>
        </is>
      </c>
      <c r="T23" s="2" t="n"/>
      <c r="U23" s="2" t="inlineStr">
        <is>
          <t>Electricity &amp; grid</t>
        </is>
      </c>
      <c r="V23" s="2" t="inlineStr">
        <is>
          <t>2025-05-06</t>
        </is>
      </c>
      <c r="W23" s="2" t="inlineStr">
        <is>
          <t>1.2</t>
        </is>
      </c>
      <c r="X23" s="2" t="inlineStr">
        <is>
          <t>2026-10-05</t>
        </is>
      </c>
      <c r="Y23" s="2" t="inlineStr">
        <is>
          <t>B</t>
        </is>
      </c>
      <c r="Z23" s="2" t="inlineStr">
        <is>
          <t>1</t>
        </is>
      </c>
      <c r="AA23" s="2" t="inlineStr">
        <is>
          <t>2026-10-04</t>
        </is>
      </c>
      <c r="AB23" s="2" t="inlineStr"/>
      <c r="AC23" s="5" t="inlineStr">
        <is>
          <t>https://leandergrech.github.io/Mizien/claims/CC-022/</t>
        </is>
      </c>
    </row>
    <row r="24">
      <c r="A24" s="2" t="inlineStr">
        <is>
          <t>CC-023</t>
        </is>
      </c>
      <c r="B24" s="2" t="inlineStr">
        <is>
          <t>Climate &amp; Energy</t>
        </is>
      </c>
      <c r="C24" s="2" t="inlineStr">
        <is>
          <t>Second interconnector by 2026</t>
        </is>
      </c>
      <c r="D24" s="2" t="inlineStr">
        <is>
          <t>Government of Malta: the second electricity interconnector to Sicily is on track to be completed by 2026 and will let Malta tap renewable energy on the European grid.</t>
        </is>
      </c>
      <c r="E24" s="2" t="inlineStr">
        <is>
          <t>The NECP (Dec 2024) commits to commissioning by 2030; the completion date and the share of imported renewable power are testable.</t>
        </is>
      </c>
      <c r="F24" s="2" t="inlineStr">
        <is>
          <t>Interconnect Malta project milestones; NECP; ENTSO-E.</t>
        </is>
      </c>
      <c r="G24" s="2" t="inlineStr">
        <is>
          <t>A specific, attributable statement that public data can test.</t>
        </is>
      </c>
      <c r="H24" s="2" t="inlineStr"/>
      <c r="I24" s="2" t="inlineStr">
        <is>
          <t>Government of Malta; Interconnect Malta</t>
        </is>
      </c>
      <c r="J24" s="2" t="inlineStr">
        <is>
          <t>Paraphrase: locate quote</t>
        </is>
      </c>
      <c r="K24" s="2" t="inlineStr">
        <is>
          <t>Medium</t>
        </is>
      </c>
      <c r="L24" s="2" t="inlineStr">
        <is>
          <t>Queue</t>
        </is>
      </c>
      <c r="M24" s="2" t="inlineStr">
        <is>
          <t>Candidate from the 4 Oct 2026 intake: wording paraphrased from a locator source; read the primary text before any report.</t>
        </is>
      </c>
      <c r="N24" s="2" t="inlineStr">
        <is>
          <t>In progress</t>
        </is>
      </c>
      <c r="O24" s="2" t="n"/>
      <c r="P24" s="2" t="n">
        <v>0</v>
      </c>
      <c r="Q24" s="2" t="inlineStr">
        <is>
          <t>Worker A, attempt 1 (2026-10-04): source: 'on track by 2026' wording not found (Newsbook 5 Jul 2021 has Dalli saying 2025; need dated primary statement)</t>
        </is>
      </c>
      <c r="R24" s="2" t="n"/>
      <c r="S24" s="2" t="n"/>
      <c r="T24" s="2" t="n"/>
      <c r="U24" s="2" t="inlineStr">
        <is>
          <t>Electricity &amp; grid</t>
        </is>
      </c>
      <c r="V24" s="2" t="inlineStr"/>
      <c r="W24" s="2" t="n"/>
      <c r="X24" s="2" t="inlineStr"/>
      <c r="Y24" s="2" t="inlineStr">
        <is>
          <t>A</t>
        </is>
      </c>
      <c r="Z24" s="2" t="inlineStr">
        <is>
          <t>1</t>
        </is>
      </c>
      <c r="AA24" s="2" t="inlineStr">
        <is>
          <t>2026-10-04</t>
        </is>
      </c>
      <c r="AB24" s="2" t="inlineStr">
        <is>
          <t>source: 'on track by 2026' wording not found (Newsbook 5 Jul 2021 has Dalli saying 2025; need dated primary statement)</t>
        </is>
      </c>
      <c r="AC24" s="5" t="inlineStr">
        <is>
          <t>https://leandergrech.github.io/Mizien/claims/CC-023/</t>
        </is>
      </c>
    </row>
    <row r="25">
      <c r="A25" s="2" t="inlineStr">
        <is>
          <t>CC-024</t>
        </is>
      </c>
      <c r="B25" s="2" t="inlineStr">
        <is>
          <t>Climate &amp; Energy</t>
        </is>
      </c>
      <c r="C25" s="2" t="inlineStr">
        <is>
          <t>Renewables target for 2030</t>
        </is>
      </c>
      <c r="D25" s="2" t="inlineStr">
        <is>
          <t>Malta's final updated National Energy and Climate Plan (December 2024) says it will increase the renewable-energy contribution from 11.5% to 25% "through multiple initiatives to focus on more diversification in onshore and offshore technologies" (summary table, p. 22), and projects 24.5% of gross final energy consumption in 2030 (pp. 82-83).</t>
        </is>
      </c>
      <c r="E25" s="2" t="inlineStr">
        <is>
          <t>The plan itself gives three figures: 11.5% (the earlier contribution), 25% (summary ambition) and 24.5% (projection). Its projection counts no offshore wind (p. 83); its summary lists offshore technologies among the means (p. 22). Malta's share was 17.2% in 2024 (Eurostat) against 15.5% on the plan's path, 18.8% provisional for 2025 (plan 16.5%; Commission reference point 18%); the rise is in heating and cooling (23.0% to 59.2% of sector use, 2020-2024), while electricity moved 9.5% to 10.7%. The Commission finds the plan's 2025 and 2027 points (16.5%, 20.7%) below its reference points (18%, 22%), 24.5% below the 28% formula result, and PV support unquantified. The heating and cooling jump may owe much to the Commission's counting rule for air-to-air heat pumps; the effect cannot be split. PV: the plan's own figures (241 MWp end-2023, p. 74; 350 MWp by 2030, p. 84) imply about 15.6 MWp a year (second-hand NSO 2024 data: 252.3 MWp, 11.5 MWp net added; context only).</t>
        </is>
      </c>
      <c r="F25" s="2" t="inlineStr">
        <is>
          <t>NECP text; Eurostat nrg_ind_ren; Commission assessment SWD(2025) 140; NSO PV capacity.</t>
        </is>
      </c>
      <c r="G25" s="2" t="inlineStr">
        <is>
          <t>Done: Claim Check 024 report and flyer.</t>
        </is>
      </c>
      <c r="H25" s="2" t="inlineStr"/>
      <c r="I25" s="2" t="inlineStr">
        <is>
          <t>Government of Malta (NECP 2021-2030, updated)</t>
        </is>
      </c>
      <c r="J25" s="2" t="inlineStr">
        <is>
          <t>Verbatim found</t>
        </is>
      </c>
      <c r="K25" s="2" t="inlineStr">
        <is>
          <t>High</t>
        </is>
      </c>
      <c r="L25" s="2" t="inlineStr">
        <is>
          <t>Done (v1.1)</t>
        </is>
      </c>
      <c r="M25" s="2" t="inlineStr">
        <is>
          <t>The claim record's earlier wording was the intake's paraphrase (solar PV and offshore wind); it is not rated. The check rates the plan's own sentences (p. 22; pp. 82-83). The 2019 NECP (source of the 11.5%) was not read. NSO PV figures are second-hand (nso.gov.mt returns 403), context only, and decide no rating; the kWh per kWp yield divides by end-year capacity and understates yield. Eurostat's 2025 value is provisional. Points of share per technology cannot be tested: the plan gives no breakdown. The heating and cooling jump may owe much to the Commission's counting rule for air-to-air heat pumps; the effect cannot be split. Pledge made_on is 7 January 2025 (submission to the Commission); the plan is dated December 2024 and the claim date keeps that. Pledge label On track means on the plan's own path only; the Commission finds the plan's 2025 and 2027 points below its reference points (18%, 22%) and the 24.5% below its 28% formula. Pending right of reply (Not substantiated).</t>
        </is>
      </c>
      <c r="N25" s="2" t="inlineStr">
        <is>
          <t>Drafted</t>
        </is>
      </c>
      <c r="O25" s="2" t="n"/>
      <c r="P25" s="2" t="n">
        <v>1</v>
      </c>
      <c r="Q25" s="2" t="inlineStr">
        <is>
          <t>Report v1.1; verdict Not substantiated (moderate); pledge On track; right of reply to send (draft; not for circulation before the deadline).</t>
        </is>
      </c>
      <c r="R25" s="2" t="inlineStr">
        <is>
          <t>Not substantiated</t>
        </is>
      </c>
      <c r="S25" s="2" t="inlineStr">
        <is>
          <t>Moderate</t>
        </is>
      </c>
      <c r="T25" s="2" t="inlineStr">
        <is>
          <t>On track</t>
        </is>
      </c>
      <c r="U25" s="2" t="inlineStr">
        <is>
          <t>Renewables</t>
        </is>
      </c>
      <c r="V25" s="2" t="inlineStr">
        <is>
          <t>2024-12</t>
        </is>
      </c>
      <c r="W25" s="2" t="inlineStr">
        <is>
          <t>1.1</t>
        </is>
      </c>
      <c r="X25" s="2" t="inlineStr">
        <is>
          <t>2026-10-06</t>
        </is>
      </c>
      <c r="Y25" s="2" t="inlineStr">
        <is>
          <t>B</t>
        </is>
      </c>
      <c r="Z25" s="2" t="inlineStr">
        <is>
          <t>1</t>
        </is>
      </c>
      <c r="AA25" s="2" t="inlineStr">
        <is>
          <t>2026-10-05</t>
        </is>
      </c>
      <c r="AB25" s="2" t="inlineStr"/>
      <c r="AC25" s="5" t="inlineStr">
        <is>
          <t>https://leandergrech.github.io/Mizien/claims/CC-024/</t>
        </is>
      </c>
    </row>
    <row r="26">
      <c r="A26" s="2" t="inlineStr">
        <is>
          <t>CC-025</t>
        </is>
      </c>
      <c r="B26" s="2" t="inlineStr">
        <is>
          <t>Climate &amp; Energy</t>
        </is>
      </c>
      <c r="C26" s="2" t="inlineStr">
        <is>
          <t>Per-capita emissions down 44% since 2005</t>
        </is>
      </c>
      <c r="D26" s="2" t="inlineStr">
        <is>
          <t>Government of Malta (COP30 national statement): Malta has reduced per-capita emissions by over 44% since 2005 and emissions per unit of GDP by more than 80%.</t>
        </is>
      </c>
      <c r="E26" s="2" t="inlineStr">
        <is>
          <t>More than 80% per unit of GDP holds only at current prices (-82% to 2023, -84% to 2024). In chain-linked volumes the fall is -70% (2023) and -72% (2024); no year reaches -80%. The gap is a price effect (Malta GDP deflator +72% since 2005). The per-person fall (-46% / -48.5%) is the figure CC-003 checked; about half is population growth, total emissions fell 27% (EU 33%) and have risen 18% since the 2016 low. In the statement's favour: real GDP +161% with total emissions -27% is absolute decoupling, and Malta's fall exceeds the EU's on both intensity bases. On the residence basis (env_ac_ainah_r2: Malta-resident units, including international aviation fuel bought abroad) per-person emissions rose 69% from 2013 to 2024, rank 27 of 27 (EU-27 -21%); the claim's figures hold on the territorial (UNFCCC) basis (the statement names none), so this is context (CC-114).</t>
        </is>
      </c>
      <c r="F26" s="2" t="inlineStr">
        <is>
          <t>Eurostat env_air_gge, nama_10_gdp (current prices and chain-linked volumes) and nama_10_pe for Malta and the EU-27, recomputed with tools/cc-025-report/calc.py; CC-003 for the per-person figure.</t>
        </is>
      </c>
      <c r="G26" s="2" t="inlineStr">
        <is>
          <t>Done: Claim Check 025 report and flyer.</t>
        </is>
      </c>
      <c r="H26" s="2" t="inlineStr">
        <is>
          <t>Selective metric</t>
        </is>
      </c>
      <c r="I26" s="2" t="inlineStr">
        <is>
          <t>Government of Malta</t>
        </is>
      </c>
      <c r="J26" s="2" t="inlineStr">
        <is>
          <t>Verbatim found</t>
        </is>
      </c>
      <c r="K26" s="2" t="inlineStr">
        <is>
          <t>Medium</t>
        </is>
      </c>
      <c r="L26" s="2" t="inlineStr">
        <is>
          <t>Done (v1.1)</t>
        </is>
      </c>
      <c r="M26" s="2" t="inlineStr">
        <is>
          <t>The wording is the paragraph supplied by the maintainer; our own download of the UNFCCC file was refused by a bot check, so it is not independently verified, and the rest of the statement may add context. The statement gives no year, scope or GDP basis; the choice of 2023 and 2024 is the report's assumption. A roughly ten-point overstatement on the usual (volumes) basis is a minor caveat because the 44% figure is right, the decoupling holds and current prices are a computable basis. On the residence basis (Eurostat air emissions accounts, env_ac_ainah_r2: Malta-resident units, including international aviation fuel bought abroad) per-person emissions rose 69% from 2013 to 2024, the largest rise of the 27 Member States (EU-27 -21%); the Government's figures hold on the territorial (UNFCCC) basis, though the statement names none, so this is context, not a contradiction (see CC-114, which differs because it draws a causal inference the data contradict). Largely supported: no right of reply needed. The speaker is attributed to the Government of Malta; the person who read the statement is not named in the document.</t>
        </is>
      </c>
      <c r="N26" s="2" t="inlineStr">
        <is>
          <t>Drafted</t>
        </is>
      </c>
      <c r="O26" s="2" t="n"/>
      <c r="P26" s="2" t="n">
        <v>4</v>
      </c>
      <c r="Q26" s="2" t="inlineStr">
        <is>
          <t>Report v1.2; verdict Largely supported (moderate); no right of reply needed.</t>
        </is>
      </c>
      <c r="R26" s="2" t="inlineStr">
        <is>
          <t>Largely supported</t>
        </is>
      </c>
      <c r="S26" s="2" t="inlineStr">
        <is>
          <t>Moderate</t>
        </is>
      </c>
      <c r="T26" s="2" t="n"/>
      <c r="U26" s="2" t="inlineStr">
        <is>
          <t>Emissions &amp; targets</t>
        </is>
      </c>
      <c r="V26" s="2" t="inlineStr">
        <is>
          <t>2025-11</t>
        </is>
      </c>
      <c r="W26" s="2" t="inlineStr">
        <is>
          <t>1.2</t>
        </is>
      </c>
      <c r="X26" s="2" t="inlineStr">
        <is>
          <t>2026-10-06</t>
        </is>
      </c>
      <c r="Y26" s="2" t="inlineStr">
        <is>
          <t>A</t>
        </is>
      </c>
      <c r="Z26" s="2" t="inlineStr">
        <is>
          <t>1</t>
        </is>
      </c>
      <c r="AA26" s="2" t="inlineStr">
        <is>
          <t>2026-10-05</t>
        </is>
      </c>
      <c r="AB26" s="2" t="inlineStr"/>
      <c r="AC26" s="5" t="inlineStr">
        <is>
          <t>https://leandergrech.github.io/Mizien/claims/CC-025/</t>
        </is>
      </c>
    </row>
    <row r="27">
      <c r="A27" s="2" t="inlineStr">
        <is>
          <t>CC-026</t>
        </is>
      </c>
      <c r="B27" s="2" t="inlineStr">
        <is>
          <t>Climate &amp; Energy</t>
        </is>
      </c>
      <c r="C27" s="2" t="inlineStr">
        <is>
          <t>EU's largest rise in emissions</t>
        </is>
      </c>
      <c r="D27" s="2" t="inlineStr">
        <is>
          <t>Newsbook, reporting Eurostat: Malta recorded the EU's largest rise in greenhouse gas emissions, an estimated 169.4% between 2015 and 2025.</t>
        </is>
      </c>
      <c r="E27" s="2" t="inlineStr">
        <is>
          <t>Eurostat's air emissions accounts follow the residence principle (emissions of resident units wherever they occur); air transport rose from 444 to 4,730 kt CO2e in 2015-2024 and is 98.6% of the increase. The territorial inventory (UNFCCC) rose 1.6% in 2015-2024 and is 27% below 2005. Malta excluding air transport +2.9%.</t>
        </is>
      </c>
      <c r="F27" s="2" t="inlineStr">
        <is>
          <t>Eurostat env_ac_ainah_r2 vs UNFCCC inventory; aviation share.</t>
        </is>
      </c>
      <c r="G27" s="2" t="inlineStr">
        <is>
          <t>Done: Claim Check 026 report and flyer.</t>
        </is>
      </c>
      <c r="H27" s="2" t="inlineStr">
        <is>
          <t>Selective metric</t>
        </is>
      </c>
      <c r="I27" s="2" t="inlineStr">
        <is>
          <t>Newsbook (reporting Eurostat)</t>
        </is>
      </c>
      <c r="J27" s="2" t="inlineStr">
        <is>
          <t>Verbatim found</t>
        </is>
      </c>
      <c r="K27" s="2" t="inlineStr">
        <is>
          <t>High</t>
        </is>
      </c>
      <c r="L27" s="2" t="inlineStr">
        <is>
          <t>Done (v1.0)</t>
        </is>
      </c>
      <c r="M27" s="2" t="inlineStr">
        <is>
          <t>No right of reply needed (verdict Largely supported; a reply is sought only for Not substantiated, Misleading or Contradicted). The figure reports a Eurostat estimate on the residence principle; the territorial inventory shows +1.6% (2015-2024). 2025 is an early estimate. Central Bank of Malta report not read (second-hand). No operator is assessed. The Newsbook page was not reachable on 6 Oct 2026 (connection refused, Wayback blocked); its date of 18 Jun 2026 is corroborated by the Malta News Agency copy dated 18 Jun 2026 and by search results, and the author (Damian Micallef) is as recorded when the article was read in full on 5 Oct 2026.</t>
        </is>
      </c>
      <c r="N27" s="2" t="inlineStr">
        <is>
          <t>Drafted</t>
        </is>
      </c>
      <c r="O27" s="2" t="n"/>
      <c r="P27" s="2" t="n">
        <v>5</v>
      </c>
      <c r="Q27" s="2" t="inlineStr">
        <is>
          <t>Report v1.1; verdict Largely supported (high); no right of reply needed.</t>
        </is>
      </c>
      <c r="R27" s="2" t="inlineStr">
        <is>
          <t>Largely supported</t>
        </is>
      </c>
      <c r="S27" s="2" t="inlineStr">
        <is>
          <t>High</t>
        </is>
      </c>
      <c r="T27" s="2" t="n"/>
      <c r="U27" s="2" t="inlineStr">
        <is>
          <t>Emissions &amp; targets</t>
        </is>
      </c>
      <c r="V27" s="2" t="inlineStr">
        <is>
          <t>2026-06-18</t>
        </is>
      </c>
      <c r="W27" s="2" t="inlineStr">
        <is>
          <t>1.1</t>
        </is>
      </c>
      <c r="X27" s="2" t="inlineStr">
        <is>
          <t>2026-10-06</t>
        </is>
      </c>
      <c r="Y27" s="2" t="inlineStr">
        <is>
          <t>B</t>
        </is>
      </c>
      <c r="Z27" s="2" t="inlineStr">
        <is>
          <t>1</t>
        </is>
      </c>
      <c r="AA27" s="2" t="inlineStr">
        <is>
          <t>2026-10-05</t>
        </is>
      </c>
      <c r="AB27" s="2" t="inlineStr"/>
      <c r="AC27" s="5" t="inlineStr">
        <is>
          <t>https://leandergrech.github.io/Mizien/claims/CC-026/</t>
        </is>
      </c>
    </row>
    <row r="28">
      <c r="A28" s="2" t="inlineStr">
        <is>
          <t>CC-027</t>
        </is>
      </c>
      <c r="B28" s="2" t="inlineStr">
        <is>
          <t>Climate &amp; Energy</t>
        </is>
      </c>
      <c r="C28" s="2" t="inlineStr">
        <is>
          <t>Power cuts: heat, not generation</t>
        </is>
      </c>
      <c r="D28" s="2" t="inlineStr">
        <is>
          <t>Energy Minister Miriam Dalli and PM Robert Abela (21 July 2026): the widespread power cuts were caused by extreme heat and record demand straining the distribution network, not by a lack of generation capacity; EUR 161 million had been invested since 2022.</t>
        </is>
      </c>
      <c r="E28" s="2" t="inlineStr">
        <is>
          <t>Reported peak medium-voltage demand: 663 MW (Jul 2023) and 741 MW in the July 2026 heatwave (to verify against Enemalta data).</t>
        </is>
      </c>
      <c r="F28" s="2" t="inlineStr">
        <is>
          <t>Enemalta peak-load and fault logs; investment records.</t>
        </is>
      </c>
      <c r="G28" s="2" t="inlineStr">
        <is>
          <t>A specific, attributable statement that public data can test.</t>
        </is>
      </c>
      <c r="H28" s="2" t="inlineStr"/>
      <c r="I28" s="2" t="inlineStr">
        <is>
          <t>Miriam Dalli, Energy Minister; Robert Abela, Prime Minister</t>
        </is>
      </c>
      <c r="J28" s="2" t="inlineStr">
        <is>
          <t>Paraphrase: locate quote</t>
        </is>
      </c>
      <c r="K28" s="2" t="inlineStr">
        <is>
          <t>Medium</t>
        </is>
      </c>
      <c r="L28" s="2" t="inlineStr">
        <is>
          <t>Queue</t>
        </is>
      </c>
      <c r="M28" s="2" t="inlineStr">
        <is>
          <t>Candidate from the 4 Oct 2026 intake: wording paraphrased from a locator source; read the primary text before any report.</t>
        </is>
      </c>
      <c r="N28" s="2" t="inlineStr">
        <is>
          <t>In progress</t>
        </is>
      </c>
      <c r="O28" s="2" t="n"/>
      <c r="P28" s="2" t="n">
        <v>3</v>
      </c>
      <c r="Q28" s="2" t="inlineStr">
        <is>
          <t>Worker C, attempt 1 (2026-10-05): source: statements are of 21 Jul 2026 (not 2024) and are reported only as indirect speech (TVM News interview with Abela; Lovin Malta on Dalli); needs a transcript of the TVM interview or a press release; tried: Lovin Malta, TVM News, Newsbook, search</t>
        </is>
      </c>
      <c r="R28" s="2" t="n"/>
      <c r="S28" s="2" t="n"/>
      <c r="T28" s="2" t="n"/>
      <c r="U28" s="2" t="inlineStr">
        <is>
          <t>Electricity &amp; grid</t>
        </is>
      </c>
      <c r="V28" s="2" t="inlineStr">
        <is>
          <t>2026-07-21</t>
        </is>
      </c>
      <c r="W28" s="2" t="n"/>
      <c r="X28" s="2" t="inlineStr"/>
      <c r="Y28" s="2" t="inlineStr">
        <is>
          <t>C</t>
        </is>
      </c>
      <c r="Z28" s="2" t="inlineStr">
        <is>
          <t>1</t>
        </is>
      </c>
      <c r="AA28" s="2" t="inlineStr">
        <is>
          <t>2026-10-05</t>
        </is>
      </c>
      <c r="AB28" s="2" t="inlineStr">
        <is>
          <t>source: statements are of 21 Jul 2026 (not 2024) and are reported only as indirect speech (TVM News interview with Abela; Lovin Malta on Dalli); needs a transcript of the TVM interview or a press release; tried: Lovin Malta, TVM News, Newsbook, search</t>
        </is>
      </c>
      <c r="AC28" s="5" t="inlineStr">
        <is>
          <t>https://leandergrech.github.io/Mizien/claims/CC-027/</t>
        </is>
      </c>
    </row>
    <row r="29">
      <c r="A29" s="2" t="inlineStr">
        <is>
          <t>CC-028</t>
        </is>
      </c>
      <c r="B29" s="2" t="inlineStr">
        <is>
          <t>Climate &amp; Energy</t>
        </is>
      </c>
      <c r="C29" s="2" t="inlineStr">
        <is>
          <t>76% less network downtime</t>
        </is>
      </c>
      <c r="D29" s="2" t="inlineStr">
        <is>
          <t>Enemalta: network downtime fell by 76% after its investment programme, days after outages left thousands without power.</t>
        </is>
      </c>
      <c r="E29" s="2" t="inlineStr">
        <is>
          <t>Metric and base period not given in the report; outages continued in later heatwaves.</t>
        </is>
      </c>
      <c r="F29" s="2" t="inlineStr">
        <is>
          <t>Enemalta SAIDI/SAIFI series; regulator (REWS) reports.</t>
        </is>
      </c>
      <c r="G29" s="2" t="inlineStr">
        <is>
          <t>A specific, attributable statement that public data can test.</t>
        </is>
      </c>
      <c r="H29" s="2" t="inlineStr"/>
      <c r="I29" s="2" t="inlineStr">
        <is>
          <t>Enemalta</t>
        </is>
      </c>
      <c r="J29" s="2" t="inlineStr">
        <is>
          <t>Paraphrase: locate quote</t>
        </is>
      </c>
      <c r="K29" s="2" t="inlineStr">
        <is>
          <t>Medium</t>
        </is>
      </c>
      <c r="L29" s="2" t="inlineStr">
        <is>
          <t>Queue</t>
        </is>
      </c>
      <c r="M29" s="2" t="inlineStr">
        <is>
          <t>Candidate from the 4 Oct 2026 intake: wording paraphrased from a locator source; read the primary text before any report.</t>
        </is>
      </c>
      <c r="N29" s="2" t="inlineStr">
        <is>
          <t>In progress</t>
        </is>
      </c>
      <c r="O29" s="2" t="n"/>
      <c r="P29" s="2" t="n">
        <v>0</v>
      </c>
      <c r="Q29" s="2" t="inlineStr">
        <is>
          <t>Worker A, attempt 1 (2026-10-05): source: Enemalta's 76% wording not in quotation marks in any readable outlet (Newsbook, TVMnews paraphrase; only 'investing ahead of demand delivers tangible benefits' is quoted); no press release on enemalta.com.mt; MaltaToday 403</t>
        </is>
      </c>
      <c r="R29" s="2" t="n"/>
      <c r="S29" s="2" t="n"/>
      <c r="T29" s="2" t="n"/>
      <c r="U29" s="2" t="inlineStr">
        <is>
          <t>Electricity &amp; grid</t>
        </is>
      </c>
      <c r="V29" s="2" t="inlineStr"/>
      <c r="W29" s="2" t="n"/>
      <c r="X29" s="2" t="inlineStr"/>
      <c r="Y29" s="2" t="inlineStr">
        <is>
          <t>A</t>
        </is>
      </c>
      <c r="Z29" s="2" t="inlineStr">
        <is>
          <t>1</t>
        </is>
      </c>
      <c r="AA29" s="2" t="inlineStr">
        <is>
          <t>2026-10-05</t>
        </is>
      </c>
      <c r="AB29" s="2" t="inlineStr">
        <is>
          <t>source: Enemalta's 76% wording not in quotation marks in any readable outlet (Newsbook, TVMnews paraphrase; only 'investing ahead of demand delivers tangible benefits' is quoted); no press release on enemalta.com.mt; MaltaToday 403</t>
        </is>
      </c>
      <c r="AC29" s="5" t="inlineStr">
        <is>
          <t>https://leandergrech.github.io/Mizien/claims/CC-028/</t>
        </is>
      </c>
    </row>
    <row r="30">
      <c r="A30" s="2" t="inlineStr">
        <is>
          <t>CC-029</t>
        </is>
      </c>
      <c r="B30" s="2" t="inlineStr">
        <is>
          <t>Climate &amp; Energy</t>
        </is>
      </c>
      <c r="C30" s="2" t="inlineStr">
        <is>
          <t>First offshore wind farm</t>
        </is>
      </c>
      <c r="D30" s="2" t="inlineStr">
        <is>
          <t>Energy Ministry (22 Jul 2025): Malta's first floating offshore wind farm, of approximately 300 MW, will be located beyond Malta's territorial waters; three submissions were received to the first (qualification) stage; the plan was to inform candidates who qualify for the next phase by the first part of 2026.</t>
        </is>
      </c>
      <c r="E30" s="2" t="inlineStr">
        <is>
          <t>No public notice found that qualifying candidates were informed, or that the dialogue stage was issued, by 6 Oct 2026: none of the 22 posts ICM published between 1 Jun 2025 and 3 Oct 2026 (website post list) and nothing on its tenders page; web searches found none (log in literature/CC-029/notes.md). ICM issued a EUR 3.6 million metocean tender on 22 Apr 2026 for two years of site data. MaltaToday (4 Aug 2025, read via the Internet Archive; live page 403) reports the minister, answering a parliamentary question, putting the dialogue stage around April 2026 and contractor selection towards the end of 2027. A private notice cannot be excluded.</t>
        </is>
      </c>
      <c r="F30" s="2" t="inlineStr">
        <is>
          <t>Tender notices; Interconnect Malta updates; NECP wind assumptions.</t>
        </is>
      </c>
      <c r="G30" s="2" t="inlineStr">
        <is>
          <t>A specific, attributable statement that public data can test.</t>
        </is>
      </c>
      <c r="H30" s="2" t="inlineStr">
        <is>
          <t>Promise-without-baseline</t>
        </is>
      </c>
      <c r="I30" s="2" t="inlineStr">
        <is>
          <t>Energy Ministry (Minister Miriam Dalli); Interconnect Malta</t>
        </is>
      </c>
      <c r="J30" s="2" t="inlineStr">
        <is>
          <t>Verbatim found</t>
        </is>
      </c>
      <c r="K30" s="2" t="inlineStr">
        <is>
          <t>Medium</t>
        </is>
      </c>
      <c r="L30" s="2" t="inlineStr">
        <is>
          <t>Done (v1.0)</t>
        </is>
      </c>
      <c r="M30" s="2" t="inlineStr">
        <is>
          <t>Mixed check: the facts (capacity, position, three submissions, output) are rated; the timetable is a pledge rated Off track (as of 6 Oct 2026) on the absence of a public notice, not on a statement that the step was missed. The ministry's own release was refused to scripts: the statement is read via TVM News and Newsbook; only the minister's words are in quotation marks. Tender documents and the NECP offshore wind assumption were not read. Pledge label Off track: pending right of reply. Absence of a notice rests on ICM's public post list (22 posts from 1 Jun 2025), its tenders page and web searches.</t>
        </is>
      </c>
      <c r="N30" s="2" t="inlineStr">
        <is>
          <t>Drafted</t>
        </is>
      </c>
      <c r="O30" s="2" t="n"/>
      <c r="P30" s="2" t="n">
        <v>0</v>
      </c>
      <c r="Q30" s="2" t="inlineStr">
        <is>
          <t>Report v1.1; verdict Largely supported (moderate); pledge Off track; right of reply to send (draft; not for circulation before the deadline).</t>
        </is>
      </c>
      <c r="R30" s="2" t="inlineStr">
        <is>
          <t>Largely supported</t>
        </is>
      </c>
      <c r="S30" s="2" t="inlineStr">
        <is>
          <t>Moderate</t>
        </is>
      </c>
      <c r="T30" s="2" t="inlineStr">
        <is>
          <t>Off track</t>
        </is>
      </c>
      <c r="U30" s="2" t="inlineStr">
        <is>
          <t>Renewables</t>
        </is>
      </c>
      <c r="V30" s="2" t="inlineStr">
        <is>
          <t>2025-07-22</t>
        </is>
      </c>
      <c r="W30" s="2" t="inlineStr">
        <is>
          <t>1.1</t>
        </is>
      </c>
      <c r="X30" s="2" t="inlineStr">
        <is>
          <t>2026-10-06</t>
        </is>
      </c>
      <c r="Y30" s="2" t="inlineStr">
        <is>
          <t>B</t>
        </is>
      </c>
      <c r="Z30" s="2" t="inlineStr">
        <is>
          <t>1</t>
        </is>
      </c>
      <c r="AA30" s="2" t="inlineStr">
        <is>
          <t>2026-10-06</t>
        </is>
      </c>
      <c r="AB30" s="2" t="inlineStr"/>
      <c r="AC30" s="5" t="inlineStr">
        <is>
          <t>https://leandergrech.github.io/Mizien/claims/CC-029/</t>
        </is>
      </c>
    </row>
    <row r="31">
      <c r="A31" s="2" t="inlineStr">
        <is>
          <t>CC-030</t>
        </is>
      </c>
      <c r="B31" s="2" t="inlineStr">
        <is>
          <t>Climate &amp; Energy</t>
        </is>
      </c>
      <c r="C31" s="2" t="inlineStr">
        <is>
          <t>Carbon-neutral airport</t>
        </is>
      </c>
      <c r="D31" s="2" t="inlineStr">
        <is>
          <t>Malta International Airport plc, across several of its own documents: its EUR 12.5 million Airfield Electrification Programme "is set to avoid the emission of an average of 1,000 tonnes of carbon dioxide annually" (press release, 25 May 2026); and it has reached carbon neutrality, moving up to ACA "Level 3+ (neutrality)" in 2025 (At a Glance page and company announcements, 2026; Sustainability Report 2025, p. 31), as its Facts and Figures page had set as a target ("Reaching carbon neutral status in 2025"). The 25 May release itself does not mention neutrality or ACA.</t>
        </is>
      </c>
      <c r="E31" s="2" t="inlineStr">
        <is>
          <t>v1.1: Neutrality holds as ACA defines it and is independently confirmed (ACA directory entry and notice; 3,780 of the 5,450 t of credits retired for MIA in the Gold Standard and Rainbow registries; third block not found), but covers Scope 1, Scope 2 and business travel only: 0.7% of the reported 2025 footprint (Scope 3 is 99.3%; 95.3% on the 2024 basis). The 1,000 t a year has no published method, baseline or grid treatment. On the one sourced diesel GPU rate (about 25 kg CO2 an hour; Fleuti 2006 via Padhra 2018, second-hand) it needs about 40,500 GPU-hours a year (74 min at every turnaround); a GPU at every turnaround for 22.5 min gives about 300 t gross. 1,000 t needs APU or e-bus/equipment savings MIA has not shown. Scope 1 + 2 is 22% below 2015 (target -65% by 2030); Scope 1 rose 94% in 2025 while fuel use rose 30%.</t>
        </is>
      </c>
      <c r="F31" s="2" t="inlineStr">
        <is>
          <t>ACA Level 3+ rules, directory entry and notice; Gold Standard and Rainbow registries; CINEA AFIF list of selected projects; MIA Sustainability Report 2025 (GRI 102-103 tables, reporting criteria, assurance, offset certificate); inversion of the 1,000 t against Padhra (2018) and IPCC default fuel factors (tools/cc-030-report/calc.py).</t>
        </is>
      </c>
      <c r="G31" s="2" t="inlineStr">
        <is>
          <t>A specific, attributable statement that public data can test.</t>
        </is>
      </c>
      <c r="H31" s="2" t="inlineStr">
        <is>
          <t>Promise-without-baseline</t>
        </is>
      </c>
      <c r="I31" s="2" t="inlineStr">
        <is>
          <t>Malta International Airport plc</t>
        </is>
      </c>
      <c r="J31" s="2" t="inlineStr">
        <is>
          <t>Verbatim found</t>
        </is>
      </c>
      <c r="K31" s="2" t="inlineStr">
        <is>
          <t>Medium</t>
        </is>
      </c>
      <c r="L31" s="2" t="inlineStr">
        <is>
          <t>Done (v1.1)</t>
        </is>
      </c>
      <c r="M31" s="2" t="inlineStr">
        <is>
          <t>Company-reported figures; only Scope 1 and 2 carry limited assurance (PwC Malta). ACA's directory and notice were read through the website's public interface, not the certificate; credit quality not assessed; one of three credit blocks (1,670 t, Canada) not found in the registries. The only sourced diesel GPU rate (7.74 kg of fuel an hour) is second-hand (Fleuti 2006 via Padhra 2018) and from one airport in 2004, so the 1,000 t inversion is indicative. The Malta Independent article was not readable from the cloud network.</t>
        </is>
      </c>
      <c r="N31" s="2" t="inlineStr">
        <is>
          <t>Drafted</t>
        </is>
      </c>
      <c r="O31" s="2" t="n"/>
      <c r="P31" s="2" t="n">
        <v>0</v>
      </c>
      <c r="Q31" s="2" t="inlineStr">
        <is>
          <t>Report v1.1; verdict Not substantiated (moderate); right of reply to send (draft; not for circulation before the deadline).</t>
        </is>
      </c>
      <c r="R31" s="2" t="inlineStr">
        <is>
          <t>Not substantiated</t>
        </is>
      </c>
      <c r="S31" s="2" t="inlineStr">
        <is>
          <t>Moderate</t>
        </is>
      </c>
      <c r="T31" s="2" t="n"/>
      <c r="U31" s="2" t="inlineStr">
        <is>
          <t>Emissions &amp; targets</t>
        </is>
      </c>
      <c r="V31" s="2" t="inlineStr">
        <is>
          <t>2026-05-25</t>
        </is>
      </c>
      <c r="W31" s="2" t="inlineStr">
        <is>
          <t>1.1</t>
        </is>
      </c>
      <c r="X31" s="2" t="inlineStr">
        <is>
          <t>2026-10-05</t>
        </is>
      </c>
      <c r="Y31" s="2" t="inlineStr">
        <is>
          <t>C</t>
        </is>
      </c>
      <c r="Z31" s="2" t="inlineStr">
        <is>
          <t>1</t>
        </is>
      </c>
      <c r="AA31" s="2" t="inlineStr">
        <is>
          <t>2026-10-05</t>
        </is>
      </c>
      <c r="AB31" s="2" t="inlineStr"/>
      <c r="AC31" s="5" t="inlineStr">
        <is>
          <t>https://leandergrech.github.io/Mizien/claims/CC-030/</t>
        </is>
      </c>
    </row>
    <row r="32">
      <c r="A32" s="2" t="inlineStr">
        <is>
          <t>CC-031</t>
        </is>
      </c>
      <c r="B32" s="2" t="inlineStr">
        <is>
          <t>Climate &amp; Energy</t>
        </is>
      </c>
      <c r="C32" s="2" t="inlineStr">
        <is>
          <t>Gozo, first climate-neutral region</t>
        </is>
      </c>
      <c r="D32" s="2" t="inlineStr">
        <is>
          <t>Quoted (Gozo Today, 25 Sep 2026): Gozo Minister Clint Camilleri, presenting the Gozo climate neutrality plan, said 'The plan published today is an important step to continue to realise our vision of Gozo becoming the first climate-neutral region in Malta.' Gozo Today's own paraphrase, not his quoted words: he said Gozo had already begun its transition with measures including a fully electric public transport fleet.</t>
        </is>
      </c>
      <c r="E32" s="2" t="inlineStr">
        <is>
          <t>The fleet is the operator's and government's account (TVM News); Transport Malta's fleet page was not readable. Scale check: the operator's 1.3 kt CO2 a year saving is about 2.6% of a population-proportional estimate of Gozo's road-transport emissions (Eurostat has no Gozo inventory). Malta's road-transport emissions rose 39% from 2005 to 2024 (national figure; there is no Gozo series). The plan itself, with any target year, baseline and boundary, was not obtained. Earlier sources mention 2030 for Gozo's aim (GRDA, Apr 2022, EU Mission; Greening the Islands, May 2022, its own wording), not in the minister's 2026 words.</t>
        </is>
      </c>
      <c r="F32" s="2" t="inlineStr">
        <is>
          <t>TVM News reports of the Gozo bus electrification; Eurostat env_air_gge and demo_r_pjangrp3 (scale check, tools/cc-031-report/calc.py); the plan itself (not obtained).</t>
        </is>
      </c>
      <c r="G32" s="2" t="inlineStr">
        <is>
          <t>Done: Claim Check 031 report and flyer.</t>
        </is>
      </c>
      <c r="H32" s="2" t="inlineStr">
        <is>
          <t>Promise-without-baseline</t>
        </is>
      </c>
      <c r="I32" s="2" t="inlineStr">
        <is>
          <t>Clint Camilleri, Minister for Gozo</t>
        </is>
      </c>
      <c r="J32" s="2" t="inlineStr">
        <is>
          <t>Verbatim found</t>
        </is>
      </c>
      <c r="K32" s="2" t="inlineStr">
        <is>
          <t>Medium</t>
        </is>
      </c>
      <c r="L32" s="2" t="inlineStr">
        <is>
          <t>Done (v1.0)</t>
        </is>
      </c>
      <c r="M32" s="2" t="inlineStr">
        <is>
          <t>Mixed check: the factual part (electric fleet) is rated; the quoted vision is a pledge rated Not measurable (as of 6 Oct 2026). The fleet statement is Gozo Today's paraphrase of the minister. Evidence is operator and government reporting; the plan was not obtained, so the label (a judgement on the quoted words only) may change. Gozo emission figures are population-proportional approximations, not Gozo data. Pledge label Not measurable: right of reply on hold until the Gozo plan is read.</t>
        </is>
      </c>
      <c r="N32" s="2" t="inlineStr">
        <is>
          <t>Drafted</t>
        </is>
      </c>
      <c r="O32" s="2" t="n"/>
      <c r="P32" s="2" t="n">
        <v>2</v>
      </c>
      <c r="Q32" s="2" t="inlineStr">
        <is>
          <t>Report v1.1; verdict Largely supported (moderate); pledge Not measurable; right of reply to send (draft; not for circulation before the deadline).</t>
        </is>
      </c>
      <c r="R32" s="2" t="inlineStr">
        <is>
          <t>Largely supported</t>
        </is>
      </c>
      <c r="S32" s="2" t="inlineStr">
        <is>
          <t>Moderate</t>
        </is>
      </c>
      <c r="T32" s="2" t="inlineStr">
        <is>
          <t>Not measurable</t>
        </is>
      </c>
      <c r="U32" s="2" t="inlineStr">
        <is>
          <t>Emissions &amp; targets</t>
        </is>
      </c>
      <c r="V32" s="2" t="inlineStr">
        <is>
          <t>2026-09-25</t>
        </is>
      </c>
      <c r="W32" s="2" t="inlineStr">
        <is>
          <t>1.1</t>
        </is>
      </c>
      <c r="X32" s="2" t="inlineStr">
        <is>
          <t>2026-10-06</t>
        </is>
      </c>
      <c r="Y32" s="2" t="inlineStr">
        <is>
          <t>A</t>
        </is>
      </c>
      <c r="Z32" s="2" t="inlineStr">
        <is>
          <t>1</t>
        </is>
      </c>
      <c r="AA32" s="2" t="inlineStr">
        <is>
          <t>2026-10-06</t>
        </is>
      </c>
      <c r="AB32" s="2" t="inlineStr"/>
      <c r="AC32" s="5" t="inlineStr">
        <is>
          <t>https://leandergrech.github.io/Mizien/claims/CC-031/</t>
        </is>
      </c>
    </row>
    <row r="33">
      <c r="A33" s="2" t="inlineStr">
        <is>
          <t>CC-032</t>
        </is>
      </c>
      <c r="B33" s="2" t="inlineStr">
        <is>
          <t>Climate &amp; Energy</t>
        </is>
      </c>
      <c r="C33" s="2" t="inlineStr">
        <is>
          <t>Solar flowers, first in Europe</t>
        </is>
      </c>
      <c r="D33" s="2" t="inlineStr">
        <is>
          <t>Government statement on the fifteen solar flowers at the Gozo Multi-Modal Hub, Ta' Xħajma (21 Oct 2025), assembled from three texts. Quoted (TVM News, Maltese; Lovin Malta's English, an article tagged 'Press Release'): Gozo Minister Clint Camilleri, 'With the installation of these first solar flowers in Europe, we are demonstrating how Gozo can be a model for sustainable innovation'; in the same statement he called it the first of its kind used in Malta and, by number at one site, the second in the world; and (TVM News, English) 'This energy will be used to supply electricity, electric buses which offer transport between Imġarr port and the Park &amp; Ride facility.' The statement as published, not in quotation marks: 'the first installation of its kind in Europe' (Lovin Malta's text) or 'the first of its kind in Europe' (TVM News, indirect speech), the energy to 'directly offset' the electricity used to charge the Park and Ride bus fleet (Lovin Malta's text), up to 40% more energy than traditional panels, about EUR 850,000. The European Commission's project page repeats the claim in its own words ('They are the first of their kind in Europe.'); it is not rated, as the claim is the Government's.</t>
        </is>
      </c>
      <c r="E33" s="2" t="inlineStr">
        <is>
          <t>The fifteen units are SmartFlowers (manufacturer, 14 Nov 2025), an Austrian product. Dated records: two SmartFlowers newly installed at the Umwelt Arena, Spreitenbach, Switzerland (Moneycab, 19 May 2015; text credited to the arena); on sale in Spain from June 2015 (a product launch, not an installation: energynews.es, 3 Jun 2015); an electric-vehicle charging version presented in Spain in January 2016 (smartgridsinfo.es, aimed at public administrations and companies); in service at the ASFINAG Hinterbrühl motorway rest area in Austria by 7 Dec 2016 (MeinBezirk.at community post with an ASFINAG photo; IÖB project page); and at Vodafone in Newbury, UK (Newbury Today, Aug 2021). The maker calls Gozo's 'one of the largest installations in Europe', not the first. Bus charging: no capacity, metered output, bus consumption, hours or wiring published, so the share covered cannot be calculated; Parliament was told no feasibility study was made (Newsbook, 19 Jan 2026, second-hand). PVGIS models 85.1 MWh a year if each unit is 2.5 kWp (37.5 kWp, two-axis tracking), 36.5% more than fixed panels. Cost: PQ figure EUR 699,611.98 excl. VAT (second-hand); the award we identify as this contract, TED 742398-2024, EUR 718,830.07, is EUR 848,219 with 18% VAT.</t>
        </is>
      </c>
      <c r="F33" s="2" t="inlineStr">
        <is>
          <t>Manufacturer pages and dated records of earlier European installations; PVGIS 5.3 two-axis and fixed runs at the site; OSRM route length; GRDA and TED records of the Park and Ride shuttle; TED award notice 742398-2024; Council 11894/26 ADD 1 (C1-I5); calculations in tools/cc-032-report/calc.py.</t>
        </is>
      </c>
      <c r="G33" s="2" t="inlineStr">
        <is>
          <t>Done: Claim Check 032 report and flyer.</t>
        </is>
      </c>
      <c r="H33" s="2" t="inlineStr"/>
      <c r="I33" s="2" t="inlineStr">
        <is>
          <t>Clint Camilleri, Minister for Gozo; Parliamentary Secretariat for Public Works</t>
        </is>
      </c>
      <c r="J33" s="2" t="inlineStr">
        <is>
          <t>Verbatim found</t>
        </is>
      </c>
      <c r="K33" s="2" t="inlineStr">
        <is>
          <t>Medium</t>
        </is>
      </c>
      <c r="L33" s="2" t="inlineStr">
        <is>
          <t>Done (v1.0)</t>
        </is>
      </c>
      <c r="M33" s="2" t="inlineStr">
        <is>
          <t>Draft verdict Contradicted (high confidence) on 'first in Europe'; the bus-charging claim is Not substantiated. The capacity of the Gozo units is not published (2.5 kWp each is an assumption from the maker's current model); PVGIS output is modelled, not metered. The bus-consumption figures (modelled for other buses and routes, read as abstracts) are used only for a conditional order of magnitude in the report, not for any rating. The Spanish record of June 2015 is a product launch, not an installation. The parliamentary answers are known only through Newsbook (second-hand). TED notice 742398-2024 is matched to this contract by our identification. The European Commission's page repeats the Government's claim and is not rated. Pending right of reply (Ministry for Gozo and Planning; Public Works Department).</t>
        </is>
      </c>
      <c r="N33" s="2" t="inlineStr">
        <is>
          <t>Drafted</t>
        </is>
      </c>
      <c r="O33" s="2" t="n"/>
      <c r="P33" s="2" t="n">
        <v>0</v>
      </c>
      <c r="Q33" s="2" t="inlineStr">
        <is>
          <t>Report v1.1; verdict Contradicted (high); right of reply to send (draft; not for circulation before the deadline).</t>
        </is>
      </c>
      <c r="R33" s="2" t="inlineStr">
        <is>
          <t>Contradicted</t>
        </is>
      </c>
      <c r="S33" s="2" t="inlineStr">
        <is>
          <t>High</t>
        </is>
      </c>
      <c r="T33" s="2" t="n"/>
      <c r="U33" s="2" t="inlineStr">
        <is>
          <t>Renewables</t>
        </is>
      </c>
      <c r="V33" s="2" t="inlineStr">
        <is>
          <t>2025-10-21</t>
        </is>
      </c>
      <c r="W33" s="2" t="inlineStr">
        <is>
          <t>1.1</t>
        </is>
      </c>
      <c r="X33" s="2" t="inlineStr">
        <is>
          <t>2026-10-06</t>
        </is>
      </c>
      <c r="Y33" s="2" t="inlineStr">
        <is>
          <t>B</t>
        </is>
      </c>
      <c r="Z33" s="2" t="inlineStr">
        <is>
          <t>1</t>
        </is>
      </c>
      <c r="AA33" s="2" t="inlineStr">
        <is>
          <t>2026-10-06</t>
        </is>
      </c>
      <c r="AB33" s="2" t="inlineStr"/>
      <c r="AC33" s="5" t="inlineStr">
        <is>
          <t>https://leandergrech.github.io/Mizien/claims/CC-032/</t>
        </is>
      </c>
    </row>
    <row r="34">
      <c r="A34" s="2" t="inlineStr">
        <is>
          <t>CC-033</t>
        </is>
      </c>
      <c r="B34" s="2" t="inlineStr">
        <is>
          <t>Air</t>
        </is>
      </c>
      <c r="C34" s="2" t="inlineStr">
        <is>
          <t>Delimara: 'much cleaner air'</t>
        </is>
      </c>
      <c r="D34" s="2" t="inlineStr">
        <is>
          <t>D3 Power Generation (Delimara 3): after gas conversion the air is much cleaner and emissions are well below EU limits (NOx 35.8 mg/Nm3, SOx 0, PM 2.16 mg/Nm3).</t>
        </is>
      </c>
      <c r="E34" s="2" t="inlineStr">
        <is>
          <t>Stack concentrations vs permit limits are not ambient air quality; check ERA IPPC monitoring and the Żejtun station.</t>
        </is>
      </c>
      <c r="F34" s="2" t="inlineStr">
        <is>
          <t>ERA IPPC permit reports; ambient NO2/PM data near Marsaxlokk.</t>
        </is>
      </c>
      <c r="G34" s="2" t="inlineStr">
        <is>
          <t>A specific, attributable statement that public data can test.</t>
        </is>
      </c>
      <c r="H34" s="2" t="inlineStr"/>
      <c r="I34" s="2" t="inlineStr">
        <is>
          <t>D3 Power Generation Ltd</t>
        </is>
      </c>
      <c r="J34" s="2" t="inlineStr">
        <is>
          <t>Paraphrase: locate quote</t>
        </is>
      </c>
      <c r="K34" s="2" t="inlineStr">
        <is>
          <t>Medium</t>
        </is>
      </c>
      <c r="L34" s="2" t="inlineStr">
        <is>
          <t>Queue</t>
        </is>
      </c>
      <c r="M34" s="2" t="inlineStr">
        <is>
          <t>Candidate from the 4 Oct 2026 intake: wording paraphrased from a locator source; read the primary text before any report.</t>
        </is>
      </c>
      <c r="N34" s="2" t="inlineStr">
        <is>
          <t>In progress</t>
        </is>
      </c>
      <c r="O34" s="2" t="n"/>
      <c r="P34" s="2" t="n">
        <v>1</v>
      </c>
      <c r="Q34" s="2" t="inlineStr">
        <is>
          <t>Worker C, attempt 1 (2026-10-05): source: D3PG's statement is reported only in indirect speech (TVM News 24 Sep 2018, EN and MT; 'much cleaner' is TVM's paraphrase, no quotation marks); D3PG press release not found; tried: TVM EN/MT, web search (two queries), d3pg.com (empty page), Wayback (reset), Wärtsilä case study (not the speaker)</t>
        </is>
      </c>
      <c r="R34" s="2" t="n"/>
      <c r="S34" s="2" t="n"/>
      <c r="T34" s="2" t="n"/>
      <c r="U34" s="2" t="inlineStr">
        <is>
          <t>Port &amp; power emissions</t>
        </is>
      </c>
      <c r="V34" s="2" t="inlineStr"/>
      <c r="W34" s="2" t="n"/>
      <c r="X34" s="2" t="inlineStr"/>
      <c r="Y34" s="2" t="inlineStr">
        <is>
          <t>C</t>
        </is>
      </c>
      <c r="Z34" s="2" t="inlineStr">
        <is>
          <t>1</t>
        </is>
      </c>
      <c r="AA34" s="2" t="inlineStr">
        <is>
          <t>2026-10-05</t>
        </is>
      </c>
      <c r="AB34" s="2" t="inlineStr">
        <is>
          <t>source: D3PG's statement is reported only in indirect speech (TVM News 24 Sep 2018, EN and MT; 'much cleaner' is TVM's paraphrase, no quotation marks); D3PG press release not found; tried: TVM EN/MT, web search (two queries), d3pg.com (empty page), Wayback (reset), Wärtsilä case study (not the speaker)</t>
        </is>
      </c>
      <c r="AC34" s="5" t="inlineStr">
        <is>
          <t>https://leandergrech.github.io/Mizien/claims/CC-033/</t>
        </is>
      </c>
    </row>
    <row r="35">
      <c r="A35" s="2" t="inlineStr">
        <is>
          <t>CC-034</t>
        </is>
      </c>
      <c r="B35" s="2" t="inlineStr">
        <is>
          <t>Air</t>
        </is>
      </c>
      <c r="C35" s="2" t="inlineStr">
        <is>
          <t>Air Quality Plan 'already yielding results'</t>
        </is>
      </c>
      <c r="D35" s="2" t="inlineStr">
        <is>
          <t>Environment and Resources Authority (Air Quality Plan for Malta 2025): the plan outlines actions that "have already yielded positive results for Malta's air quality"; the plan names them as measures that "have already contributed to improvements in air quality in Malta", such as power-sector reform, grants for more sustainable transport, free school transport, better ferry landing places, the fast ferry and free public transport for all.</t>
        </is>
      </c>
      <c r="E35" s="2" t="inlineStr">
        <is>
          <t>Power-sector reform is shown to have helped: power-station sulphur oxides fell 99.8% in the reform years (2014-2018; 99.9% since 2008, but 55% of that fall came before 2015) and SO2 in the air fell 83% at Żejtun (2008-12 to 2018-23, leaving out 2011 with 28.5% of the year measured; the ships' fuel-sulphur cap of 1 January 2020 is a co-driver the data cannot separate); SO2 at Kordin was already 2.6 µg/m³ in 2014, before the reform. NO2 and PM2.5 at the Msida roadside fell 22% and 17% (2015-17 to 2021-23; NO2 -20% to 2022-23 alone), in step with a cleaner fleet, but no named transport measure is shown to have caused it. PM10 at Msida, the reason for the plan, did not improve: after ERA's natural-source deduction 2023 had 52 days over the limit (35 allowed), the most of 2015-2023 at the old Msida point (ERA's 2024-25 zone counts, 20 and 23, come from other stations and are not comparable), after free school transport, the fast ferry and free public transport began; a single-site, single-year comparison with no weather adjustment. The plan gives uptake or passenger figures, not air-quality effects, for grants, ferry landing places, the fast ferry and free public transport (plan pages 3, 21-67, 91 and 95 read; pp. 4-20, 68-90 and 96-104 skimmed for effect estimates, none found). Its one test (free school transport, NO2 "around 10 µg/m³" lower at rush hour) does not reproduce in validated data: the peak falls by 1.0 µg/m³ (62.3 to 61.3 at Start 07; +0.7 on weekdays only); the plan's 2018-19 curves reproduce only with hour-ending labels and its 2014-17 baseline does not reproduce under either labelling, so its gap sits in the baseline. A sustained fall of 11.5 µg/m³ in October-December weekday-morning NO2 (2013-17 to 2019-23) began in 2019, not 2018, and cannot be tied to the measure. In the 12 months after free public transport began, 10 of 11 station readings were higher than in the 12 months before.</t>
        </is>
      </c>
      <c r="F35" s="2" t="inlineStr">
        <is>
          <t>EEA validated station data (AirBase, E1a) for PM10, PM2.5, NO2, SO2 and CO at every ERA station, 2006-2025; ERA's attainment reports (dataflow G) 2015-2025; Eurostat env_air_emis and road_eqs_carpda; traffic site vs background stations; before/after windows around each dated measure; the plan's own school-transport comparison recomputed, with a test of the hour labels of its Figure 26 against the EEA hourly profiles (tools/cc-034-report/ calc.py, digitise_fig26.py, data/cc-034/checks.csv).</t>
        </is>
      </c>
      <c r="G35" s="2" t="inlineStr">
        <is>
          <t>Done: Claim Check 034 report and flyer.</t>
        </is>
      </c>
      <c r="H35" s="2" t="inlineStr">
        <is>
          <t>Input-as-outcome</t>
        </is>
      </c>
      <c r="I35" s="2" t="inlineStr">
        <is>
          <t>Environment and Resources Authority (ERA)</t>
        </is>
      </c>
      <c r="J35" s="2" t="inlineStr">
        <is>
          <t>Verbatim found</t>
        </is>
      </c>
      <c r="K35" s="2" t="inlineStr">
        <is>
          <t>Medium</t>
        </is>
      </c>
      <c r="L35" s="2" t="inlineStr">
        <is>
          <t>Done (v1.0)</t>
        </is>
      </c>
      <c r="M35" s="2" t="inlineStr">
        <is>
          <t>Draft verdict Not substantiated (moderate), pending right of reply from ERA. Missing evidence, not evidence against: flat PM10 does not prove the measures did nothing (car numbers +31%, 2013-2025). Wording rated: the six measures the plan names (our reading); read as any action that worked, the power-sector reform alone would meet the claim. No weather normalisation or traffic data; the 2023 PM10 count and the +8.1 µg/m³ after free public transport are single-site, single-year comparisons; the Msida monitor moved about 300 m in January 2024, so 2024-25 are not compared with earlier years, and the Msida Creek works lie 112 m from the old point (when work near it began is not verified). The plan's Figure 26 was read off the PDF (±1 µg/m³ at the peaks) and its hour convention is not stated. ERA's page and plan were read from Wayback copies saved on 5 Oct 2026 (plan pages 3, 21-67, 91 and 95 read; pp. 4-20, 68-90 and 96-104 skimmed for effect estimates of the six measures, none found); ERA's consultation report was not read. Scerri et al. (2016) and the EEA's UTC+1 convention for hourly times are second-hand.</t>
        </is>
      </c>
      <c r="N35" s="2" t="inlineStr">
        <is>
          <t>Drafted</t>
        </is>
      </c>
      <c r="O35" s="2" t="n"/>
      <c r="P35" s="2" t="n">
        <v>0</v>
      </c>
      <c r="Q35" s="2" t="inlineStr">
        <is>
          <t>Report v1.0; verdict Not substantiated (moderate); right of reply to send (draft; not for circulation before the deadline).</t>
        </is>
      </c>
      <c r="R35" s="2" t="inlineStr">
        <is>
          <t>Not substantiated</t>
        </is>
      </c>
      <c r="S35" s="2" t="inlineStr">
        <is>
          <t>Moderate</t>
        </is>
      </c>
      <c r="T35" s="2" t="n"/>
      <c r="U35" s="2" t="inlineStr">
        <is>
          <t>Air quality &amp; health</t>
        </is>
      </c>
      <c r="V35" s="2" t="inlineStr">
        <is>
          <t>2025-03-12</t>
        </is>
      </c>
      <c r="W35" s="2" t="inlineStr">
        <is>
          <t>1.0</t>
        </is>
      </c>
      <c r="X35" s="2" t="inlineStr">
        <is>
          <t>2026-10-06</t>
        </is>
      </c>
      <c r="Y35" s="2" t="inlineStr">
        <is>
          <t>A</t>
        </is>
      </c>
      <c r="Z35" s="2" t="inlineStr">
        <is>
          <t>1</t>
        </is>
      </c>
      <c r="AA35" s="2" t="inlineStr">
        <is>
          <t>2026-10-06</t>
        </is>
      </c>
      <c r="AB35" s="2" t="inlineStr"/>
      <c r="AC35" s="5" t="inlineStr">
        <is>
          <t>https://leandergrech.github.io/Mizien/claims/CC-034/</t>
        </is>
      </c>
    </row>
    <row r="36">
      <c r="A36" s="2" t="inlineStr">
        <is>
          <t>CC-035</t>
        </is>
      </c>
      <c r="B36" s="2" t="inlineStr">
        <is>
          <t>Air</t>
        </is>
      </c>
      <c r="C36" s="2" t="inlineStr">
        <is>
          <t>PM2.5 death rate down two-thirds</t>
        </is>
      </c>
      <c r="D36" s="2" t="inlineStr">
        <is>
          <t>European Environment Agency (Air pollution quick country facts, 2025 country fact sheets): in Malta the rate of all-cause natural deaths attributable to long-term exposure to PM2.5 above 5 µg/m³, per 100 000 inhabitants aged 30 or over, is estimated to have fallen by 67.7% between 2005 and 2023 (from 143.5 to 46.3), resulting in 172 (95% CI 131-192) attributable deaths in 2023.</t>
        </is>
      </c>
      <c r="E36" s="2" t="inlineStr">
        <is>
          <t>Every figure reproduces from the EEA's own burden-of-disease table and Eurostat sdg_11_52, which republishes it (143.5, 46.3, 67.74%, 172 (131-192)); the ETC HE technical report gives 173 (132-193), a one-death difference we cannot explain. From Eurostat natural deaths aged 30+ and the EEA's concentrations we get 346 (2005) and 170 (2023) deaths, within 1.2%. Measured PM2.5 fell: Msida -39% (2007-2023) and the three long-running stations -25% (2010-2023); this is direct evidence of a fall, not a check of the map, which is built on these stations. Caveats: no Maltese PM2.5 was reported to the EEA for 2005 (first valid day 29 August 2006), so the 2005 value (21.0 µg/m³) is a map value, from an older map method and model than 2023; the 95% CI covers the risk function only. PM10 at Msida and Żejtun did not fall while PM2.5 fell about 40%, and the PM2.5 instruments changed. The number of deaths fell 50.6% (348 to 172), as the population aged 30+ grew 54%; counting all concentrations the rate fell 54.7%, and from 2007 it fell 56.6%.</t>
        </is>
      </c>
      <c r="F36" s="2" t="inlineStr">
        <is>
          <t>EEA burden-of-disease table (Malta, all scenarios; EU-27; all countries), Eurostat sdg_11_52, demo_pjan, demo_magec, hlth_cd_aro and env_air_emis, recomputed with tools/cc-035-report/calc.py; the EEA's briefing, indicator and ETC technical and map reports for the method; EEA AirBase and E1a station files for Malta's measured PM2.5 and PM10.</t>
        </is>
      </c>
      <c r="G36" s="2" t="inlineStr">
        <is>
          <t>Done: Claim Check 035 report and flyer.</t>
        </is>
      </c>
      <c r="H36" s="2" t="inlineStr"/>
      <c r="I36" s="2" t="inlineStr">
        <is>
          <t>European Environment Agency</t>
        </is>
      </c>
      <c r="J36" s="2" t="inlineStr">
        <is>
          <t>Verbatim found</t>
        </is>
      </c>
      <c r="K36" s="2" t="inlineStr">
        <is>
          <t>High</t>
        </is>
      </c>
      <c r="L36" s="2" t="inlineStr">
        <is>
          <t>Done (v1.0)</t>
        </is>
      </c>
      <c r="M36" s="2" t="inlineStr">
        <is>
          <t>The statement is the EEA's modelled estimate, reported accurately. Its 2005 starting value is a map value: no Maltese PM2.5 was reported to the EEA for 2005 (the first valid day is in August 2006), the 2005 and 2023 maps come from different methods and models, and the 95% CI leaves exposure error out, so the exact 67.7% is less certain than its decimal suggests. Measured PM2.5 fell from 2007, but the maps are built on the stations, so the stations do not check the map. It is a rate per person aged 30+; the number of deaths fell by about half. Largely supported verdict: no right of reply needed.</t>
        </is>
      </c>
      <c r="N36" s="2" t="inlineStr">
        <is>
          <t>Drafted</t>
        </is>
      </c>
      <c r="O36" s="2" t="n"/>
      <c r="P36" s="2" t="n">
        <v>1</v>
      </c>
      <c r="Q36" s="2" t="inlineStr">
        <is>
          <t>Report v1.0; verdict Largely supported (high); no right of reply needed.</t>
        </is>
      </c>
      <c r="R36" s="2" t="inlineStr">
        <is>
          <t>Largely supported</t>
        </is>
      </c>
      <c r="S36" s="2" t="inlineStr">
        <is>
          <t>High</t>
        </is>
      </c>
      <c r="T36" s="2" t="n"/>
      <c r="U36" s="2" t="inlineStr">
        <is>
          <t>Air quality &amp; health</t>
        </is>
      </c>
      <c r="V36" s="2" t="inlineStr">
        <is>
          <t>2025-12-01</t>
        </is>
      </c>
      <c r="W36" s="2" t="inlineStr">
        <is>
          <t>1.0</t>
        </is>
      </c>
      <c r="X36" s="2" t="inlineStr">
        <is>
          <t>2026-10-06</t>
        </is>
      </c>
      <c r="Y36" s="2" t="inlineStr">
        <is>
          <t>B</t>
        </is>
      </c>
      <c r="Z36" s="2" t="inlineStr">
        <is>
          <t>1</t>
        </is>
      </c>
      <c r="AA36" s="2" t="inlineStr">
        <is>
          <t>2026-10-06</t>
        </is>
      </c>
      <c r="AB36" s="2" t="inlineStr"/>
      <c r="AC36" s="5" t="inlineStr">
        <is>
          <t>https://leandergrech.github.io/Mizien/claims/CC-035/</t>
        </is>
      </c>
    </row>
    <row r="37">
      <c r="A37" s="2" t="inlineStr">
        <is>
          <t>CC-036</t>
        </is>
      </c>
      <c r="B37" s="2" t="inlineStr">
        <is>
          <t>Air</t>
        </is>
      </c>
      <c r="C37" s="2" t="inlineStr">
        <is>
          <t>Construction dust 'a nuisance, not a health issue'</t>
        </is>
      </c>
      <c r="D37" s="2" t="inlineStr">
        <is>
          <t>ERA (State of the Environment Report 2018): dust from construction is a coarser fraction and more of a nuisance than a health-related issue.</t>
        </is>
      </c>
      <c r="E37" s="2" t="inlineStr">
        <is>
          <t>Peer-reviewed work links construction-site PM10 and PM2.5 to health effects; Malta's PM10 exceedances.</t>
        </is>
      </c>
      <c r="F37" s="2" t="inlineStr">
        <is>
          <t>Literature on construction dust health effects; PM10/PM2.5 ratios at Msida.</t>
        </is>
      </c>
      <c r="G37" s="2" t="inlineStr">
        <is>
          <t>A specific, attributable statement that public data can test.</t>
        </is>
      </c>
      <c r="H37" s="2" t="inlineStr"/>
      <c r="I37" s="2" t="inlineStr">
        <is>
          <t>Environment and Resources Authority (ERA)</t>
        </is>
      </c>
      <c r="J37" s="2" t="inlineStr">
        <is>
          <t>Paraphrase: locate quote</t>
        </is>
      </c>
      <c r="K37" s="2" t="inlineStr">
        <is>
          <t>Medium</t>
        </is>
      </c>
      <c r="L37" s="2" t="inlineStr">
        <is>
          <t>Queue</t>
        </is>
      </c>
      <c r="M37" s="2" t="inlineStr">
        <is>
          <t>Candidate from the 4 Oct 2026 intake: wording paraphrased from a locator source; read the primary text before any report.</t>
        </is>
      </c>
      <c r="N37" s="2" t="inlineStr">
        <is>
          <t>Not started</t>
        </is>
      </c>
      <c r="O37" s="2" t="n"/>
      <c r="P37" s="2" t="n">
        <v>0</v>
      </c>
      <c r="Q37" s="2" t="inlineStr">
        <is>
          <t>Worker C, attempt 1 (2026-10-05): network: era.org.mt (403 to scripts); web.archive.org (its copy of the ERA PDF, snapshot 22 Jun 2021, is truncated at 1 MiB of 1.4 MB, no readable text, then the host went offline); tried: ERA URL, Wayback, web search (finds the chapter but no passage text)</t>
        </is>
      </c>
      <c r="R37" s="2" t="n"/>
      <c r="S37" s="2" t="n"/>
      <c r="T37" s="2" t="n"/>
      <c r="U37" s="2" t="inlineStr">
        <is>
          <t>Air quality &amp; health</t>
        </is>
      </c>
      <c r="V37" s="2" t="inlineStr">
        <is>
          <t>2018</t>
        </is>
      </c>
      <c r="W37" s="2" t="n"/>
      <c r="X37" s="2" t="inlineStr"/>
      <c r="Y37" s="2" t="inlineStr">
        <is>
          <t>C</t>
        </is>
      </c>
      <c r="Z37" s="2" t="inlineStr">
        <is>
          <t>1</t>
        </is>
      </c>
      <c r="AA37" s="2" t="inlineStr">
        <is>
          <t>2026-10-05</t>
        </is>
      </c>
      <c r="AB37" s="2" t="inlineStr">
        <is>
          <t>network: era.org.mt (403 to scripts); web.archive.org (its copy of the ERA PDF, snapshot 22 Jun 2021, is truncated at 1 MiB of 1.4 MB, no readable text, then the host went offline); tried: ERA URL, Wayback, web search (finds the chapter but no passage text)</t>
        </is>
      </c>
      <c r="AC37" s="5" t="inlineStr">
        <is>
          <t>https://leandergrech.github.io/Mizien/claims/CC-036/</t>
        </is>
      </c>
    </row>
    <row r="38">
      <c r="A38" s="2" t="inlineStr">
        <is>
          <t>CC-037</t>
        </is>
      </c>
      <c r="B38" s="2" t="inlineStr">
        <is>
          <t>Air</t>
        </is>
      </c>
      <c r="C38" s="2" t="inlineStr">
        <is>
          <t>Highest share reporting pollution</t>
        </is>
      </c>
      <c r="D38" s="2" t="inlineStr">
        <is>
          <t>Amphora Media (2026 Election Guidebook): 35% of people in Malta reported exposure to pollution in 2023, the highest share in the EU.</t>
        </is>
      </c>
      <c r="E38" s="2" t="inlineStr">
        <is>
          <t>Eurostat ilc_mddw02 counts people living in households where the respondent reports pollution, grime or other environmental problems in the area; it records reported problems, not measured exposure. "Reporting exposure" is Eurostat's own wording, so this is context, not a flaw in the claim. Amphora's income sentence holds for 2023 (35.6% above vs 30.1% below 60% of median income) but the "above" group is 83.4% of people, the direction reversed in 6 of 17 years, and EU-wide it runs the other way. No data for 2021 and 2022 (three-yearly module since 2021; next 2026).</t>
        </is>
      </c>
      <c r="F38" s="2" t="inlineStr">
        <is>
          <t>Eurostat ilc_mddw02 (EU-SILC) by country, year and income group, with flags, and ilc_li02 (at-risk-of-poverty rate), recomputed with tools/cc-037-report/calc.py; Eurostat's methodology note, 2025 article and news release; Regulation (EU) 2019/1700 and Delegated Regulations (EU) 2020/256 and 2022/29 for the survey's periodicity.</t>
        </is>
      </c>
      <c r="G38" s="2" t="inlineStr">
        <is>
          <t>Done: Claim Check 037 report and flyer.</t>
        </is>
      </c>
      <c r="H38" s="2" t="inlineStr"/>
      <c r="I38" s="2" t="inlineStr">
        <is>
          <t>Amphora Media</t>
        </is>
      </c>
      <c r="J38" s="2" t="inlineStr">
        <is>
          <t>Verbatim found</t>
        </is>
      </c>
      <c r="K38" s="2" t="inlineStr">
        <is>
          <t>Medium</t>
        </is>
      </c>
      <c r="L38" s="2" t="inlineStr">
        <is>
          <t>Done (v1.1)</t>
        </is>
      </c>
      <c r="M38" s="2" t="inlineStr">
        <is>
          <t>Statement is accurate as a statement about reports, in Eurostat's own words. The indicator is self-reported; it does not measure pollution. Amphora names no source; the match to Eurostat ilc_mddw02 and Eurostat's 2025 article and release is ours. Supported verdict: no right of reply needed.</t>
        </is>
      </c>
      <c r="N38" s="2" t="inlineStr">
        <is>
          <t>Drafted</t>
        </is>
      </c>
      <c r="O38" s="2" t="n"/>
      <c r="P38" s="2" t="n">
        <v>0</v>
      </c>
      <c r="Q38" s="2" t="inlineStr">
        <is>
          <t>Report v1.2; verdict Supported (high); no right of reply needed.</t>
        </is>
      </c>
      <c r="R38" s="2" t="inlineStr">
        <is>
          <t>Supported</t>
        </is>
      </c>
      <c r="S38" s="2" t="inlineStr">
        <is>
          <t>High</t>
        </is>
      </c>
      <c r="T38" s="2" t="n"/>
      <c r="U38" s="2" t="inlineStr">
        <is>
          <t>Air quality &amp; health</t>
        </is>
      </c>
      <c r="V38" s="2" t="inlineStr">
        <is>
          <t>2026-05-12</t>
        </is>
      </c>
      <c r="W38" s="2" t="inlineStr">
        <is>
          <t>1.2</t>
        </is>
      </c>
      <c r="X38" s="2" t="inlineStr">
        <is>
          <t>2026-10-06</t>
        </is>
      </c>
      <c r="Y38" s="2" t="inlineStr">
        <is>
          <t>A</t>
        </is>
      </c>
      <c r="Z38" s="2" t="inlineStr">
        <is>
          <t>1</t>
        </is>
      </c>
      <c r="AA38" s="2" t="inlineStr">
        <is>
          <t>2026-10-05</t>
        </is>
      </c>
      <c r="AB38" s="2" t="inlineStr"/>
      <c r="AC38" s="5" t="inlineStr">
        <is>
          <t>https://leandergrech.github.io/Mizien/claims/CC-037/</t>
        </is>
      </c>
    </row>
    <row r="39">
      <c r="A39" s="2" t="inlineStr">
        <is>
          <t>CC-038</t>
        </is>
      </c>
      <c r="B39" s="2" t="inlineStr">
        <is>
          <t>Air</t>
        </is>
      </c>
      <c r="C39" s="2" t="inlineStr">
        <is>
          <t>Saharan dust behind PM10 spikes</t>
        </is>
      </c>
      <c r="D39" s="2" t="inlineStr">
        <is>
          <t>Meteorological and environmental authorities (2026): extreme PM10 levels, over four times the WHO daily guideline at all five stations, were caused by Saharan dust.</t>
        </is>
      </c>
      <c r="E39" s="2" t="inlineStr">
        <is>
          <t>Dust events are real; the question is how many annual exceedances are natural (EU allows subtraction) and how many local.</t>
        </is>
      </c>
      <c r="F39" s="2" t="inlineStr">
        <is>
          <t>ERA natural-source subtraction reports; back-trajectories; station data.</t>
        </is>
      </c>
      <c r="G39" s="2" t="inlineStr">
        <is>
          <t>A specific, attributable statement that public data can test.</t>
        </is>
      </c>
      <c r="H39" s="2" t="inlineStr"/>
      <c r="I39" s="2" t="inlineStr">
        <is>
          <t>Malta Meteorological Office; ERA</t>
        </is>
      </c>
      <c r="J39" s="2" t="inlineStr">
        <is>
          <t>Paraphrase: locate quote</t>
        </is>
      </c>
      <c r="K39" s="2" t="inlineStr">
        <is>
          <t>Medium</t>
        </is>
      </c>
      <c r="L39" s="2" t="inlineStr">
        <is>
          <t>Queue</t>
        </is>
      </c>
      <c r="M39" s="2" t="inlineStr">
        <is>
          <t>Candidate from the 4 Oct 2026 intake: wording paraphrased from a locator source; read the primary text before any report.</t>
        </is>
      </c>
      <c r="N39" s="2" t="inlineStr">
        <is>
          <t>In progress</t>
        </is>
      </c>
      <c r="O39" s="2" t="n"/>
      <c r="P39" s="2" t="n">
        <v>0</v>
      </c>
      <c r="Q39" s="2" t="inlineStr">
        <is>
          <t>Worker B, attempt 1 (2026-10-07): source: authorities' own wording not found; Italpress/MNA (7 Feb 2026) gives the Met Office only as indirect speech ('Meteorological officials said the dust originated in the Sahara'), no quotation marks, no ERA statement; MaltaToday original 403, Wayback reset; tried: claim URL, Wayback, 3 web searches, Italpress, Guide Me Malta, TVM search, Newsbook/airquality.gov.mt/maltaweather.com (refused or unreachable)</t>
        </is>
      </c>
      <c r="R39" s="2" t="n"/>
      <c r="S39" s="2" t="n"/>
      <c r="T39" s="2" t="n"/>
      <c r="U39" s="2" t="inlineStr">
        <is>
          <t>Air quality &amp; health</t>
        </is>
      </c>
      <c r="V39" s="2" t="inlineStr"/>
      <c r="W39" s="2" t="n"/>
      <c r="X39" s="2" t="inlineStr"/>
      <c r="Y39" s="2" t="inlineStr">
        <is>
          <t>B</t>
        </is>
      </c>
      <c r="Z39" s="2" t="inlineStr">
        <is>
          <t>1</t>
        </is>
      </c>
      <c r="AA39" s="2" t="inlineStr">
        <is>
          <t>2026-10-07</t>
        </is>
      </c>
      <c r="AB39" s="2" t="inlineStr">
        <is>
          <t>source: authorities' own wording not found; Italpress/MNA (7 Feb 2026) gives the Met Office only as indirect speech ('Meteorological officials said the dust originated in the Sahara'), no quotation marks, no ERA statement; MaltaToday original 403, Wayback reset; tried: claim URL, Wayback, 3 web searches, Italpress, Guide Me Malta, TVM search, Newsbook/airquality.gov.mt/maltaweather.com (refused or unreachable)</t>
        </is>
      </c>
      <c r="AC39" s="5" t="inlineStr">
        <is>
          <t>https://leandergrech.github.io/Mizien/claims/CC-038/</t>
        </is>
      </c>
    </row>
    <row r="40">
      <c r="A40" s="2" t="inlineStr">
        <is>
          <t>CC-039</t>
        </is>
      </c>
      <c r="B40" s="2" t="inlineStr">
        <is>
          <t>Water</t>
        </is>
      </c>
      <c r="C40" s="2" t="inlineStr">
        <is>
          <t>Net Zero Impact Utility</t>
        </is>
      </c>
      <c r="D40" s="2" t="inlineStr">
        <is>
          <t>Water Services Corporation: its EU-funded 'Net Zero Impact Utility' project will cut groundwater abstraction by 4 billion litres a year with no net increase in energy use.</t>
        </is>
      </c>
      <c r="E40" s="2" t="inlineStr">
        <is>
          <t>WSC groundwater production was 13.5 million m3 in 2016 and 11.5 million m3 in 2025 (2.0 million m3, about half of the pledged 4.0, lower); only 0.4 million m3 lower in 2024 (0.3 in 2023). Reverse-osmosis output rose about 50% over the same period, so RO electricity is likely higher in total. WSC’s Impact and Allocation Report 2024 gives whole-utility energy per m3 produced of 4.68 (2022), 4.52 (2023) and 4.60 (2024) kWh/m3, with production up about 9% (total kWh by year not published).</t>
        </is>
      </c>
      <c r="F40" s="2" t="inlineStr">
        <is>
          <t>WSC annual reports; EWA groundwater abstraction data.</t>
        </is>
      </c>
      <c r="G40" s="2" t="inlineStr">
        <is>
          <t>A specific, attributable statement that public data can test.</t>
        </is>
      </c>
      <c r="H40" s="2" t="inlineStr">
        <is>
          <t>Promise-without-baseline</t>
        </is>
      </c>
      <c r="I40" s="2" t="inlineStr">
        <is>
          <t>Water Services Corporation (WSC)</t>
        </is>
      </c>
      <c r="J40" s="2" t="inlineStr">
        <is>
          <t>Verbatim found</t>
        </is>
      </c>
      <c r="K40" s="2" t="inlineStr">
        <is>
          <t>Medium</t>
        </is>
      </c>
      <c r="L40" s="2" t="inlineStr">
        <is>
          <t>Done (v1.0)</t>
        </is>
      </c>
      <c r="M40" s="2" t="inlineStr">
        <is>
          <t>Pending right of reply (Water Services Corporation). The baseline (2016) is our choice because the statement gives none. WSC's Annual Report 2024 could not be opened; the 2024 energy figures come from its Impact and Allocation Report 2024 (whole-utility indicator, boundary not defined). Claim record's 'no net increase in energy use' is not WSC wording; it paraphrases the framework as Sapiano 2020 describes it. The idea of giving back as much water as is abstracted is CC-108.</t>
        </is>
      </c>
      <c r="N40" s="2" t="inlineStr">
        <is>
          <t>Drafted</t>
        </is>
      </c>
      <c r="O40" s="2" t="n"/>
      <c r="P40" s="2" t="n">
        <v>2</v>
      </c>
      <c r="Q40" s="2" t="inlineStr">
        <is>
          <t>Report v1.1; pledge Not measurable; right of reply to send (draft; not for circulation before the deadline).</t>
        </is>
      </c>
      <c r="R40" s="2" t="n"/>
      <c r="S40" s="2" t="n"/>
      <c r="T40" s="2" t="inlineStr">
        <is>
          <t>Not measurable</t>
        </is>
      </c>
      <c r="U40" s="2" t="inlineStr">
        <is>
          <t>Water supply &amp; groundwater</t>
        </is>
      </c>
      <c r="V40" s="2" t="inlineStr">
        <is>
          <t>2019-04-02</t>
        </is>
      </c>
      <c r="W40" s="2" t="inlineStr">
        <is>
          <t>1.1</t>
        </is>
      </c>
      <c r="X40" s="2" t="inlineStr">
        <is>
          <t>2026-10-06</t>
        </is>
      </c>
      <c r="Y40" s="2" t="inlineStr">
        <is>
          <t>C</t>
        </is>
      </c>
      <c r="Z40" s="2" t="inlineStr">
        <is>
          <t>1</t>
        </is>
      </c>
      <c r="AA40" s="2" t="inlineStr">
        <is>
          <t>2026-10-05</t>
        </is>
      </c>
      <c r="AB40" s="2" t="inlineStr"/>
      <c r="AC40" s="5" t="inlineStr">
        <is>
          <t>https://leandergrech.github.io/Mizien/claims/CC-039/</t>
        </is>
      </c>
    </row>
    <row r="41">
      <c r="A41" s="2" t="inlineStr">
        <is>
          <t>CC-040</t>
        </is>
      </c>
      <c r="B41" s="2" t="inlineStr">
        <is>
          <t>Water</t>
        </is>
      </c>
      <c r="C41" s="2" t="inlineStr">
        <is>
          <t>Low water use per head</t>
        </is>
      </c>
      <c r="D41" s="2" t="inlineStr">
        <is>
          <t>Energy and Water Agency (Manuel Sapiano, IWRA 1st Island Water Congress keynote, 2024): per capita water consumption in Malta stands at around 110 l/cap/day, and tariffs and engagement have contributed to keeping it low. (The intake's added "relatively low compared with other European countries" is not in the deck.)</t>
        </is>
      </c>
      <c r="E41" s="2" t="inlineStr">
        <is>
          <t>Eurostat env_wat_cat / demo_pjan (estimates): Maltese households 116 l/person/day (2022), 120 (2024), 9% above 110; all uses of the public supply about 176 l per resident (2024, includes services and tourists). Among 19 EU states with a recent household figure Malta ranks 13th lowest, 8% above the median (111 l). The deck makes no EU comparison.</t>
        </is>
      </c>
      <c r="F41" s="2" t="inlineStr">
        <is>
          <t>Eurostat env_wat_cat, demo_pjan (EU-27 households); WSC billed consumption not obtained.</t>
        </is>
      </c>
      <c r="G41" s="2" t="inlineStr">
        <is>
          <t>Done: Claim Check 040 report and flyer.</t>
        </is>
      </c>
      <c r="H41" s="2" t="inlineStr"/>
      <c r="I41" s="2" t="inlineStr">
        <is>
          <t>Energy and Water Agency (Manuel Sapiano)</t>
        </is>
      </c>
      <c r="J41" s="2" t="inlineStr">
        <is>
          <t>Verbatim found</t>
        </is>
      </c>
      <c r="K41" s="2" t="inlineStr">
        <is>
          <t>Medium</t>
        </is>
      </c>
      <c r="L41" s="2" t="inlineStr">
        <is>
          <t>Done (v1.0)</t>
        </is>
      </c>
      <c r="M41" s="2" t="inlineStr">
        <is>
          <t>No right of reply needed (verdict Largely supported; a reply is sought only for Not substantiated, Misleading or Contradicted). Slides, not a transcript; definition of the 110 not stated; Eurostat Maltese values are estimates; EU comparison covers 19 states with mixed years (2020-2024). Tariff effect not tested.</t>
        </is>
      </c>
      <c r="N41" s="2" t="inlineStr">
        <is>
          <t>Drafted</t>
        </is>
      </c>
      <c r="O41" s="2" t="n"/>
      <c r="P41" s="2" t="n">
        <v>0</v>
      </c>
      <c r="Q41" s="2" t="inlineStr">
        <is>
          <t>Report v1.0; verdict Largely supported (moderate); no right of reply needed.</t>
        </is>
      </c>
      <c r="R41" s="2" t="inlineStr">
        <is>
          <t>Largely supported</t>
        </is>
      </c>
      <c r="S41" s="2" t="inlineStr">
        <is>
          <t>Moderate</t>
        </is>
      </c>
      <c r="T41" s="2" t="n"/>
      <c r="U41" s="2" t="inlineStr">
        <is>
          <t>Water supply &amp; groundwater</t>
        </is>
      </c>
      <c r="V41" s="2" t="inlineStr">
        <is>
          <t>2024</t>
        </is>
      </c>
      <c r="W41" s="2" t="inlineStr">
        <is>
          <t>1.0</t>
        </is>
      </c>
      <c r="X41" s="2" t="inlineStr">
        <is>
          <t>2026-10-07</t>
        </is>
      </c>
      <c r="Y41" s="2" t="inlineStr">
        <is>
          <t>A</t>
        </is>
      </c>
      <c r="Z41" s="2" t="inlineStr">
        <is>
          <t>1</t>
        </is>
      </c>
      <c r="AA41" s="2" t="inlineStr">
        <is>
          <t>2026-10-07</t>
        </is>
      </c>
      <c r="AB41" s="2" t="inlineStr"/>
      <c r="AC41" s="5" t="inlineStr">
        <is>
          <t>https://leandergrech.github.io/Mizien/claims/CC-040/</t>
        </is>
      </c>
    </row>
    <row r="42">
      <c r="A42" s="2" t="inlineStr">
        <is>
          <t>CC-041</t>
        </is>
      </c>
      <c r="B42" s="2" t="inlineStr">
        <is>
          <t>Water</t>
        </is>
      </c>
      <c r="C42" s="2" t="inlineStr">
        <is>
          <t>Sewage plants compliant by 2026</t>
        </is>
      </c>
      <c r="D42" s="2" t="inlineStr">
        <is>
          <t>Government of Malta / WSC (after the 2024 EU Court ruling): Ta' Barkat and Iċ-Ċumnija sewage plants will provide EU-compliant secondary treatment, with compliance expected by 2026.</t>
        </is>
      </c>
      <c r="E42" s="2" t="inlineStr">
        <is>
          <t>WSC says suggestions of systemic untreated discharge misrepresent reality; beach closures in 2026 (see CC-005).</t>
        </is>
      </c>
      <c r="F42" s="2" t="inlineStr">
        <is>
          <t>The 2024 CJEU judgment; WSC plant upgrade status; ERA effluent monitoring.</t>
        </is>
      </c>
      <c r="G42" s="2" t="inlineStr">
        <is>
          <t>A specific, attributable statement that public data can test.</t>
        </is>
      </c>
      <c r="H42" s="2" t="inlineStr"/>
      <c r="I42" s="2" t="inlineStr">
        <is>
          <t>Government of Malta; Water Services Corporation</t>
        </is>
      </c>
      <c r="J42" s="2" t="inlineStr">
        <is>
          <t>Paraphrase: locate quote</t>
        </is>
      </c>
      <c r="K42" s="2" t="inlineStr">
        <is>
          <t>Medium</t>
        </is>
      </c>
      <c r="L42" s="2" t="inlineStr">
        <is>
          <t>Queue</t>
        </is>
      </c>
      <c r="M42" s="2" t="inlineStr">
        <is>
          <t>Candidate from the 4 Oct 2026 intake: wording paraphrased from a locator source; read the primary text before any report.</t>
        </is>
      </c>
      <c r="N42" s="2" t="inlineStr">
        <is>
          <t>In progress</t>
        </is>
      </c>
      <c r="O42" s="2" t="n"/>
      <c r="P42" s="2" t="n">
        <v>1</v>
      </c>
      <c r="Q42" s="2" t="inlineStr">
        <is>
          <t>Worker B, attempt 1 (2026-10-07): source: no government/WSC wording; Lovin Malta (18 Oct 2024) is the outlet's paraphrase, quotes only 'comprehensive analysis' for the ministry and attributes the 2026 compliance date to the court; need the ministry/WSC statement or MaltaToday/TVM report of it; tried: Lovin Malta, web search, MaltaToday (403), Wayback (reset)</t>
        </is>
      </c>
      <c r="R42" s="2" t="n"/>
      <c r="S42" s="2" t="n"/>
      <c r="T42" s="2" t="n"/>
      <c r="U42" s="2" t="inlineStr">
        <is>
          <t>Bathing water &amp; sewage</t>
        </is>
      </c>
      <c r="V42" s="2" t="inlineStr">
        <is>
          <t>2024</t>
        </is>
      </c>
      <c r="W42" s="2" t="n"/>
      <c r="X42" s="2" t="inlineStr"/>
      <c r="Y42" s="2" t="inlineStr">
        <is>
          <t>B</t>
        </is>
      </c>
      <c r="Z42" s="2" t="inlineStr">
        <is>
          <t>1</t>
        </is>
      </c>
      <c r="AA42" s="2" t="inlineStr">
        <is>
          <t>2026-10-07</t>
        </is>
      </c>
      <c r="AB42" s="2" t="inlineStr">
        <is>
          <t>source: no government/WSC wording; Lovin Malta (18 Oct 2024) is the outlet's paraphrase, quotes only 'comprehensive analysis' for the ministry and attributes the 2026 compliance date to the court; need the ministry/WSC statement or MaltaToday/TVM report of it; tried: Lovin Malta, web search, MaltaToday (403), Wayback (reset)</t>
        </is>
      </c>
      <c r="AC42" s="5" t="inlineStr">
        <is>
          <t>https://leandergrech.github.io/Mizien/claims/CC-041/</t>
        </is>
      </c>
    </row>
    <row r="43">
      <c r="A43" s="2" t="inlineStr">
        <is>
          <t>CC-042</t>
        </is>
      </c>
      <c r="B43" s="2" t="inlineStr">
        <is>
          <t>Water</t>
        </is>
      </c>
      <c r="C43" s="2" t="inlineStr">
        <is>
          <t>'From Blue Flag to Red Alert'</t>
        </is>
      </c>
      <c r="D43" s="2" t="inlineStr">
        <is>
          <t>Nationalist Party (PN statement, 1 July 2025): the government celebrates Blue Flag beaches while bathing sites close for sewage contamination (Fajtata Bay, Marsaskala, closed two days after 13 Blue Flags were announced).</t>
        </is>
      </c>
      <c r="E43" s="2" t="inlineStr">
        <is>
          <t>Fajtata was closed for about two days (30 Jun-2 Jul 2025) after a public-toilet overflow; Qui-si-Sana was closed 18-24 June after a private establishment's drain failed; Xlendi (listed by the PN among sewage spills) was closed for field run-off after rain, which the Water Services Corporation said was not sewage (second-hand). EEA 2025 classification: 77 of 87 bathing waters Excellent (88.5%, 92.0% in 2024), 8 Good, 2 Sufficient, none Poor; Fajtata (A07) Excellent in every season 2015-2025. The Labour Party's 'over 92% excellent' is the 2024 figure.</t>
        </is>
      </c>
      <c r="F43" s="2" t="inlineStr">
        <is>
          <t>News reports of Environmental Health Directorate notices; EEA bathing-water classification (tools/cc-042-report/calc.py, data/cc-042/).</t>
        </is>
      </c>
      <c r="G43" s="2" t="inlineStr">
        <is>
          <t>Done: Claim Check 042 report and flyer.</t>
        </is>
      </c>
      <c r="H43" s="2" t="inlineStr"/>
      <c r="I43" s="2" t="inlineStr">
        <is>
          <t>Nationalist Party (PN)</t>
        </is>
      </c>
      <c r="J43" s="2" t="inlineStr">
        <is>
          <t>Verbatim found</t>
        </is>
      </c>
      <c r="K43" s="2" t="inlineStr">
        <is>
          <t>Medium</t>
        </is>
      </c>
      <c r="L43" s="2" t="inlineStr">
        <is>
          <t>Done (v1.0)</t>
        </is>
      </c>
      <c r="M43" s="2" t="inlineStr">
        <is>
          <t>Largely supported: no right of reply needed. Closure causes and dates are second-hand (the EHD closure reports refuse automated access); the PN's inference of years of infrastructure neglect is an opinion and is not rated.</t>
        </is>
      </c>
      <c r="N43" s="2" t="inlineStr">
        <is>
          <t>Drafted</t>
        </is>
      </c>
      <c r="O43" s="2" t="n"/>
      <c r="P43" s="2" t="n">
        <v>1</v>
      </c>
      <c r="Q43" s="2" t="inlineStr">
        <is>
          <t>Report v1.0; verdict Largely supported (moderate); no right of reply needed.</t>
        </is>
      </c>
      <c r="R43" s="2" t="inlineStr">
        <is>
          <t>Largely supported</t>
        </is>
      </c>
      <c r="S43" s="2" t="inlineStr">
        <is>
          <t>Moderate</t>
        </is>
      </c>
      <c r="T43" s="2" t="n"/>
      <c r="U43" s="2" t="inlineStr">
        <is>
          <t>Bathing water &amp; sewage</t>
        </is>
      </c>
      <c r="V43" s="2" t="inlineStr">
        <is>
          <t>2025-07-01</t>
        </is>
      </c>
      <c r="W43" s="2" t="inlineStr">
        <is>
          <t>1.0</t>
        </is>
      </c>
      <c r="X43" s="2" t="inlineStr">
        <is>
          <t>2026-10-05</t>
        </is>
      </c>
      <c r="Y43" s="2" t="inlineStr">
        <is>
          <t>C</t>
        </is>
      </c>
      <c r="Z43" s="2" t="inlineStr">
        <is>
          <t>1</t>
        </is>
      </c>
      <c r="AA43" s="2" t="inlineStr">
        <is>
          <t>2026-10-05</t>
        </is>
      </c>
      <c r="AB43" s="2" t="inlineStr"/>
      <c r="AC43" s="5" t="inlineStr">
        <is>
          <t>https://leandergrech.github.io/Mizien/claims/CC-042/</t>
        </is>
      </c>
    </row>
    <row r="44">
      <c r="A44" s="2" t="inlineStr">
        <is>
          <t>CC-043</t>
        </is>
      </c>
      <c r="B44" s="2" t="inlineStr">
        <is>
          <t>Water</t>
        </is>
      </c>
      <c r="C44" s="2" t="inlineStr">
        <is>
          <t>13 Blue Flag beaches</t>
        </is>
      </c>
      <c r="D44" s="2" t="inlineStr">
        <is>
          <t>Government of Malta (2026): Malta was awarded 13 Blue Flag beaches, a mark of clean, well-managed bathing sites.</t>
        </is>
      </c>
      <c r="E44" s="2" t="inlineStr">
        <is>
          <t>Blue Flag criteria require excellent water quality; one awarded beach closed within two days.</t>
        </is>
      </c>
      <c r="F44" s="2" t="inlineStr">
        <is>
          <t>FEE Blue Flag criteria; EHD sampling results at awarded beaches.</t>
        </is>
      </c>
      <c r="G44" s="2" t="inlineStr">
        <is>
          <t>A specific, attributable statement that public data can test.</t>
        </is>
      </c>
      <c r="H44" s="2" t="inlineStr"/>
      <c r="I44" s="2" t="inlineStr">
        <is>
          <t>Government of Malta; FEE Malta</t>
        </is>
      </c>
      <c r="J44" s="2" t="inlineStr">
        <is>
          <t>Paraphrase: locate quote</t>
        </is>
      </c>
      <c r="K44" s="2" t="inlineStr">
        <is>
          <t>Medium</t>
        </is>
      </c>
      <c r="L44" s="2" t="inlineStr">
        <is>
          <t>Queue</t>
        </is>
      </c>
      <c r="M44" s="2" t="inlineStr">
        <is>
          <t>Candidate from the 4 Oct 2026 intake: wording paraphrased from a locator source; read the primary text before any report.</t>
        </is>
      </c>
      <c r="N44" s="2" t="inlineStr">
        <is>
          <t>In progress</t>
        </is>
      </c>
      <c r="O44" s="2" t="n"/>
      <c r="P44" s="2" t="n">
        <v>1</v>
      </c>
      <c r="Q44" s="2" t="inlineStr">
        <is>
          <t>Worker A, attempt 1 (2026-10-08): source: the claim's wording ('a mark of clean, well-managed bathing sites'; dated 2026) was not found in any readable source. The 13 Blue Flags are the 2025 season (gov.mt press release PR251165, 28 Jun 2025: Ian Borg quoted only as 'The Blue Flag is more than just a symbol' via search summary); gov.mt 403 (Cloudflare), Wayback has no copy; GuideMeMalta article readable only via WebFetch (outlet text, no named-speaker quote of the claim); need the gov.mt/FEE Malta text and the 2026 season announcement, if any; tried: claim URL (TravelMole 22 Jul 2025, outlet paraphrase), gov.mt, Wayback, GuideMeMalta, MTA news, naturetrustmalta.org, 3 web searches</t>
        </is>
      </c>
      <c r="R44" s="2" t="n"/>
      <c r="S44" s="2" t="n"/>
      <c r="T44" s="2" t="n"/>
      <c r="U44" s="2" t="inlineStr">
        <is>
          <t>Bathing water &amp; sewage</t>
        </is>
      </c>
      <c r="V44" s="2" t="inlineStr">
        <is>
          <t>2026</t>
        </is>
      </c>
      <c r="W44" s="2" t="n"/>
      <c r="X44" s="2" t="inlineStr"/>
      <c r="Y44" s="2" t="inlineStr">
        <is>
          <t>A</t>
        </is>
      </c>
      <c r="Z44" s="2" t="inlineStr">
        <is>
          <t>1</t>
        </is>
      </c>
      <c r="AA44" s="2" t="inlineStr">
        <is>
          <t>2026-10-08</t>
        </is>
      </c>
      <c r="AB44" s="2" t="inlineStr">
        <is>
          <t>source: the claim's wording ('a mark of clean, well-managed bathing sites'; dated 2026) was not found in any readable source. The 13 Blue Flags are the 2025 season (gov.mt press release PR251165, 28 Jun 2025: Ian Borg quoted only as 'The Blue Flag is more than just a symbol' via search summary); gov.mt 403 (Cloudflare), Wayback has no copy; GuideMeMalta article readable only via WebFetch (outlet text, no named-speaker quote of the claim); need the gov.mt/FEE Malta text and the 2026 season announcement, if any; tried: claim URL (TravelMole 22 Jul 2025, outlet paraphrase), gov.mt, Wayback, GuideMeMalta, MTA news, naturetrustmalta.org, 3 web searches</t>
        </is>
      </c>
      <c r="AC44" s="5" t="inlineStr">
        <is>
          <t>https://leandergrech.github.io/Mizien/claims/CC-043/</t>
        </is>
      </c>
    </row>
    <row r="45">
      <c r="A45" s="2" t="inlineStr">
        <is>
          <t>CC-044</t>
        </is>
      </c>
      <c r="B45" s="2" t="inlineStr">
        <is>
          <t>Water</t>
        </is>
      </c>
      <c r="C45" s="2" t="inlineStr">
        <is>
          <t>2,400 tonnes from storm tunnels</t>
        </is>
      </c>
      <c r="D45" s="2" t="inlineStr">
        <is>
          <t>Parliamentary Secretariat for Public Works (4 Jul 2025): over 2,400 tonnes of waste are collected every year from 16 kilometres of stormwater tunnels.</t>
        </is>
      </c>
      <c r="E45" s="2" t="inlineStr">
        <is>
          <t>What the waste is (silt, debris, litter) and where uncollected waste ends up (Ta' Xbiex outlet).</t>
        </is>
      </c>
      <c r="F45" s="2" t="inlineStr">
        <is>
          <t>Public Works maintenance logs; outlet sediment data.</t>
        </is>
      </c>
      <c r="G45" s="2" t="inlineStr">
        <is>
          <t>A specific, attributable statement that public data can test.</t>
        </is>
      </c>
      <c r="H45" s="2" t="inlineStr"/>
      <c r="I45" s="2" t="inlineStr">
        <is>
          <t>Parliamentary Secretariat for Public Works</t>
        </is>
      </c>
      <c r="J45" s="2" t="inlineStr">
        <is>
          <t>Paraphrase: locate quote</t>
        </is>
      </c>
      <c r="K45" s="2" t="inlineStr">
        <is>
          <t>Medium</t>
        </is>
      </c>
      <c r="L45" s="2" t="inlineStr">
        <is>
          <t>Queue</t>
        </is>
      </c>
      <c r="M45" s="2" t="inlineStr">
        <is>
          <t>Candidate from the 4 Oct 2026 intake: wording paraphrased from a locator source; read the primary text before any report.</t>
        </is>
      </c>
      <c r="N45" s="2" t="inlineStr">
        <is>
          <t>In progress</t>
        </is>
      </c>
      <c r="O45" s="2" t="n"/>
      <c r="P45" s="2" t="n">
        <v>0</v>
      </c>
      <c r="Q45" s="2" t="inlineStr">
        <is>
          <t>Worker B, attempt 1 (2026-10-07): source: gov.mt press release PR251213 403 and Wayback reset; TVM News (4 Jul 2025) paraphrases 'removed 2,400 tonnes of waste from 16 km' without 'every year'/'annually'; only quoted words are about cleaning generally; need the press release text in a browser; tried: gov.mt, Wayback, TVM, Shift, Lovin Malta, Newsbook (unreachable), web search</t>
        </is>
      </c>
      <c r="R45" s="2" t="n"/>
      <c r="S45" s="2" t="n"/>
      <c r="T45" s="2" t="n"/>
      <c r="U45" s="2" t="inlineStr">
        <is>
          <t>Flood relief</t>
        </is>
      </c>
      <c r="V45" s="2" t="inlineStr">
        <is>
          <t>2025-07-04</t>
        </is>
      </c>
      <c r="W45" s="2" t="n"/>
      <c r="X45" s="2" t="inlineStr"/>
      <c r="Y45" s="2" t="inlineStr">
        <is>
          <t>B</t>
        </is>
      </c>
      <c r="Z45" s="2" t="inlineStr">
        <is>
          <t>1</t>
        </is>
      </c>
      <c r="AA45" s="2" t="inlineStr">
        <is>
          <t>2026-10-07</t>
        </is>
      </c>
      <c r="AB45" s="2" t="inlineStr">
        <is>
          <t>source: gov.mt press release PR251213 403 and Wayback reset; TVM News (4 Jul 2025) paraphrases 'removed 2,400 tonnes of waste from 16 km' without 'every year'/'annually'; only quoted words are about cleaning generally; need the press release text in a browser; tried: gov.mt, Wayback, TVM, Shift, Lovin Malta, Newsbook (unreachable), web search</t>
        </is>
      </c>
      <c r="AC45" s="5" t="inlineStr">
        <is>
          <t>https://leandergrech.github.io/Mizien/claims/CC-044/</t>
        </is>
      </c>
    </row>
    <row r="46">
      <c r="A46" s="2" t="inlineStr">
        <is>
          <t>CC-045</t>
        </is>
      </c>
      <c r="B46" s="2" t="inlineStr">
        <is>
          <t>Water</t>
        </is>
      </c>
      <c r="C46" s="2" t="inlineStr">
        <is>
          <t>Do 20 km of tunnels manage flooding?</t>
        </is>
      </c>
      <c r="D46" s="2" t="inlineStr">
        <is>
          <t>Public Works Department (TVM News, 4 Jul 2025): the department is working to increase from 16 km to 20 km the infrastructure of canals, tunnels and culverts in use to reduce flooding (TVM's summary), and Mario Ellul, Director of the Coastal and Stormwater Unit, is quoted by TVM as saying that these systems, "particularly for the Birkirkara localities", "avoid flooding and damage caused by waters every time it rains". A MaltaToday headline (undated), "20 kilometres of underground tunnel helped Malta manage its flooding problems", located the claim; it is headline wording, not the speaker's, and is not rated.</t>
        </is>
      </c>
      <c r="E46" s="2" t="inlineStr">
        <is>
          <t>The department puts 16 km in use and 4 km planned (not rated); flooding was reported in project localities in Sep 2020 (news report) and two further tunnels were planned in 2022; the system is designed for a 5-year storm only; no before-and-after incident data found in the sources searched (partial search, logged in literature/CC-045/notes.md); the Energy and Water Agency says it compared flood hazard before and after the works but we found no results.</t>
        </is>
      </c>
      <c r="F46" s="2" t="inlineStr">
        <is>
          <t>Flood incident records before and after; rainfall data.</t>
        </is>
      </c>
      <c r="G46" s="2" t="inlineStr">
        <is>
          <t>A specific, attributable statement that public data can test.</t>
        </is>
      </c>
      <c r="H46" s="2" t="inlineStr">
        <is>
          <t>Input-as-outcome</t>
        </is>
      </c>
      <c r="I46" s="2" t="inlineStr">
        <is>
          <t>Public Works Department; Government of Malta</t>
        </is>
      </c>
      <c r="J46" s="2" t="inlineStr">
        <is>
          <t>Verbatim found</t>
        </is>
      </c>
      <c r="K46" s="2" t="inlineStr">
        <is>
          <t>Medium</t>
        </is>
      </c>
      <c r="L46" s="2" t="inlineStr">
        <is>
          <t>Done (v1.0)</t>
        </is>
      </c>
      <c r="M46" s="2" t="inlineStr">
        <is>
          <t>Right of reply on hold until the Energy and Water Agency's before-and-after comparison is read (then to the Public Works Department). The original gov.mt release and the MaltaToday article were refused to scripts (403); wording is from TVM News's account, which prints the Ellul sentence as an attributed pull-quote without quotation marks. Luqa rainfall is one gauge with gaps after 2019 and is context only. No flood-incident series was found in a partial, logged search (literature/CC-045/notes.md); that is not proof none exists. The Energy and Water Agency's before-and-after comparison of the project (2nd Flood Risk Management Plan, measure FLD1) was not seen; it could change the verdict. The verdict rests on sub-claims C and D; A is not rated.</t>
        </is>
      </c>
      <c r="N46" s="2" t="inlineStr">
        <is>
          <t>Drafted</t>
        </is>
      </c>
      <c r="O46" s="2" t="n"/>
      <c r="P46" s="2" t="n">
        <v>0</v>
      </c>
      <c r="Q46" s="2" t="inlineStr">
        <is>
          <t>Report v1.1; verdict Not substantiated (moderate); right of reply to send (draft; not for circulation before the deadline).</t>
        </is>
      </c>
      <c r="R46" s="2" t="inlineStr">
        <is>
          <t>Not substantiated</t>
        </is>
      </c>
      <c r="S46" s="2" t="inlineStr">
        <is>
          <t>Moderate</t>
        </is>
      </c>
      <c r="T46" s="2" t="n"/>
      <c r="U46" s="2" t="inlineStr">
        <is>
          <t>Flood relief</t>
        </is>
      </c>
      <c r="V46" s="2" t="inlineStr">
        <is>
          <t>2025-07-04</t>
        </is>
      </c>
      <c r="W46" s="2" t="inlineStr">
        <is>
          <t>1.1</t>
        </is>
      </c>
      <c r="X46" s="2" t="inlineStr">
        <is>
          <t>2026-10-06</t>
        </is>
      </c>
      <c r="Y46" s="2" t="inlineStr">
        <is>
          <t>C</t>
        </is>
      </c>
      <c r="Z46" s="2" t="inlineStr">
        <is>
          <t>0</t>
        </is>
      </c>
      <c r="AA46" s="2" t="inlineStr">
        <is>
          <t>2026-10-06</t>
        </is>
      </c>
      <c r="AB46" s="2" t="inlineStr"/>
      <c r="AC46" s="5" t="inlineStr">
        <is>
          <t>https://leandergrech.github.io/Mizien/claims/CC-045/</t>
        </is>
      </c>
    </row>
    <row r="47">
      <c r="A47" s="2" t="inlineStr">
        <is>
          <t>CC-046</t>
        </is>
      </c>
      <c r="B47" s="2" t="inlineStr">
        <is>
          <t>Water</t>
        </is>
      </c>
      <c r="C47" s="2" t="inlineStr">
        <is>
          <t>Gozo water autonomy</t>
        </is>
      </c>
      <c r="D47" s="2" t="inlineStr">
        <is>
          <t>WSC / suppliers: the new Gozo reverse osmosis plant (about 9 million litres a day) gives Gozo water autonomy.</t>
        </is>
      </c>
      <c r="E47" s="2" t="inlineStr">
        <is>
          <t>Autonomy depends on peak summer demand vs capacity, and on the cross-channel pipeline.</t>
        </is>
      </c>
      <c r="F47" s="2" t="inlineStr">
        <is>
          <t>Gozo demand by month; plant output; pipeline transfers.</t>
        </is>
      </c>
      <c r="G47" s="2" t="inlineStr">
        <is>
          <t>A specific, attributable statement that public data can test.</t>
        </is>
      </c>
      <c r="H47" s="2" t="inlineStr"/>
      <c r="I47" s="2" t="inlineStr">
        <is>
          <t>Water Services Corporation</t>
        </is>
      </c>
      <c r="J47" s="2" t="inlineStr">
        <is>
          <t>Paraphrase: locate quote</t>
        </is>
      </c>
      <c r="K47" s="2" t="inlineStr">
        <is>
          <t>Medium</t>
        </is>
      </c>
      <c r="L47" s="2" t="inlineStr">
        <is>
          <t>Queue</t>
        </is>
      </c>
      <c r="M47" s="2" t="inlineStr">
        <is>
          <t>Candidate from the 4 Oct 2026 intake: wording paraphrased from a locator source; read the primary text before any report.</t>
        </is>
      </c>
      <c r="N47" s="2" t="inlineStr">
        <is>
          <t>In progress</t>
        </is>
      </c>
      <c r="O47" s="2" t="n"/>
      <c r="P47" s="2" t="n">
        <v>0</v>
      </c>
      <c r="Q47" s="2" t="inlineStr">
        <is>
          <t>Worker A, attempt 1 (2026-10-08): source: no WSC wording in quotation marks. The claim record's source (Smart Water Magazine, 25 Jan 2023) quotes only its contractor (AST &amp; ROTEC) on the environment; GuideMeMalta (19 Nov 2021) is the outlet's narration ('no longer be dependent on Malta'; 9,000 m3/day unattributed); MaltaToday (inauguration, PM Abela on 'autonomy') 403 to scripts and WebFetch, seen only in search summaries (second-hand); need the 18-19 Nov 2021 gov.mt/WSC release or a TVM/MaltaToday text; tried: Smart Water Magazine, GuideMeMalta, MaltaToday, 2 web searches</t>
        </is>
      </c>
      <c r="R47" s="2" t="n"/>
      <c r="S47" s="2" t="n"/>
      <c r="T47" s="2" t="n"/>
      <c r="U47" s="2" t="inlineStr">
        <is>
          <t>Water supply &amp; groundwater</t>
        </is>
      </c>
      <c r="V47" s="2" t="inlineStr"/>
      <c r="W47" s="2" t="n"/>
      <c r="X47" s="2" t="inlineStr"/>
      <c r="Y47" s="2" t="inlineStr">
        <is>
          <t>A</t>
        </is>
      </c>
      <c r="Z47" s="2" t="inlineStr">
        <is>
          <t>1</t>
        </is>
      </c>
      <c r="AA47" s="2" t="inlineStr">
        <is>
          <t>2026-10-08</t>
        </is>
      </c>
      <c r="AB47" s="2" t="inlineStr">
        <is>
          <t>source: no WSC wording in quotation marks. The claim record's source (Smart Water Magazine, 25 Jan 2023) quotes only its contractor (AST &amp; ROTEC) on the environment; GuideMeMalta (19 Nov 2021) is the outlet's narration ('no longer be dependent on Malta'; 9,000 m3/day unattributed); MaltaToday (inauguration, PM Abela on 'autonomy') 403 to scripts and WebFetch, seen only in search summaries (second-hand); need the 18-19 Nov 2021 gov.mt/WSC release or a TVM/MaltaToday text; tried: Smart Water Magazine, GuideMeMalta, MaltaToday, 2 web searches</t>
        </is>
      </c>
      <c r="AC47" s="5" t="inlineStr">
        <is>
          <t>https://leandergrech.github.io/Mizien/claims/CC-046/</t>
        </is>
      </c>
    </row>
    <row r="48">
      <c r="A48" s="2" t="inlineStr">
        <is>
          <t>CC-047</t>
        </is>
      </c>
      <c r="B48" s="2" t="inlineStr">
        <is>
          <t>Water</t>
        </is>
      </c>
      <c r="C48" s="2" t="inlineStr">
        <is>
          <t>Nitrates in the aquifer</t>
        </is>
      </c>
      <c r="D48" s="2" t="inlineStr">
        <is>
          <t>MaltaToday (James Debono, 13 February 2026), quoting Laudi et al. (J. Hydrol.: Regional Studies, 2026): nitrate in the eastern areas of the Mean Sea Level Aquifer ranges from 100 to 200 mg/L, which the article describes as two to four times the EU limit of 50 mg/L.</t>
        </is>
      </c>
      <c r="E48" s="2" t="inlineStr">
        <is>
          <t>Commission fiche (EWA data): 68.2% of 44 groundwater points average 50 mg/L or more in 2020-2023 (63.6% in 2016-2019); 35 hotspots; 83.3% of 5-15 m wells. The same team's 2025 abstract gives 75-200 mg/L under potato and forage fields but 25-100 mg/L in the regional aquifer under the north-west perched aquifer, so levels differ by area. No independent per-aquifer series for the eastern MSLA.</t>
        </is>
      </c>
      <c r="F48" s="2" t="inlineStr">
        <is>
          <t>100/50 = 2 and 200/50 = 4; Commission 2020-2023 monitoring shares (tools/cc-047-report/calc.py); comparison with the team's 2025 abstract.</t>
        </is>
      </c>
      <c r="G48" s="2" t="inlineStr">
        <is>
          <t>Done: Claim Check 047 report and flyer.</t>
        </is>
      </c>
      <c r="H48" s="2" t="inlineStr"/>
      <c r="I48" s="2" t="inlineStr">
        <is>
          <t>MaltaToday</t>
        </is>
      </c>
      <c r="J48" s="2" t="inlineStr">
        <is>
          <t>Verbatim found</t>
        </is>
      </c>
      <c r="K48" s="2" t="inlineStr">
        <is>
          <t>Medium</t>
        </is>
      </c>
      <c r="L48" s="2" t="inlineStr">
        <is>
          <t>Done (v1.0)</t>
        </is>
      </c>
      <c r="M48" s="2" t="inlineStr">
        <is>
          <t>Largely supported: no right of reply needed. The 100-200 mg/L sentence is second-hand (paper full text blocked). Tap-water levels not tested; the study excluded animal husbandry.</t>
        </is>
      </c>
      <c r="N48" s="2" t="inlineStr">
        <is>
          <t>Drafted</t>
        </is>
      </c>
      <c r="O48" s="2" t="n"/>
      <c r="P48" s="2" t="n">
        <v>2</v>
      </c>
      <c r="Q48" s="2" t="inlineStr">
        <is>
          <t>Report v1.0; verdict Largely supported (moderate); no right of reply needed.</t>
        </is>
      </c>
      <c r="R48" s="2" t="inlineStr">
        <is>
          <t>Largely supported</t>
        </is>
      </c>
      <c r="S48" s="2" t="inlineStr">
        <is>
          <t>Moderate</t>
        </is>
      </c>
      <c r="T48" s="2" t="n"/>
      <c r="U48" s="2" t="inlineStr">
        <is>
          <t>Water supply &amp; groundwater</t>
        </is>
      </c>
      <c r="V48" s="2" t="inlineStr">
        <is>
          <t>2026-02-13</t>
        </is>
      </c>
      <c r="W48" s="2" t="inlineStr">
        <is>
          <t>1.0</t>
        </is>
      </c>
      <c r="X48" s="2" t="inlineStr">
        <is>
          <t>2026-10-05</t>
        </is>
      </c>
      <c r="Y48" s="2" t="inlineStr">
        <is>
          <t>B</t>
        </is>
      </c>
      <c r="Z48" s="2" t="inlineStr">
        <is>
          <t>1</t>
        </is>
      </c>
      <c r="AA48" s="2" t="inlineStr">
        <is>
          <t>2026-10-05</t>
        </is>
      </c>
      <c r="AB48" s="2" t="inlineStr"/>
      <c r="AC48" s="5" t="inlineStr">
        <is>
          <t>https://leandergrech.github.io/Mizien/claims/CC-047/</t>
        </is>
      </c>
    </row>
    <row r="49">
      <c r="A49" s="2" t="inlineStr">
        <is>
          <t>CC-048</t>
        </is>
      </c>
      <c r="B49" s="2" t="inlineStr">
        <is>
          <t>Nature &amp; Wildlife</t>
        </is>
      </c>
      <c r="C49" s="2" t="inlineStr">
        <is>
          <t>Sea urchins recovering</t>
        </is>
      </c>
      <c r="D49" s="2" t="inlineStr">
        <is>
          <t>Government of Malta (9 Jul 2025): the sea urchin collection moratorium is working, with populations up at about 60% of surveyed locations; it is extended to July 2027.</t>
        </is>
      </c>
      <c r="E49" s="2" t="inlineStr">
        <is>
          <t>Monitoring at 10 sites; recovery uneven; the survey method and baseline are not public in the release.</t>
        </is>
      </c>
      <c r="F49" s="2" t="inlineStr">
        <is>
          <t>ERA monitoring data by site; size-class distributions.</t>
        </is>
      </c>
      <c r="G49" s="2" t="inlineStr">
        <is>
          <t>A specific, attributable statement that public data can test.</t>
        </is>
      </c>
      <c r="H49" s="2" t="inlineStr"/>
      <c r="I49" s="2" t="inlineStr">
        <is>
          <t>Ministry for the Environment; Ministry for Agriculture, Fisheries and Animal Rights</t>
        </is>
      </c>
      <c r="J49" s="2" t="inlineStr">
        <is>
          <t>Paraphrase: locate quote</t>
        </is>
      </c>
      <c r="K49" s="2" t="inlineStr">
        <is>
          <t>Medium</t>
        </is>
      </c>
      <c r="L49" s="2" t="inlineStr">
        <is>
          <t>Queue</t>
        </is>
      </c>
      <c r="M49" s="2" t="inlineStr">
        <is>
          <t>Candidate from the 4 Oct 2026 intake: wording paraphrased from a locator source; read the primary text before any report.</t>
        </is>
      </c>
      <c r="N49" s="2" t="inlineStr">
        <is>
          <t>In progress</t>
        </is>
      </c>
      <c r="O49" s="2" t="n"/>
      <c r="P49" s="2" t="n">
        <v>0</v>
      </c>
      <c r="Q49" s="2" t="inlineStr">
        <is>
          <t>Worker C, attempt 1 (2026-10-07): source: the government press release wording (gov.mt pr251246en, 9 Jul 2025) with quotation marks; every readable copy (Italpress/MNA 10 Jul 2025, Divinginfo.mt) is the outlet's paraphrase, and 'working' is not in any of them; tried: gov.mt URL (403), Wayback (reset), web search (3 queries), Italpress, Divinginfo, MaltaToday/ERA/Guide Me Malta (403/Cloudflare), TVM/Newsbook/Lovin site search</t>
        </is>
      </c>
      <c r="R49" s="2" t="n"/>
      <c r="S49" s="2" t="n"/>
      <c r="T49" s="2" t="n"/>
      <c r="U49" s="2" t="inlineStr">
        <is>
          <t>Marine protection</t>
        </is>
      </c>
      <c r="V49" s="2" t="inlineStr">
        <is>
          <t>2025-07-09</t>
        </is>
      </c>
      <c r="W49" s="2" t="n"/>
      <c r="X49" s="2" t="inlineStr"/>
      <c r="Y49" s="2" t="inlineStr">
        <is>
          <t>C</t>
        </is>
      </c>
      <c r="Z49" s="2" t="inlineStr">
        <is>
          <t>1</t>
        </is>
      </c>
      <c r="AA49" s="2" t="inlineStr">
        <is>
          <t>2026-10-07</t>
        </is>
      </c>
      <c r="AB49" s="2" t="inlineStr">
        <is>
          <t>source: the government press release wording (gov.mt pr251246en, 9 Jul 2025) with quotation marks; every readable copy (Italpress/MNA 10 Jul 2025, Divinginfo.mt) is the outlet's paraphrase, and 'working' is not in any of them; tried: gov.mt URL (403), Wayback (reset), web search (3 queries), Italpress, Divinginfo, MaltaToday/ERA/Guide Me Malta (403/Cloudflare), TVM/Newsbook/Lovin site search</t>
        </is>
      </c>
      <c r="AC49" s="5" t="inlineStr">
        <is>
          <t>https://leandergrech.github.io/Mizien/claims/CC-048/</t>
        </is>
      </c>
    </row>
    <row r="50">
      <c r="A50" s="2" t="inlineStr">
        <is>
          <t>CC-049</t>
        </is>
      </c>
      <c r="B50" s="2" t="inlineStr">
        <is>
          <t>Nature &amp; Wildlife</t>
        </is>
      </c>
      <c r="C50" s="2" t="inlineStr">
        <is>
          <t>242 illegal hunting incidents</t>
        </is>
      </c>
      <c r="D50" s="2" t="inlineStr">
        <is>
          <t>BirdLife Malta (press release, 10 Oct 2025): its 2025 Raptor Camp teams recorded 242 illegal hunting incidents between 12 September and 5 October, and police took an average of 51 minutes to respond to their reports.</t>
        </is>
      </c>
      <c r="E50" s="2" t="inlineStr">
        <is>
          <t>NGO incident logs vs police and WBRU enforcement data; reporting coverage.</t>
        </is>
      </c>
      <c r="F50" s="2" t="inlineStr">
        <is>
          <t>Police/ELU case data; WBRU reports; PQ answers.</t>
        </is>
      </c>
      <c r="G50" s="2" t="inlineStr">
        <is>
          <t>A specific, attributable statement that public data can test.</t>
        </is>
      </c>
      <c r="H50" s="2" t="inlineStr"/>
      <c r="I50" s="2" t="inlineStr">
        <is>
          <t>BirdLife Malta</t>
        </is>
      </c>
      <c r="J50" s="2" t="inlineStr">
        <is>
          <t>Verbatim found</t>
        </is>
      </c>
      <c r="K50" s="2" t="inlineStr">
        <is>
          <t>Medium</t>
        </is>
      </c>
      <c r="L50" s="2" t="inlineStr">
        <is>
          <t>Queue</t>
        </is>
      </c>
      <c r="M50" s="2" t="inlineStr">
        <is>
          <t>Candidate from the 4 Oct 2026 intake: wording paraphrased from a locator source; read the primary text before any report.</t>
        </is>
      </c>
      <c r="N50" s="2" t="inlineStr">
        <is>
          <t>In progress</t>
        </is>
      </c>
      <c r="O50" s="2" t="n"/>
      <c r="P50" s="2" t="n">
        <v>0</v>
      </c>
      <c r="Q50" s="2" t="inlineStr">
        <is>
          <t>Worker A, attempt 1 (2026-10-05): source: BirdLife Raptor Camp 2025 incident log or report table; police/EPU response-time data or PQ answer for 12 Sep-5 Oct 2025; WBRU autumn 2025 report; earlier Raptor Camp totals. tried: birdlifemalta.org, newsbook, independent.com.mt (403), maltatoday (403), web search</t>
        </is>
      </c>
      <c r="R50" s="2" t="n"/>
      <c r="S50" s="2" t="n"/>
      <c r="T50" s="2" t="n"/>
      <c r="U50" s="2" t="inlineStr">
        <is>
          <t>Hunting &amp; birds</t>
        </is>
      </c>
      <c r="V50" s="2" t="inlineStr">
        <is>
          <t>2025-10-10</t>
        </is>
      </c>
      <c r="W50" s="2" t="n"/>
      <c r="X50" s="2" t="inlineStr"/>
      <c r="Y50" s="2" t="inlineStr">
        <is>
          <t>A</t>
        </is>
      </c>
      <c r="Z50" s="2" t="inlineStr">
        <is>
          <t>1</t>
        </is>
      </c>
      <c r="AA50" s="2" t="inlineStr">
        <is>
          <t>2026-10-05</t>
        </is>
      </c>
      <c r="AB50" s="2" t="inlineStr">
        <is>
          <t>source: BirdLife Raptor Camp 2025 incident log or report table; police/EPU response-time data or PQ answer for 12 Sep-5 Oct 2025; WBRU autumn 2025 report; earlier Raptor Camp totals. tried: birdlifemalta.org, newsbook, independent.com.mt (403), maltatoday (403), web search</t>
        </is>
      </c>
      <c r="AC50" s="5" t="inlineStr">
        <is>
          <t>https://leandergrech.github.io/Mizien/claims/CC-049/</t>
        </is>
      </c>
    </row>
    <row r="51">
      <c r="A51" s="2" t="inlineStr">
        <is>
          <t>CC-050</t>
        </is>
      </c>
      <c r="B51" s="2" t="inlineStr">
        <is>
          <t>Nature &amp; Wildlife</t>
        </is>
      </c>
      <c r="C51" s="2" t="inlineStr">
        <is>
          <t>'Race to weaken hunting laws'</t>
        </is>
      </c>
      <c r="D51" s="2" t="inlineStr">
        <is>
          <t>BirdLife Malta (press release, 27 May 2026): Labour and the PN are in a 'dangerous political race' to weaken environmental enforcement on hunting and trapping, three days before the general election.</t>
        </is>
      </c>
      <c r="E51" s="2" t="inlineStr">
        <is>
          <t>Labour's manifesto (items 63-64) commits only to defend EU-permitted derogations and safeguard hunting and trapping; it has nothing on fines or licences. The fine cuts (EUR 5,000 to 3,000 first offence; 10,000 to 6,000 repeat, -40%) and licence reapplication come from a minister's campaign statement and an ORNIS Committee proposal of 23 Sep 2026, known only through Newsbook and BirdLife Malta. For the PN, Alex Borg said hunting and trapping 'will be safeguarded' (Lovin Malta); the 16 chapters of the PN programme have no hunting item, and no PN proposal to cut fines or restore licences was found. The reading that the pledge overrides the Birds Directive is BirdLife Malta's inference. The consolidated S.L. 549.42 has no 2026 amendment.</t>
        </is>
      </c>
      <c r="F51" s="2" t="inlineStr">
        <is>
          <t>Labour manifesto PDF and PN programme (16 chapters) searched; S.L. 549.42 consolidated text; reduction computed in tools/cc-050-report/calc.py.</t>
        </is>
      </c>
      <c r="G51" s="2" t="inlineStr">
        <is>
          <t>Done: Claim Check 050 report and flyer.</t>
        </is>
      </c>
      <c r="H51" s="2" t="inlineStr"/>
      <c r="I51" s="2" t="inlineStr">
        <is>
          <t>BirdLife Malta</t>
        </is>
      </c>
      <c r="J51" s="2" t="inlineStr">
        <is>
          <t>Verbatim found</t>
        </is>
      </c>
      <c r="K51" s="2" t="inlineStr">
        <is>
          <t>Medium</t>
        </is>
      </c>
      <c r="L51" s="2" t="inlineStr">
        <is>
          <t>Done (v1.0)</t>
        </is>
      </c>
      <c r="M51" s="2" t="inlineStr">
        <is>
          <t>Not substantiated: pending right of reply (to be sought by the maintainer from BirdLife Malta). Shown for Labour, not for the PN. The minister's and Mr Borg's words are second-hand (news); the ORNIS presentation is not public; the PN programme was read as web chapters. The release's body text is hedged ('appears', 'statements indicating'); the headline is not.</t>
        </is>
      </c>
      <c r="N51" s="2" t="inlineStr">
        <is>
          <t>Drafted</t>
        </is>
      </c>
      <c r="O51" s="2" t="n"/>
      <c r="P51" s="2" t="n">
        <v>0</v>
      </c>
      <c r="Q51" s="2" t="inlineStr">
        <is>
          <t>Report v1.0; verdict Not substantiated (moderate); right of reply to send (draft; not for circulation before the deadline).</t>
        </is>
      </c>
      <c r="R51" s="2" t="inlineStr">
        <is>
          <t>Not substantiated</t>
        </is>
      </c>
      <c r="S51" s="2" t="inlineStr">
        <is>
          <t>Moderate</t>
        </is>
      </c>
      <c r="T51" s="2" t="n"/>
      <c r="U51" s="2" t="inlineStr">
        <is>
          <t>Hunting &amp; birds</t>
        </is>
      </c>
      <c r="V51" s="2" t="inlineStr">
        <is>
          <t>2026-05-27</t>
        </is>
      </c>
      <c r="W51" s="2" t="inlineStr">
        <is>
          <t>1.0</t>
        </is>
      </c>
      <c r="X51" s="2" t="inlineStr">
        <is>
          <t>2026-10-05</t>
        </is>
      </c>
      <c r="Y51" s="2" t="inlineStr">
        <is>
          <t>B</t>
        </is>
      </c>
      <c r="Z51" s="2" t="inlineStr">
        <is>
          <t>1</t>
        </is>
      </c>
      <c r="AA51" s="2" t="inlineStr">
        <is>
          <t>2026-10-05</t>
        </is>
      </c>
      <c r="AB51" s="2" t="inlineStr"/>
      <c r="AC51" s="5" t="inlineStr">
        <is>
          <t>https://leandergrech.github.io/Mizien/claims/CC-050/</t>
        </is>
      </c>
    </row>
    <row r="52">
      <c r="A52" s="2" t="inlineStr">
        <is>
          <t>CC-051</t>
        </is>
      </c>
      <c r="B52" s="2" t="inlineStr">
        <is>
          <t>Nature &amp; Wildlife</t>
        </is>
      </c>
      <c r="C52" s="2" t="inlineStr">
        <is>
          <t>'Over 30% of our seas protected'</t>
        </is>
      </c>
      <c r="D52" s="2" t="inlineStr">
        <is>
          <t>Environment Minister Miriam Dalli (2025, as quoted by Amphora Media): 'Malta protects more than 30% of its maritime zone'. ERA: the marine Natura 2000 network of 18 sites covers over 4,100 km2, 'more than 35% of Malta's Fisheries Management Zone'.</t>
        </is>
      </c>
      <c r="E52" s="2" t="inlineStr">
        <is>
          <t>Mapped from EEA boundaries, Malta's 18 marine Natura 2000 sites cover 4,137.5 km2 of sea, and all of it lies within 25 nautical miles of the coast. That is 36.0% of the 25-nm Fisheries Management Zone (11,480 km2), which ERA names, but 7.8% of the EEZ as mapped internationally (52,923 km2) and 5.5% of the 75,715 km2 of sea Malta reports to the EU. Beyond 25 nm, about 64,000 km2 (85% of the waters reported to the EU) contains no marine protected site; even protecting the whole 25-nm zone would cover 15% of those waters. The deep sea (over 1,000 m, a quarter of the waters) is 0.6% protected. Reaching 30% on the EU basis needs ~18,600 km2 more. The minister's 'maritime zone' does not name the 25-nm zone.</t>
        </is>
      </c>
      <c r="F52" s="2" t="inlineStr">
        <is>
          <t>EEA Natura 2000 boundaries (2024); Fisheries Management Zone rebuilt from the Marine Regions 12-nm limit; Marine Regions EEZ v12; EEA map of the marine waters reported under the MSFD; EMODnet depth grid; BISE country page.</t>
        </is>
      </c>
      <c r="G52" s="2" t="inlineStr">
        <is>
          <t>Done: Claim Check 051 report and flyer (v1.1 adds maps of all of Malta's reported waters).</t>
        </is>
      </c>
      <c r="H52" s="2" t="inlineStr"/>
      <c r="I52" s="2" t="inlineStr">
        <is>
          <t>Miriam Dalli, Environment Minister; Environment and Resources Authority (ERA)</t>
        </is>
      </c>
      <c r="J52" s="2" t="inlineStr">
        <is>
          <t>Verbatim found</t>
        </is>
      </c>
      <c r="K52" s="2" t="inlineStr">
        <is>
          <t>Medium</t>
        </is>
      </c>
      <c r="L52" s="2" t="inlineStr">
        <is>
          <t>Done (v1.1)</t>
        </is>
      </c>
      <c r="M52" s="2" t="inlineStr">
        <is>
          <t>Right of reply to the Environment Ministry and ERA not yet sent. Minister's words second-hand (Amphora). Designation only; management not assessed.</t>
        </is>
      </c>
      <c r="N52" s="2" t="inlineStr">
        <is>
          <t>Drafted</t>
        </is>
      </c>
      <c r="O52" s="2" t="n"/>
      <c r="P52" s="2" t="n">
        <v>1</v>
      </c>
      <c r="Q52" s="2" t="inlineStr">
        <is>
          <t>Report v1.1; verdict Misleading (moderate); right of reply to send (draft; not for circulation before the deadline).</t>
        </is>
      </c>
      <c r="R52" s="2" t="inlineStr">
        <is>
          <t>Misleading</t>
        </is>
      </c>
      <c r="S52" s="2" t="inlineStr">
        <is>
          <t>Moderate</t>
        </is>
      </c>
      <c r="T52" s="2" t="n"/>
      <c r="U52" s="2" t="inlineStr">
        <is>
          <t>Marine protection</t>
        </is>
      </c>
      <c r="V52" s="2" t="inlineStr">
        <is>
          <t>2025</t>
        </is>
      </c>
      <c r="W52" s="2" t="inlineStr">
        <is>
          <t>1.1</t>
        </is>
      </c>
      <c r="X52" s="2" t="inlineStr">
        <is>
          <t>2026-10-04</t>
        </is>
      </c>
      <c r="Y52" s="2" t="inlineStr">
        <is>
          <t>C</t>
        </is>
      </c>
      <c r="Z52" s="2" t="inlineStr">
        <is>
          <t>1</t>
        </is>
      </c>
      <c r="AA52" s="2" t="inlineStr">
        <is>
          <t>2026-10-04</t>
        </is>
      </c>
      <c r="AB52" s="2" t="inlineStr"/>
      <c r="AC52" s="5" t="inlineStr">
        <is>
          <t>https://leandergrech.github.io/Mizien/claims/CC-051/</t>
        </is>
      </c>
    </row>
    <row r="53">
      <c r="A53" s="2" t="inlineStr">
        <is>
          <t>CC-052</t>
        </is>
      </c>
      <c r="B53" s="2" t="inlineStr">
        <is>
          <t>Nature &amp; Wildlife</t>
        </is>
      </c>
      <c r="C53" s="2" t="inlineStr">
        <is>
          <t>Fish-farm slime 'promptly contained'</t>
        </is>
      </c>
      <c r="D53" s="2" t="inlineStr">
        <is>
          <t>ERA (Aug 2025): whenever fish slime is detected, often before it reaches the shore, ERA promptly instructs tuna-farm operators to contain and collect it; farms have been moved about 6 km offshore.</t>
        </is>
      </c>
      <c r="E53" s="2" t="inlineStr">
        <is>
          <t>Recurring slime episodes on beaches; permit conditions and enforcement records.</t>
        </is>
      </c>
      <c r="F53" s="2" t="inlineStr">
        <is>
          <t>ERA permit conditions; incident and enforcement logs.</t>
        </is>
      </c>
      <c r="G53" s="2" t="inlineStr">
        <is>
          <t>A specific, attributable statement that public data can test.</t>
        </is>
      </c>
      <c r="H53" s="2" t="inlineStr"/>
      <c r="I53" s="2" t="inlineStr">
        <is>
          <t>Environment and Resources Authority (ERA)</t>
        </is>
      </c>
      <c r="J53" s="2" t="inlineStr">
        <is>
          <t>Paraphrase: locate quote</t>
        </is>
      </c>
      <c r="K53" s="2" t="inlineStr">
        <is>
          <t>Medium</t>
        </is>
      </c>
      <c r="L53" s="2" t="inlineStr">
        <is>
          <t>Queue</t>
        </is>
      </c>
      <c r="M53" s="2" t="inlineStr">
        <is>
          <t>Candidate from the 4 Oct 2026 intake: wording paraphrased from a locator source; read the primary text before any report.</t>
        </is>
      </c>
      <c r="N53" s="2" t="inlineStr">
        <is>
          <t>In progress</t>
        </is>
      </c>
      <c r="O53" s="2" t="n"/>
      <c r="P53" s="2" t="n">
        <v>0</v>
      </c>
      <c r="Q53" s="2" t="inlineStr">
        <is>
          <t>Worker A, attempt 1 (2026-10-08): source: ERA's own text not found. Atuna (18 Aug 2025) quotes ERA's first half ('Whenever fish slime is detected, often before it reaches the shore, ERA promptly instructs operators to take all necessary measures to contain and collect it') but credits 'Maltese news sites' (relay, not the original) and does not carry the 'about 6 km offshore' sentence in ERA's words; need the original ERA statement/outlet report (Times of Malta, MaltaToday, Newsbook) with the full passage; tried: Atuna (WebFetch), 2 web searches (found only the 2017-2021 slime pieces and a 5-6 km aquaculture-zone figure from other years)</t>
        </is>
      </c>
      <c r="R53" s="2" t="n"/>
      <c r="S53" s="2" t="n"/>
      <c r="T53" s="2" t="n"/>
      <c r="U53" s="2" t="inlineStr">
        <is>
          <t>Marine protection</t>
        </is>
      </c>
      <c r="V53" s="2" t="inlineStr">
        <is>
          <t>2025-08</t>
        </is>
      </c>
      <c r="W53" s="2" t="n"/>
      <c r="X53" s="2" t="inlineStr"/>
      <c r="Y53" s="2" t="inlineStr">
        <is>
          <t>A</t>
        </is>
      </c>
      <c r="Z53" s="2" t="inlineStr">
        <is>
          <t>1</t>
        </is>
      </c>
      <c r="AA53" s="2" t="inlineStr">
        <is>
          <t>2026-10-08</t>
        </is>
      </c>
      <c r="AB53" s="2" t="inlineStr">
        <is>
          <t>source: ERA's own text not found. Atuna (18 Aug 2025) quotes ERA's first half ('Whenever fish slime is detected, often before it reaches the shore, ERA promptly instructs operators to take all necessary measures to contain and collect it') but credits 'Maltese news sites' (relay, not the original) and does not carry the 'about 6 km offshore' sentence in ERA's words; need the original ERA statement/outlet report (Times of Malta, MaltaToday, Newsbook) with the full passage; tried: Atuna (WebFetch), 2 web searches (found only the 2017-2021 slime pieces and a 5-6 km aquaculture-zone figure from other years)</t>
        </is>
      </c>
      <c r="AC53" s="5" t="inlineStr">
        <is>
          <t>https://leandergrech.github.io/Mizien/claims/CC-052/</t>
        </is>
      </c>
    </row>
    <row r="54">
      <c r="A54" s="2" t="inlineStr">
        <is>
          <t>CC-053</t>
        </is>
      </c>
      <c r="B54" s="2" t="inlineStr">
        <is>
          <t>Nature &amp; Wildlife</t>
        </is>
      </c>
      <c r="C54" s="2" t="inlineStr">
        <is>
          <t>Milky Way visible from 13% of Malta</t>
        </is>
      </c>
      <c r="D54" s="2" t="inlineStr">
        <is>
          <t>University of Malta researchers (Caruana et al., Journal of Environmental Management, 2020): 87% of the area of the Maltese Islands registers Bortle class 5 or brighter night skies, and the Milky Way is visible from only 12.8% of the area (reported as 'about 13%').</t>
        </is>
      </c>
      <c r="E54" s="2" t="inlineStr">
        <is>
          <t>The study gives 12.8% (Bortle class 4) or 13.5% (world atlas threshold); 87.2% of the area is in classes 5-9. Area-weighting the island results gives 11.6% (the paper weights 347 survey cells). The 2016 world atlas gave 11%. Threshold sensitivity 6.3-25.9%. Data are from 2017-2019; on the island of Malta class 4 fell from 3.9% to 1.6% between the two surveys; no survey since.</t>
        </is>
      </c>
      <c r="F54" s="2" t="inlineStr">
        <is>
          <t>Caruana et al. (2020) Table 1, recomputed with OpenStreetMap island areas (tools/cc-053-report/calc.py); Falchi et al. (2016).</t>
        </is>
      </c>
      <c r="G54" s="2" t="inlineStr">
        <is>
          <t>Done: Claim Check 053 report and flyer.</t>
        </is>
      </c>
      <c r="H54" s="2" t="inlineStr"/>
      <c r="I54" s="2" t="inlineStr">
        <is>
          <t>University of Malta researchers</t>
        </is>
      </c>
      <c r="J54" s="2" t="inlineStr">
        <is>
          <t>Verbatim found</t>
        </is>
      </c>
      <c r="K54" s="2" t="inlineStr">
        <is>
          <t>High</t>
        </is>
      </c>
      <c r="L54" s="2" t="inlineStr">
        <is>
          <t>Done (v1.0)</t>
        </is>
      </c>
      <c r="M54" s="2" t="inlineStr">
        <is>
          <t>Supported: no right of reply needed. Measurements from 2017-2019; no repeat national survey found.</t>
        </is>
      </c>
      <c r="N54" s="2" t="inlineStr">
        <is>
          <t>Drafted</t>
        </is>
      </c>
      <c r="O54" s="2" t="n"/>
      <c r="P54" s="2" t="n">
        <v>0</v>
      </c>
      <c r="Q54" s="2" t="inlineStr">
        <is>
          <t>Report v1.0; verdict Supported (high); no right of reply needed.</t>
        </is>
      </c>
      <c r="R54" s="2" t="inlineStr">
        <is>
          <t>Supported</t>
        </is>
      </c>
      <c r="S54" s="2" t="inlineStr">
        <is>
          <t>High</t>
        </is>
      </c>
      <c r="T54" s="2" t="n"/>
      <c r="U54" s="2" t="inlineStr">
        <is>
          <t>Dark skies</t>
        </is>
      </c>
      <c r="V54" s="2" t="inlineStr">
        <is>
          <t>2020-05</t>
        </is>
      </c>
      <c r="W54" s="2" t="inlineStr">
        <is>
          <t>1.0</t>
        </is>
      </c>
      <c r="X54" s="2" t="inlineStr">
        <is>
          <t>2026-10-05</t>
        </is>
      </c>
      <c r="Y54" s="2" t="inlineStr">
        <is>
          <t>B</t>
        </is>
      </c>
      <c r="Z54" s="2" t="inlineStr">
        <is>
          <t>1</t>
        </is>
      </c>
      <c r="AA54" s="2" t="inlineStr">
        <is>
          <t>2026-10-05</t>
        </is>
      </c>
      <c r="AB54" s="2" t="inlineStr"/>
      <c r="AC54" s="5" t="inlineStr">
        <is>
          <t>https://leandergrech.github.io/Mizien/claims/CC-053/</t>
        </is>
      </c>
    </row>
    <row r="55">
      <c r="A55" s="2" t="inlineStr">
        <is>
          <t>CC-054</t>
        </is>
      </c>
      <c r="B55" s="2" t="inlineStr">
        <is>
          <t>Land &amp; Trees</t>
        </is>
      </c>
      <c r="C55" s="2" t="inlineStr">
        <is>
          <t>Project Green: 100,000 m2 a year</t>
        </is>
      </c>
      <c r="D55" s="2" t="inlineStr">
        <is>
          <t>Project Green: in two years it opened or refurbished 100,000 square metres of open spaces, with another 100,000 square metres delivered this year and the same next year.</t>
        </is>
      </c>
      <c r="E55" s="2" t="inlineStr">
        <is>
          <t>Refurbished vs newly created space; how much was already public; tree cover vs hard landscaping (see CC-010, CC-012).</t>
        </is>
      </c>
      <c r="F55" s="2" t="inlineStr">
        <is>
          <t>Project list with areas; before/after satellite imagery.</t>
        </is>
      </c>
      <c r="G55" s="2" t="inlineStr">
        <is>
          <t>A specific, attributable statement that public data can test.</t>
        </is>
      </c>
      <c r="H55" s="2" t="inlineStr"/>
      <c r="I55" s="2" t="inlineStr">
        <is>
          <t>Project Green; Ministry for Public Cleanliness and Regeneration</t>
        </is>
      </c>
      <c r="J55" s="2" t="inlineStr">
        <is>
          <t>Paraphrase: locate quote</t>
        </is>
      </c>
      <c r="K55" s="2" t="inlineStr">
        <is>
          <t>Medium</t>
        </is>
      </c>
      <c r="L55" s="2" t="inlineStr">
        <is>
          <t>Queue</t>
        </is>
      </c>
      <c r="M55" s="2" t="inlineStr">
        <is>
          <t>Candidate from the 4 Oct 2026 intake: wording paraphrased from a locator source; read the primary text before any report.</t>
        </is>
      </c>
      <c r="N55" s="2" t="inlineStr">
        <is>
          <t>In progress</t>
        </is>
      </c>
      <c r="O55" s="2" t="n"/>
      <c r="P55" s="2" t="n">
        <v>1</v>
      </c>
      <c r="Q55" s="2" t="inlineStr">
        <is>
          <t>Worker C, attempt 1 (2026-10-07): source: Project Green's own statement (press release or Ras imb Ras interview, Joseph Cuschieri, date not given); TVM News carries the 100,000 m2 figures only as its paraphrase, the one direct quotes (Vassallo) do not contain them; tried: TVM URL, web search (Project Green, gov.mt, MaltaToday hits are other years' figures), projectgreen.mt</t>
        </is>
      </c>
      <c r="R55" s="2" t="n"/>
      <c r="S55" s="2" t="n"/>
      <c r="T55" s="2" t="n"/>
      <c r="U55" s="2" t="inlineStr">
        <is>
          <t>Open spaces &amp; parks</t>
        </is>
      </c>
      <c r="V55" s="2" t="inlineStr"/>
      <c r="W55" s="2" t="n"/>
      <c r="X55" s="2" t="inlineStr"/>
      <c r="Y55" s="2" t="inlineStr">
        <is>
          <t>C</t>
        </is>
      </c>
      <c r="Z55" s="2" t="inlineStr">
        <is>
          <t>1</t>
        </is>
      </c>
      <c r="AA55" s="2" t="inlineStr">
        <is>
          <t>2026-10-07</t>
        </is>
      </c>
      <c r="AB55" s="2" t="inlineStr">
        <is>
          <t>source: Project Green's own statement (press release or Ras imb Ras interview, Joseph Cuschieri, date not given); TVM News carries the 100,000 m2 figures only as its paraphrase, the one direct quotes (Vassallo) do not contain them; tried: TVM URL, web search (Project Green, gov.mt, MaltaToday hits are other years' figures), projectgreen.mt</t>
        </is>
      </c>
      <c r="AC55" s="5" t="inlineStr">
        <is>
          <t>https://leandergrech.github.io/Mizien/claims/CC-054/</t>
        </is>
      </c>
    </row>
    <row r="56">
      <c r="A56" s="2" t="inlineStr">
        <is>
          <t>CC-055</t>
        </is>
      </c>
      <c r="B56" s="2" t="inlineStr">
        <is>
          <t>Land &amp; Trees</t>
        </is>
      </c>
      <c r="C56" s="2" t="inlineStr">
        <is>
          <t>Manoel Island back to the public</t>
        </is>
      </c>
      <c r="D56" s="2" t="inlineStr">
        <is>
          <t>Prime Minister Robert Abela (13 May 2026, on the signing of the deed ending MIDI's concession): Manoel Island and Fort Tigné have been returned from MIDI to the public, and Manoel Island will become a national park.</t>
        </is>
      </c>
      <c r="E56" s="2" t="inlineStr">
        <is>
          <t>The return is documented by MIDI's own announcement (13 May 2026) and reported parliamentary and shareholder approval; MIDI keeps the Tigné Point concession. Cost: MIDI gives EUR 47,321,000 gross, circa EUR 43 million net of VAT (Bonnici: EUR 43m, just over half of the EUR 78m asked). No Maltese Act searched (Cap. 549, 552, 445, 504, 573, 623) uses the term "national park"; no designation, management plan or local plan change found by 9 Oct 2026; no date given. On 16 Jul 2026 the Planning Authority sanctioned 20 padel courts and approved 10 more on the former Nicholl ground (Lovin Malta; decision not read).</t>
        </is>
      </c>
      <c r="F56" s="2" t="inlineStr">
        <is>
          <t>MIDI announcements; statute texts on legislation.mt; deed and shareholder circular (not read); park plan and local plan (none found).</t>
        </is>
      </c>
      <c r="G56" s="2" t="inlineStr">
        <is>
          <t>Done: Claim Check 055 report and flyer.</t>
        </is>
      </c>
      <c r="H56" s="2" t="inlineStr">
        <is>
          <t>Promise-without-baseline</t>
        </is>
      </c>
      <c r="I56" s="2" t="inlineStr">
        <is>
          <t>Robert Abela, Prime Minister</t>
        </is>
      </c>
      <c r="J56" s="2" t="inlineStr">
        <is>
          <t>Verbatim found</t>
        </is>
      </c>
      <c r="K56" s="2" t="inlineStr">
        <is>
          <t>Medium</t>
        </is>
      </c>
      <c r="L56" s="2" t="inlineStr">
        <is>
          <t>Done (v1.0)</t>
        </is>
      </c>
      <c r="M56" s="2" t="inlineStr">
        <is>
          <t>Mixed check: the return is rated (Supported, moderate); "will become a national park" is a pledge rated Not measurable (as of 9 Oct 2026): pending right of reply. The Prime Minister's words are read through Newsbook and TVM News; the deed, the shareholder circular, the parliamentary resolution and the Planning Authority decision were not read. Absence of a definition or plan rests on six Acts searched, web searches and two outlets' first result pages (log in literature/CC-055/notes.md). The 21 Jul 2026 remarks are second-hand.</t>
        </is>
      </c>
      <c r="N56" s="2" t="inlineStr">
        <is>
          <t>Drafted</t>
        </is>
      </c>
      <c r="O56" s="2" t="n"/>
      <c r="P56" s="2" t="n">
        <v>0</v>
      </c>
      <c r="Q56" s="2" t="inlineStr">
        <is>
          <t>Report v1.0; verdict Supported (moderate); pledge Not measurable; right of reply to send (draft; not for circulation before the deadline).</t>
        </is>
      </c>
      <c r="R56" s="2" t="inlineStr">
        <is>
          <t>Supported</t>
        </is>
      </c>
      <c r="S56" s="2" t="inlineStr">
        <is>
          <t>Moderate</t>
        </is>
      </c>
      <c r="T56" s="2" t="inlineStr">
        <is>
          <t>Not measurable</t>
        </is>
      </c>
      <c r="U56" s="2" t="inlineStr">
        <is>
          <t>Open spaces &amp; parks</t>
        </is>
      </c>
      <c r="V56" s="2" t="inlineStr">
        <is>
          <t>2026-05-13</t>
        </is>
      </c>
      <c r="W56" s="2" t="inlineStr">
        <is>
          <t>1.0</t>
        </is>
      </c>
      <c r="X56" s="2" t="inlineStr">
        <is>
          <t>2026-10-09</t>
        </is>
      </c>
      <c r="Y56" s="2" t="inlineStr">
        <is>
          <t>A</t>
        </is>
      </c>
      <c r="Z56" s="2" t="inlineStr">
        <is>
          <t>1</t>
        </is>
      </c>
      <c r="AA56" s="2" t="inlineStr">
        <is>
          <t>2026-10-09</t>
        </is>
      </c>
      <c r="AB56" s="2" t="inlineStr"/>
      <c r="AC56" s="5" t="inlineStr">
        <is>
          <t>https://leandergrech.github.io/Mizien/claims/CC-055/</t>
        </is>
      </c>
    </row>
    <row r="57">
      <c r="A57" s="2" t="inlineStr">
        <is>
          <t>CC-056</t>
        </is>
      </c>
      <c r="B57" s="2" t="inlineStr">
        <is>
          <t>Land &amp; Trees</t>
        </is>
      </c>
      <c r="C57" s="2" t="inlineStr">
        <is>
          <t>Central Link: 'only 254 trees'</t>
        </is>
      </c>
      <c r="D57" s="2" t="inlineStr">
        <is>
          <t>Infrastructure Malta: only 254 trees will be destroyed for the Central Link project, and all replacements will be mature trees.</t>
        </is>
      </c>
      <c r="E57" s="2" t="inlineStr">
        <is>
          <t>The EIA cited 549 trees uprooted and 237 transplanted; ERA required 1,649 compensatory trees.</t>
        </is>
      </c>
      <c r="F57" s="2" t="inlineStr">
        <is>
          <t>EIA; ERA permit conditions; planted-tree audit.</t>
        </is>
      </c>
      <c r="G57" s="2" t="inlineStr">
        <is>
          <t>A specific, attributable statement that public data can test.</t>
        </is>
      </c>
      <c r="H57" s="2" t="inlineStr"/>
      <c r="I57" s="2" t="inlineStr">
        <is>
          <t>Infrastructure Malta</t>
        </is>
      </c>
      <c r="J57" s="2" t="inlineStr">
        <is>
          <t>Paraphrase: locate quote</t>
        </is>
      </c>
      <c r="K57" s="2" t="inlineStr">
        <is>
          <t>Medium</t>
        </is>
      </c>
      <c r="L57" s="2" t="inlineStr">
        <is>
          <t>Queue</t>
        </is>
      </c>
      <c r="M57" s="2" t="inlineStr">
        <is>
          <t>Candidate from the 4 Oct 2026 intake: wording paraphrased from a locator source; read the primary text before any report.</t>
        </is>
      </c>
      <c r="N57" s="2" t="inlineStr">
        <is>
          <t>In progress</t>
        </is>
      </c>
      <c r="O57" s="2" t="n"/>
      <c r="P57" s="2" t="n">
        <v>2</v>
      </c>
      <c r="Q57" s="2" t="inlineStr">
        <is>
          <t>Worker B, attempt 1 (2026-10-08): source: Infrastructure Malta's own wording of 'only 254 trees' not found. Lovin Malta (Tim Diacono, 25 Jul 2019) states the 254 figure and 'all replacements mature' in its own voice ('pledged'); the only words in quotation marks from the agency are 'The project works contract specifies that these trees should be approximately four metres tall when they are planted' (and a sentence on care and tree experts). 254 equals 439 requested removals minus 185 transplanted (our arithmetic, not stated by IM). Need the IM press statement or a report quoting it; tried: Lovin Malta (read in full), Wayback (not archived), The Shift 20 Jan 2020 (IM statement on '285 more trees' only), tvmnews/newsbook site search, infrastructuremalta.com (TLS certificate error), 3 web searches</t>
        </is>
      </c>
      <c r="R57" s="2" t="n"/>
      <c r="S57" s="2" t="n"/>
      <c r="T57" s="2" t="n"/>
      <c r="U57" s="2" t="inlineStr">
        <is>
          <t>Trees &amp; planting</t>
        </is>
      </c>
      <c r="V57" s="2" t="inlineStr">
        <is>
          <t>2019</t>
        </is>
      </c>
      <c r="W57" s="2" t="n"/>
      <c r="X57" s="2" t="inlineStr"/>
      <c r="Y57" s="2" t="inlineStr">
        <is>
          <t>B</t>
        </is>
      </c>
      <c r="Z57" s="2" t="inlineStr">
        <is>
          <t>1</t>
        </is>
      </c>
      <c r="AA57" s="2" t="inlineStr">
        <is>
          <t>2026-10-08</t>
        </is>
      </c>
      <c r="AB57" s="2" t="inlineStr">
        <is>
          <t>source: Infrastructure Malta's own wording of 'only 254 trees' not found. Lovin Malta (Tim Diacono, 25 Jul 2019) states the 254 figure and 'all replacements mature' in its own voice ('pledged'); the only words in quotation marks from the agency are 'The project works contract specifies that these trees should be approximately four metres tall when they are planted' (and a sentence on care and tree experts). 254 equals 439 requested removals minus 185 transplanted (our arithmetic, not stated by IM). Need the IM press statement or a report quoting it; tried: Lovin Malta (read in full), Wayback (not archived), The Shift 20 Jan 2020 (IM statement on '285 more trees' only), tvmnews/newsbook site search, infrastructuremalta.com (TLS certificate error), 3 web searches</t>
        </is>
      </c>
      <c r="AC57" s="5" t="inlineStr">
        <is>
          <t>https://leandergrech.github.io/Mizien/claims/CC-056/</t>
        </is>
      </c>
    </row>
    <row r="58">
      <c r="A58" s="2" t="inlineStr">
        <is>
          <t>CC-057</t>
        </is>
      </c>
      <c r="B58" s="2" t="inlineStr">
        <is>
          <t>Land &amp; Trees</t>
        </is>
      </c>
      <c r="C58" s="2" t="inlineStr">
        <is>
          <t>1,649 compensation trees</t>
        </is>
      </c>
      <c r="D58" s="2" t="inlineStr">
        <is>
          <t>ERA: Infrastructure Malta must plant 1,649 trees as compensation for the 549 trees removed for the Central Link, or pay EUR 500 per tree not planted.</t>
        </is>
      </c>
      <c r="E58" s="2" t="inlineStr">
        <is>
          <t>Were the trees planted, where, and did they survive? How much was paid instead?</t>
        </is>
      </c>
      <c r="F58" s="2" t="inlineStr">
        <is>
          <t>ERA compliance records; Environment Fund receipts; site survey.</t>
        </is>
      </c>
      <c r="G58" s="2" t="inlineStr">
        <is>
          <t>A specific, attributable statement that public data can test.</t>
        </is>
      </c>
      <c r="H58" s="2" t="inlineStr"/>
      <c r="I58" s="2" t="inlineStr">
        <is>
          <t>Environment and Resources Authority (ERA)</t>
        </is>
      </c>
      <c r="J58" s="2" t="inlineStr">
        <is>
          <t>Paraphrase: locate quote</t>
        </is>
      </c>
      <c r="K58" s="2" t="inlineStr">
        <is>
          <t>Medium</t>
        </is>
      </c>
      <c r="L58" s="2" t="inlineStr">
        <is>
          <t>Queue</t>
        </is>
      </c>
      <c r="M58" s="2" t="inlineStr">
        <is>
          <t>Candidate from the 4 Oct 2026 intake: wording paraphrased from a locator source; read the primary text before any report.</t>
        </is>
      </c>
      <c r="N58" s="2" t="inlineStr">
        <is>
          <t>In progress</t>
        </is>
      </c>
      <c r="O58" s="2" t="n"/>
      <c r="P58" s="2" t="n">
        <v>2</v>
      </c>
      <c r="Q58" s="2" t="inlineStr">
        <is>
          <t>Worker C, attempt 1 (2026-10-07): source: ERA's 2019 permit/nature-permit condition (1,649 trees or EUR 500 per tree) in its own words; Lovin Malta (24 Jul 2019) does not contain the 1,649 figure at all; search summaries (MaltaToday, EIA) are second-hand; tried: Lovin Malta URL, web search, Wayback (reset), era.org.mt (403)</t>
        </is>
      </c>
      <c r="R58" s="2" t="n"/>
      <c r="S58" s="2" t="n"/>
      <c r="T58" s="2" t="n"/>
      <c r="U58" s="2" t="inlineStr">
        <is>
          <t>Trees &amp; planting</t>
        </is>
      </c>
      <c r="V58" s="2" t="inlineStr">
        <is>
          <t>2019</t>
        </is>
      </c>
      <c r="W58" s="2" t="n"/>
      <c r="X58" s="2" t="inlineStr"/>
      <c r="Y58" s="2" t="inlineStr">
        <is>
          <t>C</t>
        </is>
      </c>
      <c r="Z58" s="2" t="inlineStr">
        <is>
          <t>1</t>
        </is>
      </c>
      <c r="AA58" s="2" t="inlineStr">
        <is>
          <t>2026-10-07</t>
        </is>
      </c>
      <c r="AB58" s="2" t="inlineStr">
        <is>
          <t>source: ERA's 2019 permit/nature-permit condition (1,649 trees or EUR 500 per tree) in its own words; Lovin Malta (24 Jul 2019) does not contain the 1,649 figure at all; search summaries (MaltaToday, EIA) are second-hand; tried: Lovin Malta URL, web search, Wayback (reset), era.org.mt (403)</t>
        </is>
      </c>
      <c r="AC58" s="5" t="inlineStr">
        <is>
          <t>https://leandergrech.github.io/Mizien/claims/CC-057/</t>
        </is>
      </c>
    </row>
    <row r="59">
      <c r="A59" s="2" t="inlineStr">
        <is>
          <t>CC-058</t>
        </is>
      </c>
      <c r="B59" s="2" t="inlineStr">
        <is>
          <t>Land &amp; Trees</t>
        </is>
      </c>
      <c r="C59" s="2" t="inlineStr">
        <is>
          <t>96% of farmland in use</t>
        </is>
      </c>
      <c r="D59" s="2" t="inlineStr">
        <is>
          <t>Lovin Malta, reporting official statistics: over 96% of Malta's agricultural land is used for farming.</t>
        </is>
      </c>
      <c r="E59" s="2" t="inlineStr">
        <is>
          <t>Census 2020 vs 2010: holdings and utilised agricultural area fell; abandoned fields and land take (CC-019).</t>
        </is>
      </c>
      <c r="F59" s="2" t="inlineStr">
        <is>
          <t>NSO agricultural census 2010/2020; land-cover change.</t>
        </is>
      </c>
      <c r="G59" s="2" t="inlineStr">
        <is>
          <t>A specific, attributable statement that public data can test.</t>
        </is>
      </c>
      <c r="H59" s="2" t="inlineStr"/>
      <c r="I59" s="2" t="inlineStr">
        <is>
          <t>Lovin Malta (reporting NSO)</t>
        </is>
      </c>
      <c r="J59" s="2" t="inlineStr">
        <is>
          <t>Paraphrase: locate quote</t>
        </is>
      </c>
      <c r="K59" s="2" t="inlineStr">
        <is>
          <t>Medium</t>
        </is>
      </c>
      <c r="L59" s="2" t="inlineStr">
        <is>
          <t>Queue</t>
        </is>
      </c>
      <c r="M59" s="2" t="inlineStr">
        <is>
          <t>Candidate from the 4 Oct 2026 intake: wording paraphrased from a locator source; read the primary text before any report.</t>
        </is>
      </c>
      <c r="N59" s="2" t="inlineStr">
        <is>
          <t>In progress</t>
        </is>
      </c>
      <c r="O59" s="2" t="n"/>
      <c r="P59" s="2" t="n">
        <v>1</v>
      </c>
      <c r="Q59" s="2" t="inlineStr">
        <is>
          <t>Worker A, attempt 1 (2026-10-10): source: Minister Refalo's PQ answer (to Toni Bezzina, reported 18 Oct 2022) is known only as Lovin Malta's indirect speech (no quotation marks; no PQ number, no NSO table named); need the PQ text from parlament.mt (browser-only) and the NSO figure he cited; tried: Lovin Malta (read in full), Wayback (reset), parlament.mt (403), TVM/Shift/Lovin site searches (nothing), Newsbook (reset), 2 web searches (only Lovin reports the 96%)</t>
        </is>
      </c>
      <c r="R59" s="2" t="n"/>
      <c r="S59" s="2" t="n"/>
      <c r="T59" s="2" t="n"/>
      <c r="U59" s="2" t="inlineStr">
        <is>
          <t>Land take &amp; agriculture</t>
        </is>
      </c>
      <c r="V59" s="2" t="inlineStr"/>
      <c r="W59" s="2" t="n"/>
      <c r="X59" s="2" t="inlineStr"/>
      <c r="Y59" s="2" t="inlineStr">
        <is>
          <t>A</t>
        </is>
      </c>
      <c r="Z59" s="2" t="inlineStr">
        <is>
          <t>1</t>
        </is>
      </c>
      <c r="AA59" s="2" t="inlineStr">
        <is>
          <t>2026-10-10</t>
        </is>
      </c>
      <c r="AB59" s="2" t="inlineStr">
        <is>
          <t>source: Minister Refalo's PQ answer (to Toni Bezzina, reported 18 Oct 2022) is known only as Lovin Malta's indirect speech (no quotation marks; no PQ number, no NSO table named); need the PQ text from parlament.mt (browser-only) and the NSO figure he cited; tried: Lovin Malta (read in full), Wayback (reset), parlament.mt (403), TVM/Shift/Lovin site searches (nothing), Newsbook (reset), 2 web searches (only Lovin reports the 96%)</t>
        </is>
      </c>
      <c r="AC59" s="5" t="inlineStr">
        <is>
          <t>https://leandergrech.github.io/Mizien/claims/CC-058/</t>
        </is>
      </c>
    </row>
    <row r="60">
      <c r="A60" s="2" t="inlineStr">
        <is>
          <t>CC-059</t>
        </is>
      </c>
      <c r="B60" s="2" t="inlineStr">
        <is>
          <t>Land &amp; Trees</t>
        </is>
      </c>
      <c r="C60" s="2" t="inlineStr">
        <is>
          <t>Subsidies are 20% of farm output</t>
        </is>
      </c>
      <c r="D60" s="2" t="inlineStr">
        <is>
          <t>Newsbook: state and EU subsidies reach 20% of Malta's agricultural output.</t>
        </is>
      </c>
      <c r="E60" s="2" t="inlineStr">
        <is>
          <t>Testable against economic accounts for agriculture.</t>
        </is>
      </c>
      <c r="F60" s="2" t="inlineStr">
        <is>
          <t>Eurostat aact_eaa01; CAP strategic plan payments.</t>
        </is>
      </c>
      <c r="G60" s="2" t="inlineStr">
        <is>
          <t>A specific, attributable statement that public data can test.</t>
        </is>
      </c>
      <c r="H60" s="2" t="inlineStr"/>
      <c r="I60" s="2" t="inlineStr">
        <is>
          <t>Newsbook</t>
        </is>
      </c>
      <c r="J60" s="2" t="inlineStr">
        <is>
          <t>Paraphrase: locate quote</t>
        </is>
      </c>
      <c r="K60" s="2" t="inlineStr">
        <is>
          <t>Medium</t>
        </is>
      </c>
      <c r="L60" s="2" t="inlineStr">
        <is>
          <t>Queue</t>
        </is>
      </c>
      <c r="M60" s="2" t="inlineStr">
        <is>
          <t>Candidate from the 4 Oct 2026 intake: wording paraphrased from a locator source; read the primary text before any report.</t>
        </is>
      </c>
      <c r="N60" s="2" t="inlineStr">
        <is>
          <t>In progress</t>
        </is>
      </c>
      <c r="O60" s="2" t="n"/>
      <c r="P60" s="2" t="n">
        <v>0</v>
      </c>
      <c r="Q60" s="2" t="inlineStr">
        <is>
          <t>Worker B, attempt 1 (2026-10-08): source: the NSO news release on Economic Accounts for Agriculture 2025 (subsidies EUR 28.7 million, 20.2% of output; reported 28-29 Sep 2026) is browser-only (nso.gov.mt 403 to scripts, tried 2025-form URLs); Newsbook (Jurgen Balzan, 28 Sep 2026) and Italpress/MNA (29 Sep 2026) give it only as indirect speech ('The NSO said'); need the release text in a browser; Eurostat aact_eaa01 can test the figures once the NSO wording is supplied; tried: Newsbook, Italpress, nso.gov.mt, web search</t>
        </is>
      </c>
      <c r="R60" s="2" t="n"/>
      <c r="S60" s="2" t="n"/>
      <c r="T60" s="2" t="n"/>
      <c r="U60" s="2" t="inlineStr">
        <is>
          <t>Land take &amp; agriculture</t>
        </is>
      </c>
      <c r="V60" s="2" t="inlineStr"/>
      <c r="W60" s="2" t="n"/>
      <c r="X60" s="2" t="inlineStr"/>
      <c r="Y60" s="2" t="inlineStr">
        <is>
          <t>B</t>
        </is>
      </c>
      <c r="Z60" s="2" t="inlineStr">
        <is>
          <t>1</t>
        </is>
      </c>
      <c r="AA60" s="2" t="inlineStr">
        <is>
          <t>2026-10-08</t>
        </is>
      </c>
      <c r="AB60" s="2" t="inlineStr">
        <is>
          <t>source: the NSO news release on Economic Accounts for Agriculture 2025 (subsidies EUR 28.7 million, 20.2% of output; reported 28-29 Sep 2026) is browser-only (nso.gov.mt 403 to scripts, tried 2025-form URLs); Newsbook (Jurgen Balzan, 28 Sep 2026) and Italpress/MNA (29 Sep 2026) give it only as indirect speech ('The NSO said'); need the release text in a browser; Eurostat aact_eaa01 can test the figures once the NSO wording is supplied; tried: Newsbook, Italpress, nso.gov.mt, web search</t>
        </is>
      </c>
      <c r="AC60" s="5" t="inlineStr">
        <is>
          <t>https://leandergrech.github.io/Mizien/claims/CC-059/</t>
        </is>
      </c>
    </row>
    <row r="61">
      <c r="A61" s="2" t="inlineStr">
        <is>
          <t>CC-060</t>
        </is>
      </c>
      <c r="B61" s="2" t="inlineStr">
        <is>
          <t>Planning &amp; Housing</t>
        </is>
      </c>
      <c r="C61" s="2" t="inlineStr">
        <is>
          <t>7,000 first-time buyers helped</t>
        </is>
      </c>
      <c r="D61" s="2" t="inlineStr">
        <is>
          <t>Housing Authority / Government: more than 7,000 people have benefited from the EUR 10,000 first-time buyer grant.</t>
        </is>
      </c>
      <c r="E61" s="2" t="inlineStr">
        <is>
          <t>Grant paid over ten years; whether it changes affordability or capitalises into prices (see CC-013).</t>
        </is>
      </c>
      <c r="F61" s="2" t="inlineStr">
        <is>
          <t>Housing Authority beneficiary data; price and income series.</t>
        </is>
      </c>
      <c r="G61" s="2" t="inlineStr">
        <is>
          <t>A specific, attributable statement that public data can test.</t>
        </is>
      </c>
      <c r="H61" s="2" t="inlineStr"/>
      <c r="I61" s="2" t="inlineStr">
        <is>
          <t>Housing Authority; Government of Malta</t>
        </is>
      </c>
      <c r="J61" s="2" t="inlineStr">
        <is>
          <t>Paraphrase: locate quote</t>
        </is>
      </c>
      <c r="K61" s="2" t="inlineStr">
        <is>
          <t>Medium</t>
        </is>
      </c>
      <c r="L61" s="2" t="inlineStr">
        <is>
          <t>Queue</t>
        </is>
      </c>
      <c r="M61" s="2" t="inlineStr">
        <is>
          <t>Candidate from the 4 Oct 2026 intake: wording paraphrased from a locator source; read the primary text before any report.</t>
        </is>
      </c>
      <c r="N61" s="2" t="inlineStr">
        <is>
          <t>In progress</t>
        </is>
      </c>
      <c r="O61" s="2" t="n"/>
      <c r="P61" s="2" t="n">
        <v>1</v>
      </c>
      <c r="Q61" s="2" t="inlineStr">
        <is>
          <t>Worker C, attempt 1 (2026-10-08): source: no statement of 'more than 7,000' by the Housing Authority or government found; scheme page (housingauthority.gov.mt, read 8 Oct 2026) carries no beneficiary count; counts found are other figures (4,909 beneficiaries, MaltaToday/Malta Business Weekly via search summary, second-hand; HA 'Path to Homeownership' (Jul 2026) says 10,675 beneficiaries were contacted for a Sep-Oct 2025 survey; 7,108 in HA 'Boosting the Purchasing Power' (Mar 2025) is the other schemes excluding the first-time buyer grant); need the dated statement that says 7,000; tried: scheme page, HA PDFs, 3 web searches</t>
        </is>
      </c>
      <c r="R61" s="2" t="n"/>
      <c r="S61" s="2" t="n"/>
      <c r="T61" s="2" t="n"/>
      <c r="U61" s="2" t="inlineStr">
        <is>
          <t>Housing &amp; affordability</t>
        </is>
      </c>
      <c r="V61" s="2" t="inlineStr">
        <is>
          <t>2025</t>
        </is>
      </c>
      <c r="W61" s="2" t="n"/>
      <c r="X61" s="2" t="inlineStr"/>
      <c r="Y61" s="2" t="inlineStr">
        <is>
          <t>C</t>
        </is>
      </c>
      <c r="Z61" s="2" t="inlineStr">
        <is>
          <t>1</t>
        </is>
      </c>
      <c r="AA61" s="2" t="inlineStr">
        <is>
          <t>2026-10-08</t>
        </is>
      </c>
      <c r="AB61" s="2" t="inlineStr">
        <is>
          <t>source: no statement of 'more than 7,000' by the Housing Authority or government found; scheme page (housingauthority.gov.mt, read 8 Oct 2026) carries no beneficiary count; counts found are other figures (4,909 beneficiaries, MaltaToday/Malta Business Weekly via search summary, second-hand; HA 'Path to Homeownership' (Jul 2026) says 10,675 beneficiaries were contacted for a Sep-Oct 2025 survey; 7,108 in HA 'Boosting the Purchasing Power' (Mar 2025) is the other schemes excluding the first-time buyer grant); need the dated statement that says 7,000; tried: scheme page, HA PDFs, 3 web searches</t>
        </is>
      </c>
      <c r="AC61" s="5" t="inlineStr">
        <is>
          <t>https://leandergrech.github.io/Mizien/claims/CC-060/</t>
        </is>
      </c>
    </row>
    <row r="62">
      <c r="A62" s="2" t="inlineStr">
        <is>
          <t>CC-061</t>
        </is>
      </c>
      <c r="B62" s="2" t="inlineStr">
        <is>
          <t>Planning &amp; Housing</t>
        </is>
      </c>
      <c r="C62" s="2" t="inlineStr">
        <is>
          <t>260 homes 30% below market</t>
        </is>
      </c>
      <c r="D62" s="2" t="inlineStr">
        <is>
          <t>Budget 2026: the Affordable Housing Foundation (Government and Church) will build 260 homes at around 30% below market rates.</t>
        </is>
      </c>
      <c r="E62" s="2" t="inlineStr">
        <is>
          <t>Delivery date, sites and how 'market rate' is defined.</t>
        </is>
      </c>
      <c r="F62" s="2" t="inlineStr">
        <is>
          <t>Budget speech; Foundation documents; PA applications.</t>
        </is>
      </c>
      <c r="G62" s="2" t="inlineStr">
        <is>
          <t>A specific, attributable statement that public data can test.</t>
        </is>
      </c>
      <c r="H62" s="2" t="inlineStr"/>
      <c r="I62" s="2" t="inlineStr">
        <is>
          <t>Government of Malta (Budget 2026)</t>
        </is>
      </c>
      <c r="J62" s="2" t="inlineStr">
        <is>
          <t>Paraphrase: locate quote</t>
        </is>
      </c>
      <c r="K62" s="2" t="inlineStr">
        <is>
          <t>Medium</t>
        </is>
      </c>
      <c r="L62" s="2" t="inlineStr">
        <is>
          <t>Queue</t>
        </is>
      </c>
      <c r="M62" s="2" t="inlineStr">
        <is>
          <t>Candidate from the 4 Oct 2026 intake: wording paraphrased from a locator source; read the primary text before any report.</t>
        </is>
      </c>
      <c r="N62" s="2" t="inlineStr">
        <is>
          <t>Not started</t>
        </is>
      </c>
      <c r="O62" s="2" t="n"/>
      <c r="P62" s="2" t="n">
        <v>0</v>
      </c>
      <c r="Q62" s="2" t="inlineStr">
        <is>
          <t>Queued for worker A.</t>
        </is>
      </c>
      <c r="R62" s="2" t="n"/>
      <c r="S62" s="2" t="n"/>
      <c r="T62" s="2" t="n"/>
      <c r="U62" s="2" t="inlineStr">
        <is>
          <t>Housing &amp; affordability</t>
        </is>
      </c>
      <c r="V62" s="2" t="inlineStr">
        <is>
          <t>2025-10-27</t>
        </is>
      </c>
      <c r="W62" s="2" t="n"/>
      <c r="X62" s="2" t="inlineStr"/>
      <c r="Y62" s="2" t="inlineStr">
        <is>
          <t>A</t>
        </is>
      </c>
      <c r="Z62" s="2" t="inlineStr">
        <is>
          <t>0</t>
        </is>
      </c>
      <c r="AA62" s="2" t="inlineStr"/>
      <c r="AB62" s="2" t="inlineStr"/>
      <c r="AC62" s="5" t="inlineStr">
        <is>
          <t>https://leandergrech.github.io/Mizien/claims/CC-061/</t>
        </is>
      </c>
    </row>
    <row r="63">
      <c r="A63" s="2" t="inlineStr">
        <is>
          <t>CC-062</t>
        </is>
      </c>
      <c r="B63" s="2" t="inlineStr">
        <is>
          <t>Planning &amp; Housing</t>
        </is>
      </c>
      <c r="C63" s="2" t="inlineStr">
        <is>
          <t>Construction is 9-14% of the economy</t>
        </is>
      </c>
      <c r="D63" s="2" t="inlineStr">
        <is>
          <t>KPMG (Steve Stivala, Director, Advisory Services), foreword to the Construction Industry and Property Market Report 2025, commissioned by the Malta Development Association (Dec 2025): construction and real estate account for around 9% of gross value added on direct effects alone, and approximately 14% once indirect linkages are factored in.</t>
        </is>
      </c>
      <c r="E63" s="2" t="inlineStr">
        <is>
          <t>Both figures reproduce: 9.1% (KPMG Table 1.1; Eurostat 9.6% for 2024, same definition) and 14.04% (Table 1.3; output inputs match Eurostat). They are not on one basis: the 9% excludes imputed rents and the 14% includes them; on KPMG's own figures the direct share with imputed rents is 12.3%, so indirect linkages add 1.7 points, not 5. The multipliers (0.55, 0.78; Central Bank of Malta, 2015 table, second-hand) could not be re-derived: Eurostat's Malta input-output table covers 72% of value added.</t>
        </is>
      </c>
      <c r="F63" s="2" t="inlineStr">
        <is>
          <t>KPMG Tables 1.1-1.3; Eurostat nama_10_a64 (GVA and output by industry); Eurostat naio_10_cp1750 (tools/cc-062-report/calc.py).</t>
        </is>
      </c>
      <c r="G63" s="2" t="inlineStr">
        <is>
          <t>Done: Claim Check 062 report and flyer.</t>
        </is>
      </c>
      <c r="H63" s="2" t="inlineStr"/>
      <c r="I63" s="2" t="inlineStr">
        <is>
          <t>KPMG</t>
        </is>
      </c>
      <c r="J63" s="2" t="inlineStr">
        <is>
          <t>Verbatim found</t>
        </is>
      </c>
      <c r="K63" s="2" t="inlineStr">
        <is>
          <t>Medium</t>
        </is>
      </c>
      <c r="L63" s="2" t="inlineStr">
        <is>
          <t>Done (v1.0)</t>
        </is>
      </c>
      <c r="M63" s="2" t="inlineStr">
        <is>
          <t>Largely supported: no right of reply needed. The 14% includes imputed rents and the 9% does not; the multipliers are 2015-based and second-hand (not retrieved).</t>
        </is>
      </c>
      <c r="N63" s="2" t="inlineStr">
        <is>
          <t>Drafted</t>
        </is>
      </c>
      <c r="O63" s="2" t="n"/>
      <c r="P63" s="2" t="n">
        <v>1</v>
      </c>
      <c r="Q63" s="2" t="inlineStr">
        <is>
          <t>Report v1.0; verdict Largely supported (moderate); no right of reply needed.</t>
        </is>
      </c>
      <c r="R63" s="2" t="inlineStr">
        <is>
          <t>Largely supported</t>
        </is>
      </c>
      <c r="S63" s="2" t="inlineStr">
        <is>
          <t>Moderate</t>
        </is>
      </c>
      <c r="T63" s="2" t="n"/>
      <c r="U63" s="2" t="inlineStr">
        <is>
          <t>Development &amp; construction</t>
        </is>
      </c>
      <c r="V63" s="2" t="inlineStr">
        <is>
          <t>2025-12</t>
        </is>
      </c>
      <c r="W63" s="2" t="inlineStr">
        <is>
          <t>1.0</t>
        </is>
      </c>
      <c r="X63" s="2" t="inlineStr">
        <is>
          <t>2026-10-08</t>
        </is>
      </c>
      <c r="Y63" s="2" t="inlineStr">
        <is>
          <t>B</t>
        </is>
      </c>
      <c r="Z63" s="2" t="inlineStr">
        <is>
          <t>1</t>
        </is>
      </c>
      <c r="AA63" s="2" t="inlineStr">
        <is>
          <t>2026-10-08</t>
        </is>
      </c>
      <c r="AB63" s="2" t="inlineStr"/>
      <c r="AC63" s="5" t="inlineStr">
        <is>
          <t>https://leandergrech.github.io/Mizien/claims/CC-062/</t>
        </is>
      </c>
    </row>
    <row r="64">
      <c r="A64" s="2" t="inlineStr">
        <is>
          <t>CC-063</t>
        </is>
      </c>
      <c r="B64" s="2" t="inlineStr">
        <is>
          <t>Waste</t>
        </is>
      </c>
      <c r="C64" s="2" t="inlineStr">
        <is>
          <t>Construction waste: 'standstill' warning</t>
        </is>
      </c>
      <c r="D64" s="2" t="inlineStr">
        <is>
          <t>Malta Developers Association (statement of 2 June 2021, as reported by MaltaToday): unless an imminent and enduring solution is found to the dumping of construction waste, development will come to an 'almost complete standstill'.</t>
        </is>
      </c>
      <c r="E64" s="2" t="inlineStr">
        <is>
          <t>A real bottleneck existed: road works were halted in 2020 for lack of dumping space and government fixed a EUR 12 a tonne fee; in June 2021 contractors again reported strain (MaltaToday, BusinessToday). But Malta's construction output (volume, 2015=100) rose from 145.5 (2020) to 154.0 (+5.8%, 2021) and 162.5 (+5.5%, 2022, provisional; latest year published). Construction-sector waste was 3.0 Mt in 2020, 2.1 Mt in 2022 (-31%, +4.7% vs 2018), 78% of all waste (84% in 2020). Mineral C&amp;D waste treated in 2022: 67% recycled, 33% backfilling, landfill negligible (backfilling counts as recovery). The MDA published no analysis behind 'almost complete standstill'; government acted (fee 2020, strategy Oct 2021), so the conditional cannot be tested.</t>
        </is>
      </c>
      <c r="F64" s="2" t="inlineStr">
        <is>
          <t>Eurostat sts_copr_a, env_wasgen, env_wastrt for Malta (tools/cc-063-report/calc.py; data/cc-063/).</t>
        </is>
      </c>
      <c r="G64" s="2" t="inlineStr">
        <is>
          <t>Done: Claim Check 063 report and flyer.</t>
        </is>
      </c>
      <c r="H64" s="2" t="inlineStr"/>
      <c r="I64" s="2" t="inlineStr">
        <is>
          <t>Malta Developers Association</t>
        </is>
      </c>
      <c r="J64" s="2" t="inlineStr">
        <is>
          <t>Verbatim found</t>
        </is>
      </c>
      <c r="K64" s="2" t="inlineStr">
        <is>
          <t>Medium</t>
        </is>
      </c>
      <c r="L64" s="2" t="inlineStr">
        <is>
          <t>Done (v1.0)</t>
        </is>
      </c>
      <c r="M64" s="2" t="inlineStr">
        <is>
          <t>Not substantiated: pending right of reply (to be sought by the maintainer from the Malta Developers Association). Wording is from MaltaToday's report of the MDA statement (Wayback copy); only the quoted phrases are verbatim, the conditional is the outlet's paraphrase. Eurostat output data end in 2022; no quarry intake series found.</t>
        </is>
      </c>
      <c r="N64" s="2" t="inlineStr">
        <is>
          <t>Drafted</t>
        </is>
      </c>
      <c r="O64" s="2" t="n"/>
      <c r="P64" s="2" t="n">
        <v>2</v>
      </c>
      <c r="Q64" s="2" t="inlineStr">
        <is>
          <t>Report v1.0; verdict Not substantiated (moderate); right of reply to send (draft; not for circulation before the deadline).</t>
        </is>
      </c>
      <c r="R64" s="2" t="inlineStr">
        <is>
          <t>Not substantiated</t>
        </is>
      </c>
      <c r="S64" s="2" t="inlineStr">
        <is>
          <t>Moderate</t>
        </is>
      </c>
      <c r="T64" s="2" t="n"/>
      <c r="U64" s="2" t="inlineStr">
        <is>
          <t>Construction waste</t>
        </is>
      </c>
      <c r="V64" s="2" t="inlineStr">
        <is>
          <t>2021-06-02</t>
        </is>
      </c>
      <c r="W64" s="2" t="inlineStr">
        <is>
          <t>1.0</t>
        </is>
      </c>
      <c r="X64" s="2" t="inlineStr">
        <is>
          <t>2026-10-05</t>
        </is>
      </c>
      <c r="Y64" s="2" t="inlineStr">
        <is>
          <t>C</t>
        </is>
      </c>
      <c r="Z64" s="2" t="inlineStr">
        <is>
          <t>1</t>
        </is>
      </c>
      <c r="AA64" s="2" t="inlineStr">
        <is>
          <t>2026-10-05</t>
        </is>
      </c>
      <c r="AB64" s="2" t="inlineStr"/>
      <c r="AC64" s="5" t="inlineStr">
        <is>
          <t>https://leandergrech.github.io/Mizien/claims/CC-063/</t>
        </is>
      </c>
    </row>
    <row r="65">
      <c r="A65" s="2" t="inlineStr">
        <is>
          <t>CC-064</t>
        </is>
      </c>
      <c r="B65" s="2" t="inlineStr">
        <is>
          <t>Planning &amp; Housing</t>
        </is>
      </c>
      <c r="C65" s="2" t="inlineStr">
        <is>
          <t>Grand Harbour regeneration</t>
        </is>
      </c>
      <c r="D65" s="2" t="inlineStr">
        <is>
          <t>PM Robert Abela (Feb 2026): the four-phase Grand Harbour regeneration will not alter the fundamental character of the harbour, and surrounding localities such as Marsa will benefit directly.</t>
        </is>
      </c>
      <c r="E65" s="2" t="inlineStr">
        <is>
          <t>'Mixed-use zone of international standard'; plans, heights and public land involved.</t>
        </is>
      </c>
      <c r="F65" s="2" t="inlineStr">
        <is>
          <t>Grand Harbour Revival Plan; consultation documents; PA applications.</t>
        </is>
      </c>
      <c r="G65" s="2" t="inlineStr">
        <is>
          <t>A specific, attributable statement that public data can test.</t>
        </is>
      </c>
      <c r="H65" s="2" t="inlineStr"/>
      <c r="I65" s="2" t="inlineStr">
        <is>
          <t>Robert Abela, Prime Minister</t>
        </is>
      </c>
      <c r="J65" s="2" t="inlineStr">
        <is>
          <t>Paraphrase: locate quote</t>
        </is>
      </c>
      <c r="K65" s="2" t="inlineStr">
        <is>
          <t>Medium</t>
        </is>
      </c>
      <c r="L65" s="2" t="inlineStr">
        <is>
          <t>Queue</t>
        </is>
      </c>
      <c r="M65" s="2" t="inlineStr">
        <is>
          <t>Candidate from the 4 Oct 2026 intake: wording paraphrased from a locator source; read the primary text before any report.</t>
        </is>
      </c>
      <c r="N65" s="2" t="inlineStr">
        <is>
          <t>Not started</t>
        </is>
      </c>
      <c r="O65" s="2" t="n"/>
      <c r="P65" s="2" t="n">
        <v>0</v>
      </c>
      <c r="Q65" s="2" t="inlineStr">
        <is>
          <t>Queued for worker A.</t>
        </is>
      </c>
      <c r="R65" s="2" t="n"/>
      <c r="S65" s="2" t="n"/>
      <c r="T65" s="2" t="n"/>
      <c r="U65" s="2" t="inlineStr">
        <is>
          <t>Development &amp; construction</t>
        </is>
      </c>
      <c r="V65" s="2" t="inlineStr">
        <is>
          <t>2026-02</t>
        </is>
      </c>
      <c r="W65" s="2" t="n"/>
      <c r="X65" s="2" t="inlineStr"/>
      <c r="Y65" s="2" t="inlineStr">
        <is>
          <t>A</t>
        </is>
      </c>
      <c r="Z65" s="2" t="inlineStr">
        <is>
          <t>0</t>
        </is>
      </c>
      <c r="AA65" s="2" t="inlineStr"/>
      <c r="AB65" s="2" t="inlineStr"/>
      <c r="AC65" s="5" t="inlineStr">
        <is>
          <t>https://leandergrech.github.io/Mizien/claims/CC-064/</t>
        </is>
      </c>
    </row>
    <row r="66">
      <c r="A66" s="2" t="inlineStr">
        <is>
          <t>CC-065</t>
        </is>
      </c>
      <c r="B66" s="2" t="inlineStr">
        <is>
          <t>Planning &amp; Housing</t>
        </is>
      </c>
      <c r="C66" s="2" t="inlineStr">
        <is>
          <t>Ġgantija buffer zone permit</t>
        </is>
      </c>
      <c r="D66" s="2" t="inlineStr">
        <is>
          <t>ADPD - The Green Party (Sandra Gauci and Luke Caruana, statement of 2 May 2026, in Maltese): the Planning Authority approved apartments and garages in the buffer zone around the Ġgantija Temples, which ADPD called a sacrilege against heritage.</t>
        </is>
      </c>
      <c r="E66" s="2" t="inlineStr">
        <is>
          <t>Newsbook (30 Apr 2026): board voted 10 to 1 for 22 apartments and 20 garages (PA/00570/21). The Authority revoked the 2023 permit on 7 Mar 2024 after incorrect buffer-zone information (as reported by Newsbook, second-hand). Heritage impact assessment: no negative effect on integrity; the Superintendence withdrew objections; NGOs and Momentum call it contradictory (outlet reports). Management plan 2012-17, Figure 2: the buffer zone reaches 127-477 m from the temple edge in eight directions (our map measurement); reported plot distance 150-157 m.</t>
        </is>
      </c>
      <c r="F66" s="2" t="inlineStr">
        <is>
          <t>Planning Authority case file PA/00570/21 and decision notice (not read); heritage impact assessment (not read); management plan 2012-17 Figure 2 (measured); UNESCO comment (none found).</t>
        </is>
      </c>
      <c r="G66" s="2" t="inlineStr">
        <is>
          <t>Done: Claim Check 065 report and flyer.</t>
        </is>
      </c>
      <c r="H66" s="2" t="inlineStr"/>
      <c r="I66" s="2" t="inlineStr">
        <is>
          <t>ADPD - The Green Party (Sandra Gauci)</t>
        </is>
      </c>
      <c r="J66" s="2" t="inlineStr">
        <is>
          <t>Verbatim found</t>
        </is>
      </c>
      <c r="K66" s="2" t="inlineStr">
        <is>
          <t>Medium</t>
        </is>
      </c>
      <c r="L66" s="2" t="inlineStr">
        <is>
          <t>Done (v1.0)</t>
        </is>
      </c>
      <c r="M66" s="2" t="inlineStr">
        <is>
          <t>Facts rated (Largely supported, moderate): approval on 30 Apr 2026 and the site in the buffer zone; "sacrilege" is an opinion and not rated. ADPD's statement is in Maltese (our translation); its "yesterday" is a one- to two-day slip against the 30 Apr vote. The Planning Authority's case file, the heritage impact assessment, the permit and any UNESCO comment on the final design were not read; the Authority's 2023 and 2024 statements are read through TVM News and Newsbook (second-hand). The plot was not placed on the plan's map by us (the 2012-17 management plan was read; the Shift cites a 2015 plan). Fort Chambray, named in the same statement, is CC-066. No right of reply needed.</t>
        </is>
      </c>
      <c r="N66" s="2" t="inlineStr">
        <is>
          <t>Drafted</t>
        </is>
      </c>
      <c r="O66" s="2" t="n"/>
      <c r="P66" s="2" t="n">
        <v>2</v>
      </c>
      <c r="Q66" s="2" t="inlineStr">
        <is>
          <t>Report v1.0; verdict Largely supported (moderate); no right of reply needed.</t>
        </is>
      </c>
      <c r="R66" s="2" t="inlineStr">
        <is>
          <t>Largely supported</t>
        </is>
      </c>
      <c r="S66" s="2" t="inlineStr">
        <is>
          <t>Moderate</t>
        </is>
      </c>
      <c r="T66" s="2" t="n"/>
      <c r="U66" s="2" t="inlineStr">
        <is>
          <t>Heritage &amp; character</t>
        </is>
      </c>
      <c r="V66" s="2" t="inlineStr">
        <is>
          <t>2026-05-02</t>
        </is>
      </c>
      <c r="W66" s="2" t="inlineStr">
        <is>
          <t>1.0</t>
        </is>
      </c>
      <c r="X66" s="2" t="inlineStr">
        <is>
          <t>2026-10-09</t>
        </is>
      </c>
      <c r="Y66" s="2" t="inlineStr">
        <is>
          <t>B</t>
        </is>
      </c>
      <c r="Z66" s="2" t="inlineStr">
        <is>
          <t>1</t>
        </is>
      </c>
      <c r="AA66" s="2" t="inlineStr">
        <is>
          <t>2026-10-09</t>
        </is>
      </c>
      <c r="AB66" s="2" t="inlineStr"/>
      <c r="AC66" s="5" t="inlineStr">
        <is>
          <t>https://leandergrech.github.io/Mizien/claims/CC-065/</t>
        </is>
      </c>
    </row>
    <row r="67">
      <c r="A67" s="2" t="inlineStr">
        <is>
          <t>CC-066</t>
        </is>
      </c>
      <c r="B67" s="2" t="inlineStr">
        <is>
          <t>Planning &amp; Housing</t>
        </is>
      </c>
      <c r="C67" s="2" t="inlineStr">
        <is>
          <t>Fort Chambray barracks</t>
        </is>
      </c>
      <c r="D67" s="2" t="inlineStr">
        <is>
          <t>Superintendence of Cultural Heritage and the planning tribunal (2026): the Fort Chambray scheme can dismantle the British barracks interior while keeping and relocating its arcade and facade.</t>
        </is>
      </c>
      <c r="E67" s="2" t="inlineStr">
        <is>
          <t>Europa Nostra listed the barracks among Europe's most endangered sites (Feb 2026).</t>
        </is>
      </c>
      <c r="F67" s="2" t="inlineStr">
        <is>
          <t>EPRT decision; SCH report; scheduling status.</t>
        </is>
      </c>
      <c r="G67" s="2" t="inlineStr">
        <is>
          <t>A specific, attributable statement that public data can test.</t>
        </is>
      </c>
      <c r="H67" s="2" t="inlineStr"/>
      <c r="I67" s="2" t="inlineStr">
        <is>
          <t>Superintendence of Cultural Heritage; Environment and Planning Review Tribunal</t>
        </is>
      </c>
      <c r="J67" s="2" t="inlineStr">
        <is>
          <t>Paraphrase: locate quote</t>
        </is>
      </c>
      <c r="K67" s="2" t="inlineStr">
        <is>
          <t>Medium</t>
        </is>
      </c>
      <c r="L67" s="2" t="inlineStr">
        <is>
          <t>Queue</t>
        </is>
      </c>
      <c r="M67" s="2" t="inlineStr">
        <is>
          <t>Candidate from the 4 Oct 2026 intake: wording paraphrased from a locator source; read the primary text before any report.</t>
        </is>
      </c>
      <c r="N67" s="2" t="inlineStr">
        <is>
          <t>In progress</t>
        </is>
      </c>
      <c r="O67" s="2" t="n"/>
      <c r="P67" s="2" t="n">
        <v>2</v>
      </c>
      <c r="Q67" s="2" t="inlineStr">
        <is>
          <t>Worker C, attempt 1 (2026-10-08): source: the EPRT decision and any Superintendence of Cultural Heritage statement in their own words not obtained; readable outlets (Shift 1 May 2026, read in full) give the NGO's account and outlet paraphrase only; MaltaToday 'Tribunal approves dismantling of Chambray barracks' seen only as search summary (403, second-hand); need the EPRT decision text (and SCH conditions) from the tribunal/PA site or a browser; tried: Shift article, 1 web search, PA/EPRT not reachable by search</t>
        </is>
      </c>
      <c r="R67" s="2" t="n"/>
      <c r="S67" s="2" t="n"/>
      <c r="T67" s="2" t="n"/>
      <c r="U67" s="2" t="inlineStr">
        <is>
          <t>Heritage &amp; character</t>
        </is>
      </c>
      <c r="V67" s="2" t="inlineStr">
        <is>
          <t>2026-04</t>
        </is>
      </c>
      <c r="W67" s="2" t="n"/>
      <c r="X67" s="2" t="inlineStr"/>
      <c r="Y67" s="2" t="inlineStr">
        <is>
          <t>C</t>
        </is>
      </c>
      <c r="Z67" s="2" t="inlineStr">
        <is>
          <t>1</t>
        </is>
      </c>
      <c r="AA67" s="2" t="inlineStr">
        <is>
          <t>2026-10-08</t>
        </is>
      </c>
      <c r="AB67" s="2" t="inlineStr">
        <is>
          <t>source: the EPRT decision and any Superintendence of Cultural Heritage statement in their own words not obtained; readable outlets (Shift 1 May 2026, read in full) give the NGO's account and outlet paraphrase only; MaltaToday 'Tribunal approves dismantling of Chambray barracks' seen only as search summary (403, second-hand); need the EPRT decision text (and SCH conditions) from the tribunal/PA site or a browser; tried: Shift article, 1 web search, PA/EPRT not reachable by search</t>
        </is>
      </c>
      <c r="AC67" s="5" t="inlineStr">
        <is>
          <t>https://leandergrech.github.io/Mizien/claims/CC-066/</t>
        </is>
      </c>
    </row>
    <row r="68">
      <c r="A68" s="2" t="inlineStr">
        <is>
          <t>CC-067</t>
        </is>
      </c>
      <c r="B68" s="2" t="inlineStr">
        <is>
          <t>Planning &amp; Housing</t>
        </is>
      </c>
      <c r="C68" s="2" t="inlineStr">
        <is>
          <t>Marsalforn 12 storeys</t>
        </is>
      </c>
      <c r="D68" s="2" t="inlineStr">
        <is>
          <t>Momentum (Jan 2026): a proposed development of up to twelve storeys on the Calypso Hotel site in Marsalforn would further erode Gozo's character and skyline.</t>
        </is>
      </c>
      <c r="E68" s="2" t="inlineStr">
        <is>
          <t>Gozo was excluded from the 2014 floor-area-ratio high-rise policy; check the application and heights.</t>
        </is>
      </c>
      <c r="F68" s="2" t="inlineStr">
        <is>
          <t>PA application file; FAR policy; Gozo local plan.</t>
        </is>
      </c>
      <c r="G68" s="2" t="inlineStr">
        <is>
          <t>A specific, attributable statement that public data can test.</t>
        </is>
      </c>
      <c r="H68" s="2" t="inlineStr"/>
      <c r="I68" s="2" t="inlineStr">
        <is>
          <t>Momentum</t>
        </is>
      </c>
      <c r="J68" s="2" t="inlineStr">
        <is>
          <t>Paraphrase: locate quote</t>
        </is>
      </c>
      <c r="K68" s="2" t="inlineStr">
        <is>
          <t>Medium</t>
        </is>
      </c>
      <c r="L68" s="2" t="inlineStr">
        <is>
          <t>Queue</t>
        </is>
      </c>
      <c r="M68" s="2" t="inlineStr">
        <is>
          <t>Candidate from the 4 Oct 2026 intake: wording paraphrased from a locator source; read the primary text before any report.</t>
        </is>
      </c>
      <c r="N68" s="2" t="inlineStr">
        <is>
          <t>Not started</t>
        </is>
      </c>
      <c r="O68" s="2" t="n"/>
      <c r="P68" s="2" t="n">
        <v>0</v>
      </c>
      <c r="Q68" s="2" t="inlineStr">
        <is>
          <t>Queued for worker A.</t>
        </is>
      </c>
      <c r="R68" s="2" t="n"/>
      <c r="S68" s="2" t="n"/>
      <c r="T68" s="2" t="n"/>
      <c r="U68" s="2" t="inlineStr">
        <is>
          <t>Heritage &amp; character</t>
        </is>
      </c>
      <c r="V68" s="2" t="inlineStr">
        <is>
          <t>2026-01-09</t>
        </is>
      </c>
      <c r="W68" s="2" t="n"/>
      <c r="X68" s="2" t="inlineStr"/>
      <c r="Y68" s="2" t="inlineStr">
        <is>
          <t>A</t>
        </is>
      </c>
      <c r="Z68" s="2" t="inlineStr">
        <is>
          <t>0</t>
        </is>
      </c>
      <c r="AA68" s="2" t="inlineStr"/>
      <c r="AB68" s="2" t="inlineStr"/>
      <c r="AC68" s="5" t="inlineStr">
        <is>
          <t>https://leandergrech.github.io/Mizien/claims/CC-067/</t>
        </is>
      </c>
    </row>
    <row r="69">
      <c r="A69" s="2" t="inlineStr">
        <is>
          <t>CC-068</t>
        </is>
      </c>
      <c r="B69" s="2" t="inlineStr">
        <is>
          <t>Planning &amp; Housing</t>
        </is>
      </c>
      <c r="C69" s="2" t="inlineStr">
        <is>
          <t>Marsaskala marina shelved</t>
        </is>
      </c>
      <c r="D69" s="2" t="inlineStr">
        <is>
          <t>Government of Malta: the Marsaskala yacht marina has been shelved (PM Robert Abela), and the PA withdrew the local-plan reference.</t>
        </is>
      </c>
      <c r="E69" s="2" t="inlineStr">
        <is>
          <t>A ferry terminal for Marsaskala Bay drew objections in 2025; is the marina reference gone from all plans?</t>
        </is>
      </c>
      <c r="F69" s="2" t="inlineStr">
        <is>
          <t>PA policy withdrawal notice; Transport Malta tenders.</t>
        </is>
      </c>
      <c r="G69" s="2" t="inlineStr">
        <is>
          <t>A specific, attributable statement that public data can test.</t>
        </is>
      </c>
      <c r="H69" s="2" t="inlineStr"/>
      <c r="I69" s="2" t="inlineStr">
        <is>
          <t>Robert Abela, Prime Minister; Planning Authority</t>
        </is>
      </c>
      <c r="J69" s="2" t="inlineStr">
        <is>
          <t>Paraphrase: locate quote</t>
        </is>
      </c>
      <c r="K69" s="2" t="inlineStr">
        <is>
          <t>Medium</t>
        </is>
      </c>
      <c r="L69" s="2" t="inlineStr">
        <is>
          <t>Queue</t>
        </is>
      </c>
      <c r="M69" s="2" t="inlineStr">
        <is>
          <t>Candidate from the 4 Oct 2026 intake: wording paraphrased from a locator source; read the primary text before any report.</t>
        </is>
      </c>
      <c r="N69" s="2" t="inlineStr">
        <is>
          <t>In progress</t>
        </is>
      </c>
      <c r="O69" s="2" t="n"/>
      <c r="P69" s="2" t="n">
        <v>0</v>
      </c>
      <c r="Q69" s="2" t="inlineStr">
        <is>
          <t>Worker B, attempt 1 (2026-10-10): source: the Planning Authority's own wording is not in quotation marks in any readable copy (TVM News 4 May 2024 and Newsbook 3 May 2024 relay the PA statement that it 'has started the process' to withdraw policy SMMS 04, consultation to 17 Jun 2024); the PA's notice of withdrawal and the outcome (adopted or not) are on pa.org.mt/gov.mt (403, browser-only); Abela's 22-23 Feb 2022 words are in quotation marks (Business Now, 'the best decision is for this project to stop at once') but 'shelved' is the record's paraphrase and the 2024 date belongs to the PA; need in a browser: PA 'Notice of withdrawal of subsidiary policy SMMS-04' (South Malta Local Plan page) with date and outcome; tried: claim URL (MaltaToday 403), gov.mt NL-0011-2024 (403), pa.org.mt (403), Wayback (reset), TVM, Newsbook, Business Now, Lovin Malta, 4 web searches</t>
        </is>
      </c>
      <c r="R69" s="2" t="n"/>
      <c r="S69" s="2" t="n"/>
      <c r="T69" s="2" t="n"/>
      <c r="U69" s="2" t="inlineStr">
        <is>
          <t>Development &amp; construction</t>
        </is>
      </c>
      <c r="V69" s="2" t="inlineStr">
        <is>
          <t>2024-05</t>
        </is>
      </c>
      <c r="W69" s="2" t="n"/>
      <c r="X69" s="2" t="inlineStr"/>
      <c r="Y69" s="2" t="inlineStr">
        <is>
          <t>B</t>
        </is>
      </c>
      <c r="Z69" s="2" t="inlineStr">
        <is>
          <t>1</t>
        </is>
      </c>
      <c r="AA69" s="2" t="inlineStr">
        <is>
          <t>2026-10-10</t>
        </is>
      </c>
      <c r="AB69" s="2" t="inlineStr">
        <is>
          <t>source: the Planning Authority's own wording is not in quotation marks in any readable copy (TVM News 4 May 2024 and Newsbook 3 May 2024 relay the PA statement that it 'has started the process' to withdraw policy SMMS 04, consultation to 17 Jun 2024); the PA's notice of withdrawal and the outcome (adopted or not) are on pa.org.mt/gov.mt (403, browser-only); Abela's 22-23 Feb 2022 words are in quotation marks (Business Now, 'the best decision is for this project to stop at once') but 'shelved' is the record's paraphrase and the 2024 date belongs to the PA; need in a browser: PA 'Notice of withdrawal of subsidiary policy SMMS-04' (South Malta Local Plan page) with date and outcome; tried: claim URL (MaltaToday 403), gov.mt NL-0011-2024 (403), pa.org.mt (403), Wayback (reset), TVM, Newsbook, Business Now, Lovin Malta, 4 web searches</t>
        </is>
      </c>
      <c r="AC69" s="5" t="inlineStr">
        <is>
          <t>https://leandergrech.github.io/Mizien/claims/CC-068/</t>
        </is>
      </c>
    </row>
    <row r="70">
      <c r="A70" s="2" t="inlineStr">
        <is>
          <t>CC-069</t>
        </is>
      </c>
      <c r="B70" s="2" t="inlineStr">
        <is>
          <t>Transport</t>
        </is>
      </c>
      <c r="C70" s="2" t="inlineStr">
        <is>
          <t>82 million bus trips</t>
        </is>
      </c>
      <c r="D70" s="2" t="inlineStr">
        <is>
          <t>Malta Public Transport / Government: buses carried a record 82 million passengers in 2025 (226,918 a day, +9.6%), 112% more than in 2013.</t>
        </is>
      </c>
      <c r="E70" s="2" t="inlineStr">
        <is>
          <t>Population and tourists also grew; car fleet still rising (see CC-008); subsidy cost about EUR 100m a year.</t>
        </is>
      </c>
      <c r="F70" s="2" t="inlineStr">
        <is>
          <t>Ridership by user type; NSO population; car registrations.</t>
        </is>
      </c>
      <c r="G70" s="2" t="inlineStr">
        <is>
          <t>A specific, attributable statement that public data can test.</t>
        </is>
      </c>
      <c r="H70" s="2" t="inlineStr"/>
      <c r="I70" s="2" t="inlineStr">
        <is>
          <t>Malta Public Transport; Ministry for Transport</t>
        </is>
      </c>
      <c r="J70" s="2" t="inlineStr">
        <is>
          <t>Paraphrase: locate quote</t>
        </is>
      </c>
      <c r="K70" s="2" t="inlineStr">
        <is>
          <t>Medium</t>
        </is>
      </c>
      <c r="L70" s="2" t="inlineStr">
        <is>
          <t>Queue</t>
        </is>
      </c>
      <c r="M70" s="2" t="inlineStr">
        <is>
          <t>Candidate from the 4 Oct 2026 intake: wording paraphrased from a locator source; read the primary text before any report.</t>
        </is>
      </c>
      <c r="N70" s="2" t="inlineStr">
        <is>
          <t>In progress</t>
        </is>
      </c>
      <c r="O70" s="2" t="n"/>
      <c r="P70" s="2" t="n">
        <v>2</v>
      </c>
      <c r="Q70" s="2" t="inlineStr">
        <is>
          <t>Worker C, attempt 1 (2026-10-08): source: no Malta Public Transport or ministry statement carrying 82 million, 226,918 a day, +9.6% or '112% more than 2013' found; the claim record's URL is a Cities Today piece of 13 Jun 2023 (May 2023 record 5.8 million; Pulé quoted) and does not contain these figures; NSO page (search summary, second-hand): public transport commuters 82,944,589 in 2025, +9.5% on 2024 (NSO page now Cloudflare-blocked to scripts); 226,918 not found anywhere; need the 2026 MPT/Transport Malta release or a dated ministry statement; tried: Cities Today URL, publictransport.com.mt/en/news (empty), nso.gov.mt (403), 3 web searches</t>
        </is>
      </c>
      <c r="R70" s="2" t="n"/>
      <c r="S70" s="2" t="n"/>
      <c r="T70" s="2" t="n"/>
      <c r="U70" s="2" t="inlineStr">
        <is>
          <t>Public transport</t>
        </is>
      </c>
      <c r="V70" s="2" t="inlineStr">
        <is>
          <t>2026</t>
        </is>
      </c>
      <c r="W70" s="2" t="n"/>
      <c r="X70" s="2" t="inlineStr"/>
      <c r="Y70" s="2" t="inlineStr">
        <is>
          <t>C</t>
        </is>
      </c>
      <c r="Z70" s="2" t="inlineStr">
        <is>
          <t>1</t>
        </is>
      </c>
      <c r="AA70" s="2" t="inlineStr">
        <is>
          <t>2026-10-08</t>
        </is>
      </c>
      <c r="AB70" s="2" t="inlineStr">
        <is>
          <t>source: no Malta Public Transport or ministry statement carrying 82 million, 226,918 a day, +9.6% or '112% more than 2013' found; the claim record's URL is a Cities Today piece of 13 Jun 2023 (May 2023 record 5.8 million; Pulé quoted) and does not contain these figures; NSO page (search summary, second-hand): public transport commuters 82,944,589 in 2025, +9.5% on 2024 (NSO page now Cloudflare-blocked to scripts); 226,918 not found anywhere; need the 2026 MPT/Transport Malta release or a dated ministry statement; tried: Cities Today URL, publictransport.com.mt/en/news (empty), nso.gov.mt (403), 3 web searches</t>
        </is>
      </c>
      <c r="AC70" s="5" t="inlineStr">
        <is>
          <t>https://leandergrech.github.io/Mizien/claims/CC-069/</t>
        </is>
      </c>
    </row>
    <row r="71">
      <c r="A71" s="2" t="inlineStr">
        <is>
          <t>CC-070</t>
        </is>
      </c>
      <c r="B71" s="2" t="inlineStr">
        <is>
          <t>Transport</t>
        </is>
      </c>
      <c r="C71" s="2" t="inlineStr">
        <is>
          <t>'Only one overcrowded bus'</t>
        </is>
      </c>
      <c r="D71" s="2" t="inlineStr">
        <is>
          <t>Transport Malta (July 2026): only one bus was overcrowded in the incident under scrutiny.</t>
        </is>
      </c>
      <c r="E71" s="2" t="inlineStr">
        <is>
          <t>Load factors by route and hour; complaints data.</t>
        </is>
      </c>
      <c r="F71" s="2" t="inlineStr">
        <is>
          <t>Automatic passenger counts; TM inspection data.</t>
        </is>
      </c>
      <c r="G71" s="2" t="inlineStr">
        <is>
          <t>A specific, attributable statement that public data can test.</t>
        </is>
      </c>
      <c r="H71" s="2" t="inlineStr"/>
      <c r="I71" s="2" t="inlineStr">
        <is>
          <t>Transport Malta</t>
        </is>
      </c>
      <c r="J71" s="2" t="inlineStr">
        <is>
          <t>Paraphrase: locate quote</t>
        </is>
      </c>
      <c r="K71" s="2" t="inlineStr">
        <is>
          <t>Medium</t>
        </is>
      </c>
      <c r="L71" s="2" t="inlineStr">
        <is>
          <t>Queue</t>
        </is>
      </c>
      <c r="M71" s="2" t="inlineStr">
        <is>
          <t>Candidate from the 4 Oct 2026 intake: wording paraphrased from a locator source; read the primary text before any report.</t>
        </is>
      </c>
      <c r="N71" s="2" t="inlineStr">
        <is>
          <t>Not started</t>
        </is>
      </c>
      <c r="O71" s="2" t="n"/>
      <c r="P71" s="2" t="n">
        <v>0</v>
      </c>
      <c r="Q71" s="2" t="inlineStr">
        <is>
          <t>Queued for worker A.</t>
        </is>
      </c>
      <c r="R71" s="2" t="n"/>
      <c r="S71" s="2" t="n"/>
      <c r="T71" s="2" t="n"/>
      <c r="U71" s="2" t="inlineStr">
        <is>
          <t>Public transport</t>
        </is>
      </c>
      <c r="V71" s="2" t="inlineStr">
        <is>
          <t>2026-07</t>
        </is>
      </c>
      <c r="W71" s="2" t="n"/>
      <c r="X71" s="2" t="inlineStr"/>
      <c r="Y71" s="2" t="inlineStr">
        <is>
          <t>A</t>
        </is>
      </c>
      <c r="Z71" s="2" t="inlineStr">
        <is>
          <t>0</t>
        </is>
      </c>
      <c r="AA71" s="2" t="inlineStr"/>
      <c r="AB71" s="2" t="inlineStr"/>
      <c r="AC71" s="5" t="inlineStr">
        <is>
          <t>https://leandergrech.github.io/Mizien/claims/CC-070/</t>
        </is>
      </c>
    </row>
    <row r="72">
      <c r="A72" s="2" t="inlineStr">
        <is>
          <t>CC-071</t>
        </is>
      </c>
      <c r="B72" s="2" t="inlineStr">
        <is>
          <t>Transport</t>
        </is>
      </c>
      <c r="C72" s="2" t="inlineStr">
        <is>
          <t>EUR 100m a year for free buses</t>
        </is>
      </c>
      <c r="D72" s="2" t="inlineStr">
        <is>
          <t>The Shift News (Ivan Camilleri, 26 Feb 2026): headline "'Free' public transport reaches €100 million a year in subsidies as traffic gridlock worsens"; body: Malta's "'free' public transport system cost taxpayers almost €100 million in 2025, according to figures tabled in Parliament", while "traffic congestion continues to worsen".</t>
        </is>
      </c>
      <c r="E72" s="2" t="inlineStr">
        <is>
          <t>The article's three 2025 payments (59.0 + 31.2 + 3.2) sum to EUR 93.4 million (second-hand: the parliamentary reply was not read; Newsbook reports the same). TomTom Valletta metro congestion 49.2% (2024) to 50.3% (2025); Eurostat passenger cars +5.8% 2022-2025 but cars per 1,000 residents 610 to 585 (population +10.4%).</t>
        </is>
      </c>
      <c r="F72" s="2" t="inlineStr">
        <is>
          <t>Parliamentary reply (not read); Financial Estimates (403); Eurostat road_eqs_carmot and demo_gind; TomTom Traffic Index.</t>
        </is>
      </c>
      <c r="G72" s="2" t="inlineStr">
        <is>
          <t>Done: Claim Check 071 report and flyer.</t>
        </is>
      </c>
      <c r="H72" s="2" t="inlineStr"/>
      <c r="I72" s="2" t="inlineStr">
        <is>
          <t>The Shift News</t>
        </is>
      </c>
      <c r="J72" s="2" t="inlineStr">
        <is>
          <t>Verbatim found</t>
        </is>
      </c>
      <c r="K72" s="2" t="inlineStr">
        <is>
          <t>Medium</t>
        </is>
      </c>
      <c r="L72" s="2" t="inlineStr">
        <is>
          <t>Done (v1.0)</t>
        </is>
      </c>
      <c r="M72" s="2" t="inlineStr">
        <is>
          <t>Verdict Not substantiated (low): the article's own components sum to EUR 93.4m, not 100m; every euro figure is second-hand (the PQ replies, Financial Estimates and accounts were not read; parlament.mt and finance.gov.mt are 403). Congestion is only slightly up (TomTom, Valletta area, two years); car stock up but cars per head down; the implied failure of free travel is not tested (no counterfactual). The rating applies to the claim as the outlet worded it, not to its motives. Pending right of reply.</t>
        </is>
      </c>
      <c r="N72" s="2" t="inlineStr">
        <is>
          <t>Drafted</t>
        </is>
      </c>
      <c r="O72" s="2" t="n"/>
      <c r="P72" s="2" t="n">
        <v>3</v>
      </c>
      <c r="Q72" s="2" t="inlineStr">
        <is>
          <t>Report v1.0; verdict Not substantiated (low); right of reply to send (draft; not for circulation before the deadline).</t>
        </is>
      </c>
      <c r="R72" s="2" t="inlineStr">
        <is>
          <t>Not substantiated</t>
        </is>
      </c>
      <c r="S72" s="2" t="inlineStr">
        <is>
          <t>Low</t>
        </is>
      </c>
      <c r="T72" s="2" t="n"/>
      <c r="U72" s="2" t="inlineStr">
        <is>
          <t>Public transport</t>
        </is>
      </c>
      <c r="V72" s="2" t="inlineStr">
        <is>
          <t>2026-02-26</t>
        </is>
      </c>
      <c r="W72" s="2" t="inlineStr">
        <is>
          <t>1.0</t>
        </is>
      </c>
      <c r="X72" s="2" t="inlineStr">
        <is>
          <t>2026-10-10</t>
        </is>
      </c>
      <c r="Y72" s="2" t="inlineStr">
        <is>
          <t>B</t>
        </is>
      </c>
      <c r="Z72" s="2" t="inlineStr">
        <is>
          <t>1</t>
        </is>
      </c>
      <c r="AA72" s="2" t="inlineStr">
        <is>
          <t>2026-10-10</t>
        </is>
      </c>
      <c r="AB72" s="2" t="inlineStr"/>
      <c r="AC72" s="5" t="inlineStr">
        <is>
          <t>https://leandergrech.github.io/Mizien/claims/CC-071/</t>
        </is>
      </c>
    </row>
    <row r="73">
      <c r="A73" s="2" t="inlineStr">
        <is>
          <t>CC-072</t>
        </is>
      </c>
      <c r="B73" s="2" t="inlineStr">
        <is>
          <t>Transport</t>
        </is>
      </c>
      <c r="C73" s="2" t="inlineStr">
        <is>
          <t>EUR 15m to take cars off the road</t>
        </is>
      </c>
      <c r="D73" s="2" t="inlineStr">
        <is>
          <t>Government of Malta (2025): a EUR 15 million scheme will help tackle congestion by taking vehicles off the road.</t>
        </is>
      </c>
      <c r="E73" s="2" t="inlineStr">
        <is>
          <t>Even fully spent, the scheme could remove at most about 3,000 vehicles; the fleet grows by about 36 a day.</t>
        </is>
      </c>
      <c r="F73" s="2" t="inlineStr">
        <is>
          <t>Scheme uptake; NSO vehicle stock.</t>
        </is>
      </c>
      <c r="G73" s="2" t="inlineStr">
        <is>
          <t>A specific, attributable statement that public data can test.</t>
        </is>
      </c>
      <c r="H73" s="2" t="inlineStr"/>
      <c r="I73" s="2" t="inlineStr">
        <is>
          <t>Ministry for Transport</t>
        </is>
      </c>
      <c r="J73" s="2" t="inlineStr">
        <is>
          <t>Paraphrase: locate quote</t>
        </is>
      </c>
      <c r="K73" s="2" t="inlineStr">
        <is>
          <t>Medium</t>
        </is>
      </c>
      <c r="L73" s="2" t="inlineStr">
        <is>
          <t>Queue</t>
        </is>
      </c>
      <c r="M73" s="2" t="inlineStr">
        <is>
          <t>Candidate from the 4 Oct 2026 intake: wording paraphrased from a locator source; read the primary text before any report.</t>
        </is>
      </c>
      <c r="N73" s="2" t="inlineStr">
        <is>
          <t>In progress</t>
        </is>
      </c>
      <c r="O73" s="2" t="n"/>
      <c r="P73" s="2" t="n">
        <v>4</v>
      </c>
      <c r="Q73" s="2" t="inlineStr">
        <is>
          <t>Worker C, attempt 1 (2026-10-09): source: no verbatim wording for 'a EUR 15 million scheme ... taking vehicles off the road'. The EUR 15m is TVM News' indirect speech (29 Mar 2025, EN and MT): Bonett said ALL the measures together would cost 'a maximum of' EUR 15m (EUR 10-15m this year), not one scheme; the only quoted ministry text (statement, EN) lists the EUR 25,000 licence grant without a cost. The Shift (21 Apr, 27 Jun 2025) cites unnamed sources; Italpress/MNA says the Finance Ministry had allocated EUR 5m. Need the ministry press release or press-conference transcript of 29 Mar 2025 (gov.mt/reshapingourmobility.com browser-only) showing who said EUR 15m and for what; tried: Shift URL, TVM EN/MT, Newsbook search (article page 404), Lovin Malta search, Italpress, transport.gov.mt (403), reshapingourmobility.com (empty to scripts), 3 web searches</t>
        </is>
      </c>
      <c r="R73" s="2" t="n"/>
      <c r="S73" s="2" t="n"/>
      <c r="T73" s="2" t="n"/>
      <c r="U73" s="2" t="inlineStr">
        <is>
          <t>Cars &amp; traffic</t>
        </is>
      </c>
      <c r="V73" s="2" t="inlineStr">
        <is>
          <t>2025</t>
        </is>
      </c>
      <c r="W73" s="2" t="n"/>
      <c r="X73" s="2" t="inlineStr"/>
      <c r="Y73" s="2" t="inlineStr">
        <is>
          <t>C</t>
        </is>
      </c>
      <c r="Z73" s="2" t="inlineStr">
        <is>
          <t>1</t>
        </is>
      </c>
      <c r="AA73" s="2" t="inlineStr">
        <is>
          <t>2026-10-09</t>
        </is>
      </c>
      <c r="AB73" s="2" t="inlineStr">
        <is>
          <t>source: no verbatim wording for 'a EUR 15 million scheme ... taking vehicles off the road'. The EUR 15m is TVM News' indirect speech (29 Mar 2025, EN and MT): Bonett said ALL the measures together would cost 'a maximum of' EUR 15m (EUR 10-15m this year), not one scheme; the only quoted ministry text (statement, EN) lists the EUR 25,000 licence grant without a cost. The Shift (21 Apr, 27 Jun 2025) cites unnamed sources; Italpress/MNA says the Finance Ministry had allocated EUR 5m. Need the ministry press release or press-conference transcript of 29 Mar 2025 (gov.mt/reshapingourmobility.com browser-only) showing who said EUR 15m and for what; tried: Shift URL, TVM EN/MT, Newsbook search (article page 404), Lovin Malta search, Italpress, transport.gov.mt (403), reshapingourmobility.com (empty to scripts), 3 web searches</t>
        </is>
      </c>
      <c r="AC73" s="5" t="inlineStr">
        <is>
          <t>https://leandergrech.github.io/Mizien/claims/CC-072/</t>
        </is>
      </c>
    </row>
    <row r="74">
      <c r="A74" s="2" t="inlineStr">
        <is>
          <t>CC-073</t>
        </is>
      </c>
      <c r="B74" s="2" t="inlineStr">
        <is>
          <t>Transport</t>
        </is>
      </c>
      <c r="C74" s="2" t="inlineStr">
        <is>
          <t>Cab trips up 68%</t>
        </is>
      </c>
      <c r="D74" s="2" t="inlineStr">
        <is>
          <t>Transport Minister: cab trips surged by 68% as demand for alternative transport rose.</t>
        </is>
      </c>
      <c r="E74" s="2" t="inlineStr">
        <is>
          <t>More cab trips may add traffic rather than replace car trips; licensed cab numbers.</t>
        </is>
      </c>
      <c r="F74" s="2" t="inlineStr">
        <is>
          <t>TM cab licensing and trip data; traffic counts.</t>
        </is>
      </c>
      <c r="G74" s="2" t="inlineStr">
        <is>
          <t>A specific, attributable statement that public data can test.</t>
        </is>
      </c>
      <c r="H74" s="2" t="inlineStr"/>
      <c r="I74" s="2" t="inlineStr">
        <is>
          <t>Chris Bonett, Transport Minister</t>
        </is>
      </c>
      <c r="J74" s="2" t="inlineStr">
        <is>
          <t>Paraphrase: locate quote</t>
        </is>
      </c>
      <c r="K74" s="2" t="inlineStr">
        <is>
          <t>Medium</t>
        </is>
      </c>
      <c r="L74" s="2" t="inlineStr">
        <is>
          <t>Queue</t>
        </is>
      </c>
      <c r="M74" s="2" t="inlineStr">
        <is>
          <t>Candidate from the 4 Oct 2026 intake: wording paraphrased from a locator source; read the primary text before any report.</t>
        </is>
      </c>
      <c r="N74" s="2" t="inlineStr">
        <is>
          <t>Not started</t>
        </is>
      </c>
      <c r="O74" s="2" t="n"/>
      <c r="P74" s="2" t="n">
        <v>0</v>
      </c>
      <c r="Q74" s="2" t="inlineStr">
        <is>
          <t>Queued for worker A.</t>
        </is>
      </c>
      <c r="R74" s="2" t="n"/>
      <c r="S74" s="2" t="n"/>
      <c r="T74" s="2" t="n"/>
      <c r="U74" s="2" t="inlineStr">
        <is>
          <t>Cars &amp; traffic</t>
        </is>
      </c>
      <c r="V74" s="2" t="inlineStr"/>
      <c r="W74" s="2" t="n"/>
      <c r="X74" s="2" t="inlineStr"/>
      <c r="Y74" s="2" t="inlineStr">
        <is>
          <t>A</t>
        </is>
      </c>
      <c r="Z74" s="2" t="inlineStr">
        <is>
          <t>0</t>
        </is>
      </c>
      <c r="AA74" s="2" t="inlineStr"/>
      <c r="AB74" s="2" t="inlineStr"/>
      <c r="AC74" s="5" t="inlineStr">
        <is>
          <t>https://leandergrech.github.io/Mizien/claims/CC-073/</t>
        </is>
      </c>
    </row>
    <row r="75">
      <c r="A75" s="2" t="inlineStr">
        <is>
          <t>CC-074</t>
        </is>
      </c>
      <c r="B75" s="2" t="inlineStr">
        <is>
          <t>Transport</t>
        </is>
      </c>
      <c r="C75" s="2" t="inlineStr">
        <is>
          <t>8,144 EV grants</t>
        </is>
      </c>
      <c r="D75" s="2" t="inlineStr">
        <is>
          <t>Transport Malta: over the last three years more than 8,144 grants worth over EUR 69 million were issued for new electric vehicles.</t>
        </is>
      </c>
      <c r="E75" s="2" t="inlineStr">
        <is>
          <t>Share of EVs in the fleet; emissions effect vs additional cars.</t>
        </is>
      </c>
      <c r="F75" s="2" t="inlineStr">
        <is>
          <t>NSO vehicle stock by fuel; grant data.</t>
        </is>
      </c>
      <c r="G75" s="2" t="inlineStr">
        <is>
          <t>A specific, attributable statement that public data can test.</t>
        </is>
      </c>
      <c r="H75" s="2" t="inlineStr"/>
      <c r="I75" s="2" t="inlineStr">
        <is>
          <t>Transport Malta</t>
        </is>
      </c>
      <c r="J75" s="2" t="inlineStr">
        <is>
          <t>Paraphrase: locate quote</t>
        </is>
      </c>
      <c r="K75" s="2" t="inlineStr">
        <is>
          <t>Medium</t>
        </is>
      </c>
      <c r="L75" s="2" t="inlineStr">
        <is>
          <t>Queue</t>
        </is>
      </c>
      <c r="M75" s="2" t="inlineStr">
        <is>
          <t>Candidate from the 4 Oct 2026 intake: wording paraphrased from a locator source; read the primary text before any report.</t>
        </is>
      </c>
      <c r="N75" s="2" t="inlineStr">
        <is>
          <t>Not started</t>
        </is>
      </c>
      <c r="O75" s="2" t="n"/>
      <c r="P75" s="2" t="n">
        <v>0</v>
      </c>
      <c r="Q75" s="2" t="inlineStr">
        <is>
          <t>Queued for worker B.</t>
        </is>
      </c>
      <c r="R75" s="2" t="n"/>
      <c r="S75" s="2" t="n"/>
      <c r="T75" s="2" t="n"/>
      <c r="U75" s="2" t="inlineStr">
        <is>
          <t>Cars &amp; traffic</t>
        </is>
      </c>
      <c r="V75" s="2" t="inlineStr">
        <is>
          <t>2025</t>
        </is>
      </c>
      <c r="W75" s="2" t="n"/>
      <c r="X75" s="2" t="inlineStr"/>
      <c r="Y75" s="2" t="inlineStr">
        <is>
          <t>B</t>
        </is>
      </c>
      <c r="Z75" s="2" t="inlineStr">
        <is>
          <t>0</t>
        </is>
      </c>
      <c r="AA75" s="2" t="inlineStr"/>
      <c r="AB75" s="2" t="inlineStr"/>
      <c r="AC75" s="5" t="inlineStr">
        <is>
          <t>https://leandergrech.github.io/Mizien/claims/CC-074/</t>
        </is>
      </c>
    </row>
    <row r="76">
      <c r="A76" s="2" t="inlineStr">
        <is>
          <t>CC-075</t>
        </is>
      </c>
      <c r="B76" s="2" t="inlineStr">
        <is>
          <t>Transport</t>
        </is>
      </c>
      <c r="C76" s="2" t="inlineStr">
        <is>
          <t>Seventh in the EU for cars</t>
        </is>
      </c>
      <c r="D76" s="2" t="inlineStr">
        <is>
          <t>Lovin Malta (21 Sep 2024), describing a Eurostat dataset "as of 2023": Malta is ranked seventh in the EU, between Germany and Poland, with 585 passenger cars per 1,000 inhabitants. The article gives conflicting year signals: the dataset "as of 2023", a graphic "up to the year 2022".</t>
        </is>
      </c>
      <c r="E76" s="2" t="inlineStr">
        <is>
          <t>By 25 Jul 2024, about two months before the article, Eurostat had published 2023 figures for all 27 Member States (Statistics Explained "Passenger cars in the EU", revision 647912, live 19 Aug to 5 Nov 2024): Malta about 575, 12th; EU 571. The article gives conflicting year signals (dataset "as of 2023", graphic "up to the year 2022") and states the rank in the present tense without mentioning the 2023 figures. Its 585 and seventh place are 2022 figures in data revised after January 2024 (Eurostat's January 2024 release had Malta sixth at about 602). Today's data: 11th for 2023, 14th for 2025 (571, below the EU's 584); the population grew faster than the car stock. Side remarks: one car per 1.7 people, not per two; 246 km2 is Malta island (country 313 km2; still the most cars per km2 in the EU). NSO licensed-vehicle figures are second-hand.</t>
        </is>
      </c>
      <c r="F76" s="2" t="inlineStr">
        <is>
          <t>Eurostat road_eqs_carhab (all countries and years, with flags), rebuilt from road_eqs_carmot (stock at 31 Dec) and demo_gind (population on 1 Jan of the next year) for all 27 Member States; Eurostat's earlier publications (release of 17 Jan 2024 and its chart; Statistics Explained revisions 627098 and 647912 with their Figure 3 charts, via the MediaWiki API), charts read by pixel measurement (tools/cc-075-report/read_charts.py, within 1.2 of every printed value); reg_area3 land area; calc.py.</t>
        </is>
      </c>
      <c r="G76" s="2" t="inlineStr">
        <is>
          <t>Done: Claim Check 075 report and flyer.</t>
        </is>
      </c>
      <c r="H76" s="2" t="inlineStr"/>
      <c r="I76" s="2" t="inlineStr">
        <is>
          <t>Lovin Malta (reporting Eurostat)</t>
        </is>
      </c>
      <c r="J76" s="2" t="inlineStr">
        <is>
          <t>Verbatim found</t>
        </is>
      </c>
      <c r="K76" s="2" t="inlineStr">
        <is>
          <t>Medium</t>
        </is>
      </c>
      <c r="L76" s="2" t="inlineStr">
        <is>
          <t>Done (v1.0)</t>
        </is>
      </c>
      <c r="M76" s="2" t="inlineStr">
        <is>
          <t>The 585 and seventh place are right for 2022 in Eurostat's revised data, but Eurostat's published 2023 figures put Malta 12th when the article appeared, and the article presents seventh as current. Earlier Eurostat values are read from Eurostat's own charts by pixel measurement; the article's own data source (a third-party graphic) was not found. NSO figures are second-hand. For September 2024 only the Statistics Explained revision and its figure were seen, not the database tables as then published; Malta's 2023 rank (12th) is read from a chart, so 11th or 12th is within reading error. Confidence Moderate: the article's own dates conflict, so what readers take from them is open. Misleading verdict: draft, pending right of reply.</t>
        </is>
      </c>
      <c r="N76" s="2" t="inlineStr">
        <is>
          <t>Drafted</t>
        </is>
      </c>
      <c r="O76" s="2" t="n"/>
      <c r="P76" s="2" t="n">
        <v>1</v>
      </c>
      <c r="Q76" s="2" t="inlineStr">
        <is>
          <t>Report v1.1; verdict Misleading (moderate); right of reply to send (draft; not for circulation before the deadline).</t>
        </is>
      </c>
      <c r="R76" s="2" t="inlineStr">
        <is>
          <t>Misleading</t>
        </is>
      </c>
      <c r="S76" s="2" t="inlineStr">
        <is>
          <t>Moderate</t>
        </is>
      </c>
      <c r="T76" s="2" t="n"/>
      <c r="U76" s="2" t="inlineStr">
        <is>
          <t>Cars &amp; traffic</t>
        </is>
      </c>
      <c r="V76" s="2" t="inlineStr">
        <is>
          <t>2024-09-21</t>
        </is>
      </c>
      <c r="W76" s="2" t="inlineStr">
        <is>
          <t>1.1</t>
        </is>
      </c>
      <c r="X76" s="2" t="inlineStr">
        <is>
          <t>2026-10-06</t>
        </is>
      </c>
      <c r="Y76" s="2" t="inlineStr">
        <is>
          <t>C</t>
        </is>
      </c>
      <c r="Z76" s="2" t="inlineStr">
        <is>
          <t>0</t>
        </is>
      </c>
      <c r="AA76" s="2" t="inlineStr">
        <is>
          <t>2026-10-06</t>
        </is>
      </c>
      <c r="AB76" s="2" t="inlineStr"/>
      <c r="AC76" s="5" t="inlineStr">
        <is>
          <t>https://leandergrech.github.io/Mizien/claims/CC-075/</t>
        </is>
      </c>
    </row>
    <row r="77">
      <c r="A77" s="2" t="inlineStr">
        <is>
          <t>CC-076</t>
        </is>
      </c>
      <c r="B77" s="2" t="inlineStr">
        <is>
          <t>Transport</t>
        </is>
      </c>
      <c r="C77" s="2" t="inlineStr">
        <is>
          <t>36 more vehicles a day</t>
        </is>
      </c>
      <c r="D77" s="2" t="inlineStr">
        <is>
          <t>National Statistics Office: the licensed vehicle fleet stood at 460,648 at the end of March 2026, a net increase of about 36 vehicles a day over Q1 2026.</t>
        </is>
      </c>
      <c r="E77" s="2" t="inlineStr">
        <is>
          <t>Table 1 gives 457,403 (end 2025) and 460,648 (end Mar 2026): +3,245 over 90 days = 36.06 a day, by NSO note 7. Categories sum to totals in all 13 quarters. Gross: 5,680 newly licensed (63 a day), 6,963 restricted, 4,140 restrictions ended; NSO's note-6 flow identity gives +2,857 (31.7 a day), 388 below the stock difference (cut-off dates). Pace is recent: 9 and 8 a day in H1 2024, 19 in Q1 2025, then 37, 36, 35, 36; 32 a day over calendar 2025. Commission's 35 matches Q4 2025 (35.5). The claim record's Newsbook link reports Q3 2025 (454,138; also 36 a day).</t>
        </is>
      </c>
      <c r="F77" s="2" t="inlineStr">
        <is>
          <t>NSO Table 1 stock series, recomputed with tools/cc-076-report/calc.py.</t>
        </is>
      </c>
      <c r="G77" s="2" t="inlineStr">
        <is>
          <t>Done: Claim Check 076 report and flyer.</t>
        </is>
      </c>
      <c r="H77" s="2" t="inlineStr"/>
      <c r="I77" s="2" t="inlineStr">
        <is>
          <t>National Statistics Office (NSO)</t>
        </is>
      </c>
      <c r="J77" s="2" t="inlineStr">
        <is>
          <t>Verbatim found</t>
        </is>
      </c>
      <c r="K77" s="2" t="inlineStr">
        <is>
          <t>High</t>
        </is>
      </c>
      <c r="L77" s="2" t="inlineStr">
        <is>
          <t>Done (v1.0)</t>
        </is>
      </c>
      <c r="M77" s="2" t="inlineStr">
        <is>
          <t>Supported: no right of reply needed. Arithmetic tested against the NSO's own table, not the Transport Malta register. Q4 2025 NSO release not retrieved. NSO data subject to revision.</t>
        </is>
      </c>
      <c r="N77" s="2" t="inlineStr">
        <is>
          <t>Drafted</t>
        </is>
      </c>
      <c r="O77" s="2" t="n"/>
      <c r="P77" s="2" t="n">
        <v>1</v>
      </c>
      <c r="Q77" s="2" t="inlineStr">
        <is>
          <t>Report v1.0; verdict Supported (high); no right of reply needed.</t>
        </is>
      </c>
      <c r="R77" s="2" t="inlineStr">
        <is>
          <t>Supported</t>
        </is>
      </c>
      <c r="S77" s="2" t="inlineStr">
        <is>
          <t>High</t>
        </is>
      </c>
      <c r="T77" s="2" t="n"/>
      <c r="U77" s="2" t="inlineStr">
        <is>
          <t>Cars &amp; traffic</t>
        </is>
      </c>
      <c r="V77" s="2" t="inlineStr">
        <is>
          <t>2026-05-13</t>
        </is>
      </c>
      <c r="W77" s="2" t="inlineStr">
        <is>
          <t>1.0</t>
        </is>
      </c>
      <c r="X77" s="2" t="inlineStr">
        <is>
          <t>2026-10-05</t>
        </is>
      </c>
      <c r="Y77" s="2" t="inlineStr">
        <is>
          <t>A</t>
        </is>
      </c>
      <c r="Z77" s="2" t="inlineStr">
        <is>
          <t>1</t>
        </is>
      </c>
      <c r="AA77" s="2" t="inlineStr">
        <is>
          <t>2026-10-05</t>
        </is>
      </c>
      <c r="AB77" s="2" t="inlineStr"/>
      <c r="AC77" s="5" t="inlineStr">
        <is>
          <t>https://leandergrech.github.io/Mizien/claims/CC-076/</t>
        </is>
      </c>
    </row>
    <row r="78">
      <c r="A78" s="2" t="inlineStr">
        <is>
          <t>CC-077</t>
        </is>
      </c>
      <c r="B78" s="2" t="inlineStr">
        <is>
          <t>Transport</t>
        </is>
      </c>
      <c r="C78" s="2" t="inlineStr">
        <is>
          <t>Metro: first section early 2030s</t>
        </is>
      </c>
      <c r="D78" s="2" t="inlineStr">
        <is>
          <t>Transport Minister Chris Bonett (Apr 2026): the first section of the 'La Valette' rapid-transit line will be operating in the early 2030s; the single 24 km line is costed at about EUR 2.8 billion.</t>
        </is>
      </c>
      <c r="E78" s="2" t="inlineStr">
        <is>
          <t>Construction to start in five to ten years plus three to four years to build, as reported: is 'early 2030s' consistent?</t>
        </is>
      </c>
      <c r="F78" s="2" t="inlineStr">
        <is>
          <t>Malta in Motion plan; procurement timeline.</t>
        </is>
      </c>
      <c r="G78" s="2" t="inlineStr">
        <is>
          <t>A specific, attributable statement that public data can test.</t>
        </is>
      </c>
      <c r="H78" s="2" t="inlineStr"/>
      <c r="I78" s="2" t="inlineStr">
        <is>
          <t>Chris Bonett, Transport Minister; Transport Malta</t>
        </is>
      </c>
      <c r="J78" s="2" t="inlineStr">
        <is>
          <t>Paraphrase: locate quote</t>
        </is>
      </c>
      <c r="K78" s="2" t="inlineStr">
        <is>
          <t>Medium</t>
        </is>
      </c>
      <c r="L78" s="2" t="inlineStr">
        <is>
          <t>Queue</t>
        </is>
      </c>
      <c r="M78" s="2" t="inlineStr">
        <is>
          <t>Candidate from the 4 Oct 2026 intake: wording paraphrased from a locator source; read the primary text before any report.</t>
        </is>
      </c>
      <c r="N78" s="2" t="inlineStr">
        <is>
          <t>Not started</t>
        </is>
      </c>
      <c r="O78" s="2" t="n"/>
      <c r="P78" s="2" t="n">
        <v>0</v>
      </c>
      <c r="Q78" s="2" t="inlineStr">
        <is>
          <t>Queued for worker B.</t>
        </is>
      </c>
      <c r="R78" s="2" t="n"/>
      <c r="S78" s="2" t="n"/>
      <c r="T78" s="2" t="n"/>
      <c r="U78" s="2" t="inlineStr">
        <is>
          <t>Roads &amp; mass transit</t>
        </is>
      </c>
      <c r="V78" s="2" t="inlineStr">
        <is>
          <t>2026-04-23</t>
        </is>
      </c>
      <c r="W78" s="2" t="n"/>
      <c r="X78" s="2" t="inlineStr"/>
      <c r="Y78" s="2" t="inlineStr">
        <is>
          <t>B</t>
        </is>
      </c>
      <c r="Z78" s="2" t="inlineStr">
        <is>
          <t>0</t>
        </is>
      </c>
      <c r="AA78" s="2" t="inlineStr"/>
      <c r="AB78" s="2" t="inlineStr"/>
      <c r="AC78" s="5" t="inlineStr">
        <is>
          <t>https://leandergrech.github.io/Mizien/claims/CC-077/</t>
        </is>
      </c>
    </row>
    <row r="79">
      <c r="A79" s="2" t="inlineStr">
        <is>
          <t>CC-078</t>
        </is>
      </c>
      <c r="B79" s="2" t="inlineStr">
        <is>
          <t>Transport</t>
        </is>
      </c>
      <c r="C79" s="2" t="inlineStr">
        <is>
          <t>Gozo Channel: +511,000 passengers</t>
        </is>
      </c>
      <c r="D79" s="2" t="inlineStr">
        <is>
          <t>Ministry for Gozo: Gozo Channel services increased by 1,707 trips and more than 511,000 passengers on the previous year; two new ferries will enter service in early 2029.</t>
        </is>
      </c>
      <c r="E79" s="2" t="inlineStr">
        <is>
          <t>Passenger and vehicle growth vs Gozo population and tourism; ferry emissions.</t>
        </is>
      </c>
      <c r="F79" s="2" t="inlineStr">
        <is>
          <t>Gozo Channel statistics; NSO inter-island transport.</t>
        </is>
      </c>
      <c r="G79" s="2" t="inlineStr">
        <is>
          <t>A specific, attributable statement that public data can test.</t>
        </is>
      </c>
      <c r="H79" s="2" t="inlineStr"/>
      <c r="I79" s="2" t="inlineStr">
        <is>
          <t>Ministry for Gozo; Gozo Channel</t>
        </is>
      </c>
      <c r="J79" s="2" t="inlineStr">
        <is>
          <t>Paraphrase: locate quote</t>
        </is>
      </c>
      <c r="K79" s="2" t="inlineStr">
        <is>
          <t>Medium</t>
        </is>
      </c>
      <c r="L79" s="2" t="inlineStr">
        <is>
          <t>Queue</t>
        </is>
      </c>
      <c r="M79" s="2" t="inlineStr">
        <is>
          <t>Candidate from the 4 Oct 2026 intake: wording paraphrased from a locator source; read the primary text before any report.</t>
        </is>
      </c>
      <c r="N79" s="2" t="inlineStr">
        <is>
          <t>In progress</t>
        </is>
      </c>
      <c r="O79" s="2" t="n"/>
      <c r="P79" s="2" t="n">
        <v>0</v>
      </c>
      <c r="Q79" s="2" t="inlineStr">
        <is>
          <t>Worker C, attempt 1 (2026-10-09): source: browser-only (https://investgozo.gov.mt/investment-malta-gozo-sea-transport/): page returns 403 to scripts and WebFetch, Wayback has no copy; the 1,707 trips / more than 511,000 passengers / 35,518 trips / 6.1 million passengers wording is seen only in web-search summaries (second-hand); 'early 2029' not found in any readable text (Newsbook and Business Now, 14 Jan 2026, say 'by 2029'); NSO Q4 2025 release (403; search summary) gives 1,707 trips (3.8%) and 511,306 passengers (7.4%) for Gozo Channel PLUS the fast ferry, so the page's attribution to Gozo Channel alone needs checking; need the page text and date from a browser, and the NSO release; tried: Invest Gozo URL, Wayback, WebFetch, wp-json, ?p= id, gozochannel.com (no figures), TVM/Newsbook searches, Newsbook and Business Now articles on the EUR 130m plan, 2 web searches</t>
        </is>
      </c>
      <c r="R79" s="2" t="n"/>
      <c r="S79" s="2" t="n"/>
      <c r="T79" s="2" t="n"/>
      <c r="U79" s="2" t="inlineStr">
        <is>
          <t>Ferries &amp; Gozo links</t>
        </is>
      </c>
      <c r="V79" s="2" t="inlineStr">
        <is>
          <t>2026</t>
        </is>
      </c>
      <c r="W79" s="2" t="n"/>
      <c r="X79" s="2" t="inlineStr"/>
      <c r="Y79" s="2" t="inlineStr">
        <is>
          <t>C</t>
        </is>
      </c>
      <c r="Z79" s="2" t="inlineStr">
        <is>
          <t>1</t>
        </is>
      </c>
      <c r="AA79" s="2" t="inlineStr">
        <is>
          <t>2026-10-09</t>
        </is>
      </c>
      <c r="AB79" s="2" t="inlineStr">
        <is>
          <t>source: browser-only (https://investgozo.gov.mt/investment-malta-gozo-sea-transport/): page returns 403 to scripts and WebFetch, Wayback has no copy; the 1,707 trips / more than 511,000 passengers / 35,518 trips / 6.1 million passengers wording is seen only in web-search summaries (second-hand); 'early 2029' not found in any readable text (Newsbook and Business Now, 14 Jan 2026, say 'by 2029'); NSO Q4 2025 release (403; search summary) gives 1,707 trips (3.8%) and 511,306 passengers (7.4%) for Gozo Channel PLUS the fast ferry, so the page's attribution to Gozo Channel alone needs checking; need the page text and date from a browser, and the NSO release; tried: Invest Gozo URL, Wayback, WebFetch, wp-json, ?p= id, gozochannel.com (no figures), TVM/Newsbook searches, Newsbook and Business Now articles on the EUR 130m plan, 2 web searches</t>
        </is>
      </c>
      <c r="AC79" s="5" t="inlineStr">
        <is>
          <t>https://leandergrech.github.io/Mizien/claims/CC-078/</t>
        </is>
      </c>
    </row>
    <row r="80">
      <c r="A80" s="2" t="inlineStr">
        <is>
          <t>CC-079</t>
        </is>
      </c>
      <c r="B80" s="2" t="inlineStr">
        <is>
          <t>Waste</t>
        </is>
      </c>
      <c r="C80" s="2" t="inlineStr">
        <is>
          <t>Waste-to-energy: 4.5% of energy</t>
        </is>
      </c>
      <c r="D80" s="2" t="inlineStr">
        <is>
          <t>Government / WasteServ (ECOHIVE): the Magħtab waste-to-energy plant will convert 192,000 tonnes of non-recyclable waste into 4.5% of the nation's energy.</t>
        </is>
      </c>
      <c r="E80" s="2" t="inlineStr">
        <is>
          <t>Energy share vs national demand; recycling targets; landfill share still near 79% in 2024.</t>
        </is>
      </c>
      <c r="F80" s="2" t="inlineStr">
        <is>
          <t>ECOHIVE EIA; Enemalta demand; Eurostat env_wasmun.</t>
        </is>
      </c>
      <c r="G80" s="2" t="inlineStr">
        <is>
          <t>A specific, attributable statement that public data can test.</t>
        </is>
      </c>
      <c r="H80" s="2" t="inlineStr"/>
      <c r="I80" s="2" t="inlineStr">
        <is>
          <t>WasteServ; Ministry for the Environment</t>
        </is>
      </c>
      <c r="J80" s="2" t="inlineStr">
        <is>
          <t>Paraphrase: locate quote</t>
        </is>
      </c>
      <c r="K80" s="2" t="inlineStr">
        <is>
          <t>Medium</t>
        </is>
      </c>
      <c r="L80" s="2" t="inlineStr">
        <is>
          <t>Queue</t>
        </is>
      </c>
      <c r="M80" s="2" t="inlineStr">
        <is>
          <t>Candidate from the 4 Oct 2026 intake: wording paraphrased from a locator source; read the primary text before any report.</t>
        </is>
      </c>
      <c r="N80" s="2" t="inlineStr">
        <is>
          <t>Not started</t>
        </is>
      </c>
      <c r="O80" s="2" t="n"/>
      <c r="P80" s="2" t="n">
        <v>2</v>
      </c>
      <c r="Q80" s="2" t="inlineStr">
        <is>
          <t>Queued for worker A.</t>
        </is>
      </c>
      <c r="R80" s="2" t="n"/>
      <c r="S80" s="2" t="n"/>
      <c r="T80" s="2" t="n"/>
      <c r="U80" s="2" t="inlineStr">
        <is>
          <t>Landfill &amp; treatment</t>
        </is>
      </c>
      <c r="V80" s="2" t="inlineStr"/>
      <c r="W80" s="2" t="n"/>
      <c r="X80" s="2" t="inlineStr"/>
      <c r="Y80" s="2" t="inlineStr">
        <is>
          <t>A</t>
        </is>
      </c>
      <c r="Z80" s="2" t="inlineStr">
        <is>
          <t>0</t>
        </is>
      </c>
      <c r="AA80" s="2" t="inlineStr"/>
      <c r="AB80" s="2" t="inlineStr"/>
      <c r="AC80" s="5" t="inlineStr">
        <is>
          <t>https://leandergrech.github.io/Mizien/claims/CC-079/</t>
        </is>
      </c>
    </row>
    <row r="81">
      <c r="A81" s="2" t="inlineStr">
        <is>
          <t>CC-080</t>
        </is>
      </c>
      <c r="B81" s="2" t="inlineStr">
        <is>
          <t>Waste</t>
        </is>
      </c>
      <c r="C81" s="2" t="inlineStr">
        <is>
          <t>EUR 75m organic plant</t>
        </is>
      </c>
      <c r="D81" s="2" t="inlineStr">
        <is>
          <t>WasteServ (Apr 2026): the new EUR 75 million organic processing plant will treat about 74,000 tonnes of organic waste a year into renewable electricity and compost.</t>
        </is>
      </c>
      <c r="E81" s="2" t="inlineStr">
        <is>
          <t>2025 organic collection was about 36,700 tonnes; capacity vs supply and contamination rates.</t>
        </is>
      </c>
      <c r="F81" s="2" t="inlineStr">
        <is>
          <t>WasteServ intake data; EIA for the plant.</t>
        </is>
      </c>
      <c r="G81" s="2" t="inlineStr">
        <is>
          <t>A specific, attributable statement that public data can test.</t>
        </is>
      </c>
      <c r="H81" s="2" t="inlineStr"/>
      <c r="I81" s="2" t="inlineStr">
        <is>
          <t>WasteServ</t>
        </is>
      </c>
      <c r="J81" s="2" t="inlineStr">
        <is>
          <t>Paraphrase: locate quote</t>
        </is>
      </c>
      <c r="K81" s="2" t="inlineStr">
        <is>
          <t>Medium</t>
        </is>
      </c>
      <c r="L81" s="2" t="inlineStr">
        <is>
          <t>Queue</t>
        </is>
      </c>
      <c r="M81" s="2" t="inlineStr">
        <is>
          <t>Candidate from the 4 Oct 2026 intake: wording paraphrased from a locator source; read the primary text before any report.</t>
        </is>
      </c>
      <c r="N81" s="2" t="inlineStr">
        <is>
          <t>Not started</t>
        </is>
      </c>
      <c r="O81" s="2" t="n"/>
      <c r="P81" s="2" t="n">
        <v>0</v>
      </c>
      <c r="Q81" s="2" t="inlineStr">
        <is>
          <t>Queued for worker B.</t>
        </is>
      </c>
      <c r="R81" s="2" t="n"/>
      <c r="S81" s="2" t="n"/>
      <c r="T81" s="2" t="n"/>
      <c r="U81" s="2" t="inlineStr">
        <is>
          <t>Recycling &amp; separation</t>
        </is>
      </c>
      <c r="V81" s="2" t="inlineStr">
        <is>
          <t>2026-04-13</t>
        </is>
      </c>
      <c r="W81" s="2" t="n"/>
      <c r="X81" s="2" t="inlineStr"/>
      <c r="Y81" s="2" t="inlineStr">
        <is>
          <t>B</t>
        </is>
      </c>
      <c r="Z81" s="2" t="inlineStr">
        <is>
          <t>0</t>
        </is>
      </c>
      <c r="AA81" s="2" t="inlineStr"/>
      <c r="AB81" s="2" t="inlineStr"/>
      <c r="AC81" s="5" t="inlineStr">
        <is>
          <t>https://leandergrech.github.io/Mizien/claims/CC-080/</t>
        </is>
      </c>
    </row>
    <row r="82">
      <c r="A82" s="2" t="inlineStr">
        <is>
          <t>CC-081</t>
        </is>
      </c>
      <c r="B82" s="2" t="inlineStr">
        <is>
          <t>Waste</t>
        </is>
      </c>
      <c r="C82" s="2" t="inlineStr">
        <is>
          <t>Landfill share rising</t>
        </is>
      </c>
      <c r="D82" s="2" t="inlineStr">
        <is>
          <t>The Shift News (Feb 2026): Malta's waste management is going in reverse, with the share landfilled rising from 78.6% in 2023 to 79.2% in 2024.</t>
        </is>
      </c>
      <c r="E82" s="2" t="inlineStr">
        <is>
          <t>Compare with CC-004 (government's 'strong progress'); Eurostat municipal waste treatment.</t>
        </is>
      </c>
      <c r="F82" s="2" t="inlineStr">
        <is>
          <t>Eurostat env_wasmun; NSO waste statistics.</t>
        </is>
      </c>
      <c r="G82" s="2" t="inlineStr">
        <is>
          <t>A specific, attributable statement that public data can test.</t>
        </is>
      </c>
      <c r="H82" s="2" t="inlineStr"/>
      <c r="I82" s="2" t="inlineStr">
        <is>
          <t>The Shift News</t>
        </is>
      </c>
      <c r="J82" s="2" t="inlineStr">
        <is>
          <t>Paraphrase: locate quote</t>
        </is>
      </c>
      <c r="K82" s="2" t="inlineStr">
        <is>
          <t>Medium</t>
        </is>
      </c>
      <c r="L82" s="2" t="inlineStr">
        <is>
          <t>Queue</t>
        </is>
      </c>
      <c r="M82" s="2" t="inlineStr">
        <is>
          <t>Candidate from the 4 Oct 2026 intake: wording paraphrased from a locator source; read the primary text before any report.</t>
        </is>
      </c>
      <c r="N82" s="2" t="inlineStr">
        <is>
          <t>In progress</t>
        </is>
      </c>
      <c r="O82" s="2" t="n"/>
      <c r="P82" s="2" t="n">
        <v>2</v>
      </c>
      <c r="Q82" s="2" t="inlineStr">
        <is>
          <t>Worker C, attempt 1 (2026-10-05): source: the text of The Shift News article of 19 Feb 2026 (theshiftnews.com/2026/02/19/maltas-waste-management-is-going-in-reverse/) pasted into literature/CC-081/primary-source.md (page returns 404 to us). tried: direct URL, Wayback (not archived), wp-json slug/search, site search, WebFetch, web search (summary only). Numbers already reproduce: Eurostat env_wasmun landfilled/treated 78.6% (2023), 79.2% (2024); landfilled/generated 73.6%, 72.1% (see CC-111).</t>
        </is>
      </c>
      <c r="R82" s="2" t="n"/>
      <c r="S82" s="2" t="n"/>
      <c r="T82" s="2" t="n"/>
      <c r="U82" s="2" t="inlineStr">
        <is>
          <t>Landfill &amp; treatment</t>
        </is>
      </c>
      <c r="V82" s="2" t="inlineStr">
        <is>
          <t>2026-02-19</t>
        </is>
      </c>
      <c r="W82" s="2" t="n"/>
      <c r="X82" s="2" t="inlineStr"/>
      <c r="Y82" s="2" t="inlineStr">
        <is>
          <t>C</t>
        </is>
      </c>
      <c r="Z82" s="2" t="inlineStr">
        <is>
          <t>1</t>
        </is>
      </c>
      <c r="AA82" s="2" t="inlineStr">
        <is>
          <t>2026-10-05</t>
        </is>
      </c>
      <c r="AB82" s="2" t="inlineStr">
        <is>
          <t>source: the text of The Shift News article of 19 Feb 2026 (theshiftnews.com/2026/02/19/maltas-waste-management-is-going-in-reverse/) pasted into literature/CC-081/primary-source.md (page returns 404 to us). tried: direct URL, Wayback (not archived), wp-json slug/search, site search, WebFetch, web search (summary only). Numbers already reproduce: Eurostat env_wasmun landfilled/treated 78.6% (2023), 79.2% (2024); landfilled/generated 73.6%, 72.1% (see CC-111).</t>
        </is>
      </c>
      <c r="AC82" s="5" t="inlineStr">
        <is>
          <t>https://leandergrech.github.io/Mizien/claims/CC-081/</t>
        </is>
      </c>
    </row>
    <row r="83">
      <c r="A83" s="2" t="inlineStr">
        <is>
          <t>CC-082</t>
        </is>
      </c>
      <c r="B83" s="2" t="inlineStr">
        <is>
          <t>Waste</t>
        </is>
      </c>
      <c r="C83" s="2" t="inlineStr">
        <is>
          <t>35 quarries for construction waste</t>
        </is>
      </c>
      <c r="D83" s="2" t="inlineStr">
        <is>
          <t>ERA: 35 quarries are licensed to receive construction and excavation waste.</t>
        </is>
      </c>
      <c r="E83" s="2" t="inlineStr">
        <is>
          <t>MaltaToday found only a handful actually accept waste; many are still extracting stone.</t>
        </is>
      </c>
      <c r="F83" s="2" t="inlineStr">
        <is>
          <t>ERA licence register; quarry intake returns.</t>
        </is>
      </c>
      <c r="G83" s="2" t="inlineStr">
        <is>
          <t>A specific, attributable statement that public data can test.</t>
        </is>
      </c>
      <c r="H83" s="2" t="inlineStr"/>
      <c r="I83" s="2" t="inlineStr">
        <is>
          <t>Environment and Resources Authority (ERA)</t>
        </is>
      </c>
      <c r="J83" s="2" t="inlineStr">
        <is>
          <t>Paraphrase: locate quote</t>
        </is>
      </c>
      <c r="K83" s="2" t="inlineStr">
        <is>
          <t>Medium</t>
        </is>
      </c>
      <c r="L83" s="2" t="inlineStr">
        <is>
          <t>Queue</t>
        </is>
      </c>
      <c r="M83" s="2" t="inlineStr">
        <is>
          <t>Candidate from the 4 Oct 2026 intake: wording paraphrased from a locator source; read the primary text before any report.</t>
        </is>
      </c>
      <c r="N83" s="2" t="inlineStr">
        <is>
          <t>Not started</t>
        </is>
      </c>
      <c r="O83" s="2" t="n"/>
      <c r="P83" s="2" t="n">
        <v>1</v>
      </c>
      <c r="Q83" s="2" t="inlineStr">
        <is>
          <t>Queued for worker A.</t>
        </is>
      </c>
      <c r="R83" s="2" t="n"/>
      <c r="S83" s="2" t="n"/>
      <c r="T83" s="2" t="n"/>
      <c r="U83" s="2" t="inlineStr">
        <is>
          <t>Construction waste</t>
        </is>
      </c>
      <c r="V83" s="2" t="inlineStr"/>
      <c r="W83" s="2" t="n"/>
      <c r="X83" s="2" t="inlineStr"/>
      <c r="Y83" s="2" t="inlineStr">
        <is>
          <t>A</t>
        </is>
      </c>
      <c r="Z83" s="2" t="inlineStr">
        <is>
          <t>0</t>
        </is>
      </c>
      <c r="AA83" s="2" t="inlineStr"/>
      <c r="AB83" s="2" t="inlineStr"/>
      <c r="AC83" s="5" t="inlineStr">
        <is>
          <t>https://leandergrech.github.io/Mizien/claims/CC-082/</t>
        </is>
      </c>
    </row>
    <row r="84">
      <c r="A84" s="2" t="inlineStr">
        <is>
          <t>CC-083</t>
        </is>
      </c>
      <c r="B84" s="2" t="inlineStr">
        <is>
          <t>Tourism &amp; Population</t>
        </is>
      </c>
      <c r="C84" s="2" t="inlineStr">
        <is>
          <t>Record tourism, 'future-proofed'</t>
        </is>
      </c>
      <c r="D84" s="2" t="inlineStr">
        <is>
          <t>Deputy PM and Tourism Minister Ian Borg (Feb 2026): record 2025 results (over 4 million arrivals) confirm the strategy to reshape tourism around sustainability and quality.</t>
        </is>
      </c>
      <c r="E84" s="2" t="inlineStr">
        <is>
          <t>Volume growth vs 'quality' indicators (spend per night, length of stay); carrying capacity studies.</t>
        </is>
      </c>
      <c r="F84" s="2" t="inlineStr">
        <is>
          <t>NSO inbound tourism; MTA strategy KPIs; Deloitte carrying capacity study.</t>
        </is>
      </c>
      <c r="G84" s="2" t="inlineStr">
        <is>
          <t>A specific, attributable statement that public data can test.</t>
        </is>
      </c>
      <c r="H84" s="2" t="inlineStr"/>
      <c r="I84" s="2" t="inlineStr">
        <is>
          <t>Ian Borg, Deputy Prime Minister and Minister for Tourism</t>
        </is>
      </c>
      <c r="J84" s="2" t="inlineStr">
        <is>
          <t>Paraphrase: locate quote</t>
        </is>
      </c>
      <c r="K84" s="2" t="inlineStr">
        <is>
          <t>Medium</t>
        </is>
      </c>
      <c r="L84" s="2" t="inlineStr">
        <is>
          <t>Queue</t>
        </is>
      </c>
      <c r="M84" s="2" t="inlineStr">
        <is>
          <t>Candidate from the 4 Oct 2026 intake: wording paraphrased from a locator source; read the primary text before any report.</t>
        </is>
      </c>
      <c r="N84" s="2" t="inlineStr">
        <is>
          <t>Not started</t>
        </is>
      </c>
      <c r="O84" s="2" t="n"/>
      <c r="P84" s="2" t="n">
        <v>2</v>
      </c>
      <c r="Q84" s="2" t="inlineStr">
        <is>
          <t>Queued for worker B.</t>
        </is>
      </c>
      <c r="R84" s="2" t="n"/>
      <c r="S84" s="2" t="n"/>
      <c r="T84" s="2" t="n"/>
      <c r="U84" s="2" t="inlineStr">
        <is>
          <t>Tourism numbers &amp; capacity</t>
        </is>
      </c>
      <c r="V84" s="2" t="inlineStr">
        <is>
          <t>2026-02-12</t>
        </is>
      </c>
      <c r="W84" s="2" t="n"/>
      <c r="X84" s="2" t="inlineStr"/>
      <c r="Y84" s="2" t="inlineStr">
        <is>
          <t>B</t>
        </is>
      </c>
      <c r="Z84" s="2" t="inlineStr">
        <is>
          <t>0</t>
        </is>
      </c>
      <c r="AA84" s="2" t="inlineStr"/>
      <c r="AB84" s="2" t="inlineStr"/>
      <c r="AC84" s="5" t="inlineStr">
        <is>
          <t>https://leandergrech.github.io/Mizien/claims/CC-083/</t>
        </is>
      </c>
    </row>
    <row r="85">
      <c r="A85" s="2" t="inlineStr">
        <is>
          <t>CC-084</t>
        </is>
      </c>
      <c r="B85" s="2" t="inlineStr">
        <is>
          <t>Tourism &amp; Population</t>
        </is>
      </c>
      <c r="C85" s="2" t="inlineStr">
        <is>
          <t>Tourists tripled in 15 years</t>
        </is>
      </c>
      <c r="D85" s="2" t="inlineStr">
        <is>
          <t>ADPD chairperson Sandra Gauci (2026): Malta welcomed over four million tourists in 2025, triple the number of 15 years ago.</t>
        </is>
      </c>
      <c r="E85" s="2" t="inlineStr">
        <is>
          <t>NSO arrivals 2010 vs 2025; inbound tourists vs cruise passengers.</t>
        </is>
      </c>
      <c r="F85" s="2" t="inlineStr">
        <is>
          <t>NSO inbound tourism series.</t>
        </is>
      </c>
      <c r="G85" s="2" t="inlineStr">
        <is>
          <t>A specific, attributable statement that public data can test.</t>
        </is>
      </c>
      <c r="H85" s="2" t="inlineStr"/>
      <c r="I85" s="2" t="inlineStr">
        <is>
          <t>ADPD - The Green Party (Sandra Gauci)</t>
        </is>
      </c>
      <c r="J85" s="2" t="inlineStr">
        <is>
          <t>Paraphrase: locate quote</t>
        </is>
      </c>
      <c r="K85" s="2" t="inlineStr">
        <is>
          <t>Medium</t>
        </is>
      </c>
      <c r="L85" s="2" t="inlineStr">
        <is>
          <t>Queue</t>
        </is>
      </c>
      <c r="M85" s="2" t="inlineStr">
        <is>
          <t>Candidate from the 4 Oct 2026 intake: wording paraphrased from a locator source; read the primary text before any report.</t>
        </is>
      </c>
      <c r="N85" s="2" t="inlineStr">
        <is>
          <t>In progress</t>
        </is>
      </c>
      <c r="O85" s="2" t="n"/>
      <c r="P85" s="2" t="n">
        <v>2</v>
      </c>
      <c r="Q85" s="2" t="inlineStr">
        <is>
          <t>Worker C, attempt 1 (2026-10-05): source: an ADPD/Sandra Gauci statement (English release, social post, video or interview) saying in their own words that tourist numbers tripled / are three times 2010's. tried: claim-record Lovin Malta URL (no figures in it), ADPD wp-json search and scan of all posts since 1 Feb 2026, Newsbook, web search. Only the outlet's paraphrase (Newsbook, 14 Feb 2026) carries the tripling.</t>
        </is>
      </c>
      <c r="R85" s="2" t="n"/>
      <c r="S85" s="2" t="n"/>
      <c r="T85" s="2" t="n"/>
      <c r="U85" s="2" t="inlineStr">
        <is>
          <t>Tourism numbers &amp; capacity</t>
        </is>
      </c>
      <c r="V85" s="2" t="inlineStr">
        <is>
          <t>2026</t>
        </is>
      </c>
      <c r="W85" s="2" t="n"/>
      <c r="X85" s="2" t="inlineStr"/>
      <c r="Y85" s="2" t="inlineStr">
        <is>
          <t>C</t>
        </is>
      </c>
      <c r="Z85" s="2" t="inlineStr">
        <is>
          <t>1</t>
        </is>
      </c>
      <c r="AA85" s="2" t="inlineStr">
        <is>
          <t>2026-10-05</t>
        </is>
      </c>
      <c r="AB85" s="2" t="inlineStr">
        <is>
          <t>source: an ADPD/Sandra Gauci statement (English release, social post, video or interview) saying in their own words that tourist numbers tripled / are three times 2010's. tried: claim-record Lovin Malta URL (no figures in it), ADPD wp-json search and scan of all posts since 1 Feb 2026, Newsbook, web search. Only the outlet's paraphrase (Newsbook, 14 Feb 2026) carries the tripling.</t>
        </is>
      </c>
      <c r="AC85" s="5" t="inlineStr">
        <is>
          <t>https://leandergrech.github.io/Mizien/claims/CC-084/</t>
        </is>
      </c>
    </row>
    <row r="86">
      <c r="A86" s="2" t="inlineStr">
        <is>
          <t>CC-085</t>
        </is>
      </c>
      <c r="B86" s="2" t="inlineStr">
        <is>
          <t>Tourism &amp; Population</t>
        </is>
      </c>
      <c r="C86" s="2" t="inlineStr">
        <is>
          <t>4.7 million tourists needed</t>
        </is>
      </c>
      <c r="D86" s="2" t="inlineStr">
        <is>
          <t>Malta Hotels and Restaurants Association: if all planned hotels are built, Malta would need about 4.7 million tourists a year to keep occupancy at 80%.</t>
        </is>
      </c>
      <c r="E86" s="2" t="inlineStr">
        <is>
          <t>Bed-stock pipeline vs arrivals; 2025 arrivals already above 4 million.</t>
        </is>
      </c>
      <c r="F86" s="2" t="inlineStr">
        <is>
          <t>MTA bed-stock data; PA hotel approvals; NSO arrivals.</t>
        </is>
      </c>
      <c r="G86" s="2" t="inlineStr">
        <is>
          <t>A specific, attributable statement that public data can test.</t>
        </is>
      </c>
      <c r="H86" s="2" t="inlineStr"/>
      <c r="I86" s="2" t="inlineStr">
        <is>
          <t>Malta Hotels and Restaurants Association (MHRA)</t>
        </is>
      </c>
      <c r="J86" s="2" t="inlineStr">
        <is>
          <t>Paraphrase: locate quote</t>
        </is>
      </c>
      <c r="K86" s="2" t="inlineStr">
        <is>
          <t>Medium</t>
        </is>
      </c>
      <c r="L86" s="2" t="inlineStr">
        <is>
          <t>Queue</t>
        </is>
      </c>
      <c r="M86" s="2" t="inlineStr">
        <is>
          <t>Candidate from the 4 Oct 2026 intake: wording paraphrased from a locator source; read the primary text before any report.</t>
        </is>
      </c>
      <c r="N86" s="2" t="inlineStr">
        <is>
          <t>Not started</t>
        </is>
      </c>
      <c r="O86" s="2" t="n"/>
      <c r="P86" s="2" t="n">
        <v>2</v>
      </c>
      <c r="Q86" s="2" t="inlineStr">
        <is>
          <t>Queued for worker A.</t>
        </is>
      </c>
      <c r="R86" s="2" t="n"/>
      <c r="S86" s="2" t="n"/>
      <c r="T86" s="2" t="n"/>
      <c r="U86" s="2" t="inlineStr">
        <is>
          <t>Tourism numbers &amp; capacity</t>
        </is>
      </c>
      <c r="V86" s="2" t="inlineStr">
        <is>
          <t>2022</t>
        </is>
      </c>
      <c r="W86" s="2" t="n"/>
      <c r="X86" s="2" t="inlineStr"/>
      <c r="Y86" s="2" t="inlineStr">
        <is>
          <t>A</t>
        </is>
      </c>
      <c r="Z86" s="2" t="inlineStr">
        <is>
          <t>0</t>
        </is>
      </c>
      <c r="AA86" s="2" t="inlineStr"/>
      <c r="AB86" s="2" t="inlineStr"/>
      <c r="AC86" s="5" t="inlineStr">
        <is>
          <t>https://leandergrech.github.io/Mizien/claims/CC-085/</t>
        </is>
      </c>
    </row>
    <row r="87">
      <c r="A87" s="2" t="inlineStr">
        <is>
          <t>CC-086</t>
        </is>
      </c>
      <c r="B87" s="2" t="inlineStr">
        <is>
          <t>Tourism &amp; Population</t>
        </is>
      </c>
      <c r="C87" s="2" t="inlineStr">
        <is>
          <t>Comino kiosks tendered from 2026</t>
        </is>
      </c>
      <c r="D87" s="2" t="inlineStr">
        <is>
          <t>Tourism Minister Ian Borg (Feb 2025): from 2026 all Comino kiosks and encroached public spaces will be awarded through competitive tenders and their number reduced.</t>
        </is>
      </c>
      <c r="E87" s="2" t="inlineStr">
        <is>
          <t>In June 2026 the kiosks remained in place (The Shift, Moviment Graffitti).</t>
        </is>
      </c>
      <c r="F87" s="2" t="inlineStr">
        <is>
          <t>MTA tender notices; site observation; concession records.</t>
        </is>
      </c>
      <c r="G87" s="2" t="inlineStr">
        <is>
          <t>A specific, attributable statement that public data can test.</t>
        </is>
      </c>
      <c r="H87" s="2" t="inlineStr"/>
      <c r="I87" s="2" t="inlineStr">
        <is>
          <t>Ian Borg, then Tourism Minister</t>
        </is>
      </c>
      <c r="J87" s="2" t="inlineStr">
        <is>
          <t>Paraphrase: locate quote</t>
        </is>
      </c>
      <c r="K87" s="2" t="inlineStr">
        <is>
          <t>Medium</t>
        </is>
      </c>
      <c r="L87" s="2" t="inlineStr">
        <is>
          <t>Queue</t>
        </is>
      </c>
      <c r="M87" s="2" t="inlineStr">
        <is>
          <t>Candidate from the 4 Oct 2026 intake: wording paraphrased from a locator source; read the primary text before any report.</t>
        </is>
      </c>
      <c r="N87" s="2" t="inlineStr">
        <is>
          <t>Not started</t>
        </is>
      </c>
      <c r="O87" s="2" t="n"/>
      <c r="P87" s="2" t="n">
        <v>1</v>
      </c>
      <c r="Q87" s="2" t="inlineStr">
        <is>
          <t>Queued for worker B.</t>
        </is>
      </c>
      <c r="R87" s="2" t="n"/>
      <c r="S87" s="2" t="n"/>
      <c r="T87" s="2" t="n"/>
      <c r="U87" s="2" t="inlineStr">
        <is>
          <t>Short lets &amp; concessions</t>
        </is>
      </c>
      <c r="V87" s="2" t="inlineStr">
        <is>
          <t>2025-02</t>
        </is>
      </c>
      <c r="W87" s="2" t="n"/>
      <c r="X87" s="2" t="inlineStr"/>
      <c r="Y87" s="2" t="inlineStr">
        <is>
          <t>B</t>
        </is>
      </c>
      <c r="Z87" s="2" t="inlineStr">
        <is>
          <t>0</t>
        </is>
      </c>
      <c r="AA87" s="2" t="inlineStr"/>
      <c r="AB87" s="2" t="inlineStr"/>
      <c r="AC87" s="5" t="inlineStr">
        <is>
          <t>https://leandergrech.github.io/Mizien/claims/CC-086/</t>
        </is>
      </c>
    </row>
    <row r="88">
      <c r="A88" s="2" t="inlineStr">
        <is>
          <t>CC-087</t>
        </is>
      </c>
      <c r="B88" s="2" t="inlineStr">
        <is>
          <t>Tourism &amp; Population</t>
        </is>
      </c>
      <c r="C88" s="2" t="inlineStr">
        <is>
          <t>177 illegal short lets</t>
        </is>
      </c>
      <c r="D88" s="2" t="inlineStr">
        <is>
          <t>Malta Tourism Authority (PQ answer, 2025): 177 illegal short-let units were identified in 2025.</t>
        </is>
      </c>
      <c r="E88" s="2" t="inlineStr">
        <is>
          <t>Industry estimates put unlicensed units far higher; EU Regulation 2024/1028 data sharing from May 2026.</t>
        </is>
      </c>
      <c r="F88" s="2" t="inlineStr">
        <is>
          <t>PQ text; platform listings vs MTA licence register.</t>
        </is>
      </c>
      <c r="G88" s="2" t="inlineStr">
        <is>
          <t>A specific, attributable statement that public data can test.</t>
        </is>
      </c>
      <c r="H88" s="2" t="inlineStr"/>
      <c r="I88" s="2" t="inlineStr">
        <is>
          <t>Malta Tourism Authority; Minister for Tourism</t>
        </is>
      </c>
      <c r="J88" s="2" t="inlineStr">
        <is>
          <t>Paraphrase: locate quote</t>
        </is>
      </c>
      <c r="K88" s="2" t="inlineStr">
        <is>
          <t>Medium</t>
        </is>
      </c>
      <c r="L88" s="2" t="inlineStr">
        <is>
          <t>Queue</t>
        </is>
      </c>
      <c r="M88" s="2" t="inlineStr">
        <is>
          <t>Candidate from the 4 Oct 2026 intake: wording paraphrased from a locator source; read the primary text before any report.</t>
        </is>
      </c>
      <c r="N88" s="2" t="inlineStr">
        <is>
          <t>In progress</t>
        </is>
      </c>
      <c r="O88" s="2" t="n"/>
      <c r="P88" s="2" t="n">
        <v>0</v>
      </c>
      <c r="Q88" s="2" t="inlineStr">
        <is>
          <t>Worker C, attempt 1 (2026-10-09): source: browser-only (parlament.mt PQ text): the PQ answer (number, date, minister's exact wording) was not found; the only readable source is The Shift, 11 Nov 2025 (outlet text: 'this year, only 177 illegal units have been identified by the MTA, according to a recent parliamentary question'), which gives no PQ number or date; parlament.mt 403; web search found no other report of the PQ; need the PQ number/date and answer text (parlament.mt, browser); tried: Shift URL (read in full), parlament.mt, Newsbook/TVM/Lovin Malta searches (nothing), 1 web search</t>
        </is>
      </c>
      <c r="R88" s="2" t="n"/>
      <c r="S88" s="2" t="n"/>
      <c r="T88" s="2" t="n"/>
      <c r="U88" s="2" t="inlineStr">
        <is>
          <t>Short lets &amp; concessions</t>
        </is>
      </c>
      <c r="V88" s="2" t="inlineStr">
        <is>
          <t>2025</t>
        </is>
      </c>
      <c r="W88" s="2" t="n"/>
      <c r="X88" s="2" t="inlineStr"/>
      <c r="Y88" s="2" t="inlineStr">
        <is>
          <t>C</t>
        </is>
      </c>
      <c r="Z88" s="2" t="inlineStr">
        <is>
          <t>1</t>
        </is>
      </c>
      <c r="AA88" s="2" t="inlineStr">
        <is>
          <t>2026-10-09</t>
        </is>
      </c>
      <c r="AB88" s="2" t="inlineStr">
        <is>
          <t>source: browser-only (parlament.mt PQ text): the PQ answer (number, date, minister's exact wording) was not found; the only readable source is The Shift, 11 Nov 2025 (outlet text: 'this year, only 177 illegal units have been identified by the MTA, according to a recent parliamentary question'), which gives no PQ number or date; parlament.mt 403; web search found no other report of the PQ; need the PQ number/date and answer text (parlament.mt, browser); tried: Shift URL (read in full), parlament.mt, Newsbook/TVM/Lovin Malta searches (nothing), 1 web search</t>
        </is>
      </c>
      <c r="AC88" s="5" t="inlineStr">
        <is>
          <t>https://leandergrech.github.io/Mizien/claims/CC-087/</t>
        </is>
      </c>
    </row>
    <row r="89">
      <c r="A89" s="2" t="inlineStr">
        <is>
          <t>CC-088</t>
        </is>
      </c>
      <c r="B89" s="2" t="inlineStr">
        <is>
          <t>Tourism &amp; Population</t>
        </is>
      </c>
      <c r="C89" s="2" t="inlineStr">
        <is>
          <t>Population 588,254</t>
        </is>
      </c>
      <c r="D89" s="2" t="inlineStr">
        <is>
          <t>National Statistics Office: Malta's population rose to 588,254 at the end of 2025 (+2.4%), with net migration of 13,906 the main driver.</t>
        </is>
      </c>
      <c r="E89" s="2" t="inlineStr">
        <is>
          <t>Eurostat demo_gind reproduces every figure: population 588,254 on 1 Jan 2026 (574,250 a year earlier, +2.44%), net migration 13,906 (+31.0% on 10,614), natural increase 98 (193 in 2024, -49.2%), births -0.8%, deaths +1.4%. 98 + 13,906 = 14,004 = change in stock; migration is 99.3% of growth. Eurostat data come from the NSO, so this is not an independent count. National density figures (1,731 vs 1,838 per km2) are not in the release (locality densities only); Eurostat gives 1,817.4 for 2024; source of the other two not found.</t>
        </is>
      </c>
      <c r="F89" s="2" t="inlineStr">
        <is>
          <t>NSO release NR 120/2026 recomputed against Eurostat demo_gind (tools/cc-088-report/calc.py, data/cc-088/checks.csv).</t>
        </is>
      </c>
      <c r="G89" s="2" t="inlineStr">
        <is>
          <t>Done: Claim Check 088 report and flyer.</t>
        </is>
      </c>
      <c r="H89" s="2" t="inlineStr"/>
      <c r="I89" s="2" t="inlineStr">
        <is>
          <t>National Statistics Office (NSO)</t>
        </is>
      </c>
      <c r="J89" s="2" t="inlineStr">
        <is>
          <t>Verbatim found</t>
        </is>
      </c>
      <c r="K89" s="2" t="inlineStr">
        <is>
          <t>High</t>
        </is>
      </c>
      <c r="L89" s="2" t="inlineStr">
        <is>
          <t>Done (v1.0)</t>
        </is>
      </c>
      <c r="M89" s="2" t="inlineStr">
        <is>
          <t>Supported: no right of reply needed. Estimate that may be revised. Eurostat cross-check is not independent of the NSO. Release read from an Internet Archive copy; release tables, immigration/emigration flows and citizenship/age figures not tested.</t>
        </is>
      </c>
      <c r="N89" s="2" t="inlineStr">
        <is>
          <t>Drafted</t>
        </is>
      </c>
      <c r="O89" s="2" t="n"/>
      <c r="P89" s="2" t="n">
        <v>1</v>
      </c>
      <c r="Q89" s="2" t="inlineStr">
        <is>
          <t>Report v1.0; verdict Supported (high); no right of reply needed.</t>
        </is>
      </c>
      <c r="R89" s="2" t="inlineStr">
        <is>
          <t>Supported</t>
        </is>
      </c>
      <c r="S89" s="2" t="inlineStr">
        <is>
          <t>High</t>
        </is>
      </c>
      <c r="T89" s="2" t="n"/>
      <c r="U89" s="2" t="inlineStr">
        <is>
          <t>Population &amp; labour</t>
        </is>
      </c>
      <c r="V89" s="2" t="inlineStr">
        <is>
          <t>2026-07-09</t>
        </is>
      </c>
      <c r="W89" s="2" t="inlineStr">
        <is>
          <t>1.0</t>
        </is>
      </c>
      <c r="X89" s="2" t="inlineStr">
        <is>
          <t>2026-10-05</t>
        </is>
      </c>
      <c r="Y89" s="2" t="inlineStr">
        <is>
          <t>A</t>
        </is>
      </c>
      <c r="Z89" s="2" t="inlineStr">
        <is>
          <t>1</t>
        </is>
      </c>
      <c r="AA89" s="2" t="inlineStr">
        <is>
          <t>2026-10-05</t>
        </is>
      </c>
      <c r="AB89" s="2" t="inlineStr"/>
      <c r="AC89" s="5" t="inlineStr">
        <is>
          <t>https://leandergrech.github.io/Mizien/claims/CC-088/</t>
        </is>
      </c>
    </row>
    <row r="90">
      <c r="A90" s="2" t="inlineStr">
        <is>
          <t>CC-089</t>
        </is>
      </c>
      <c r="B90" s="2" t="inlineStr">
        <is>
          <t>Tourism &amp; Population</t>
        </is>
      </c>
      <c r="C90" s="2" t="inlineStr">
        <is>
          <t>Growth outpacing infrastructure</t>
        </is>
      </c>
      <c r="D90" s="2" t="inlineStr">
        <is>
          <t>The Malta Chamber: Malta's rapid population growth creates an urgent need to focus on infrastructure demands.</t>
        </is>
      </c>
      <c r="E90" s="2" t="inlineStr">
        <is>
          <t>Projections of 636,000 by 2030 are cited elsewhere; compare infrastructure capacity indicators.</t>
        </is>
      </c>
      <c r="F90" s="2" t="inlineStr">
        <is>
          <t>NSO projections; utility and road capacity data.</t>
        </is>
      </c>
      <c r="G90" s="2" t="inlineStr">
        <is>
          <t>A specific, attributable statement that public data can test.</t>
        </is>
      </c>
      <c r="H90" s="2" t="inlineStr"/>
      <c r="I90" s="2" t="inlineStr">
        <is>
          <t>The Malta Chamber of Commerce, Enterprise and Industry</t>
        </is>
      </c>
      <c r="J90" s="2" t="inlineStr">
        <is>
          <t>Paraphrase: locate quote</t>
        </is>
      </c>
      <c r="K90" s="2" t="inlineStr">
        <is>
          <t>Medium</t>
        </is>
      </c>
      <c r="L90" s="2" t="inlineStr">
        <is>
          <t>Queue</t>
        </is>
      </c>
      <c r="M90" s="2" t="inlineStr">
        <is>
          <t>Candidate from the 4 Oct 2026 intake: wording paraphrased from a locator source; read the primary text before any report.</t>
        </is>
      </c>
      <c r="N90" s="2" t="inlineStr">
        <is>
          <t>Not started</t>
        </is>
      </c>
      <c r="O90" s="2" t="n"/>
      <c r="P90" s="2" t="n">
        <v>2</v>
      </c>
      <c r="Q90" s="2" t="inlineStr">
        <is>
          <t>Queued for worker B.</t>
        </is>
      </c>
      <c r="R90" s="2" t="n"/>
      <c r="S90" s="2" t="n"/>
      <c r="T90" s="2" t="n"/>
      <c r="U90" s="2" t="inlineStr">
        <is>
          <t>Population &amp; labour</t>
        </is>
      </c>
      <c r="V90" s="2" t="inlineStr"/>
      <c r="W90" s="2" t="n"/>
      <c r="X90" s="2" t="inlineStr"/>
      <c r="Y90" s="2" t="inlineStr">
        <is>
          <t>B</t>
        </is>
      </c>
      <c r="Z90" s="2" t="inlineStr">
        <is>
          <t>0</t>
        </is>
      </c>
      <c r="AA90" s="2" t="inlineStr"/>
      <c r="AB90" s="2" t="inlineStr"/>
      <c r="AC90" s="5" t="inlineStr">
        <is>
          <t>https://leandergrech.github.io/Mizien/claims/CC-089/</t>
        </is>
      </c>
    </row>
    <row r="91">
      <c r="A91" s="2" t="inlineStr">
        <is>
          <t>CC-090</t>
        </is>
      </c>
      <c r="B91" s="2" t="inlineStr">
        <is>
          <t>Health &amp; Safety</t>
        </is>
      </c>
      <c r="C91" s="2" t="inlineStr">
        <is>
          <t>20 heat-linked deaths</t>
        </is>
      </c>
      <c r="D91" s="2" t="inlineStr">
        <is>
          <t>Health Ministry (Aug 2026, as reported): at least 20 deaths during one week of the July 2026 heatwave (week 30, 20-26 July) were directly or indirectly linked to extreme heat.</t>
        </is>
      </c>
      <c r="E91" s="2" t="inlineStr">
        <is>
          <t>Excess-mortality methods usually give higher numbers than attributed deaths; 108 deaths that week in total.</t>
        </is>
      </c>
      <c r="F91" s="2" t="inlineStr">
        <is>
          <t>NSO weekly deaths; excess mortality vs baseline; Met Office temperatures.</t>
        </is>
      </c>
      <c r="G91" s="2" t="inlineStr">
        <is>
          <t>A specific, attributable statement that public data can test.</t>
        </is>
      </c>
      <c r="H91" s="2" t="inlineStr"/>
      <c r="I91" s="2" t="inlineStr">
        <is>
          <t>Ministry for Health</t>
        </is>
      </c>
      <c r="J91" s="2" t="inlineStr">
        <is>
          <t>Paraphrase: locate quote</t>
        </is>
      </c>
      <c r="K91" s="2" t="inlineStr">
        <is>
          <t>Medium</t>
        </is>
      </c>
      <c r="L91" s="2" t="inlineStr">
        <is>
          <t>Queue</t>
        </is>
      </c>
      <c r="M91" s="2" t="inlineStr">
        <is>
          <t>Candidate from the 4 Oct 2026 intake: wording paraphrased from a locator source; read the primary text before any report.</t>
        </is>
      </c>
      <c r="N91" s="2" t="inlineStr">
        <is>
          <t>In progress</t>
        </is>
      </c>
      <c r="O91" s="2" t="n"/>
      <c r="P91" s="2" t="n">
        <v>3</v>
      </c>
      <c r="Q91" s="2" t="inlineStr">
        <is>
          <t>Worker C, attempt 1 (2026-10-10): source: the Ministry for Health's own wording is not in quotation marks in any readable copy. Newsbook (13 Aug 2026, read in full; the claim record's date 'Jul 2025' is wrong: the figures are for week 30 of 2026, 20-26 Jul) says the ministry 'confirmed the figures to this newsroom' (indirect speech); Italpress/MNA (14 Aug 2026) is a three-sentence paraphrase ('health authorities have confirmed'); Momentum (26 Aug 2026) says the ministry 'confirmed' it on 13 Aug (party's paraphrase). Need the ministry's statement or reply to Newsbook (gov.mt press release or e-mailed text, browser-only) with the exact words, and the NSO/Directorate deaths-by-week series for week 30; tried: Newsbook URL, Wayback (reset), Italpress, Momentum, gov.mt (403), TVM News search, 2 web searches</t>
        </is>
      </c>
      <c r="R91" s="2" t="n"/>
      <c r="S91" s="2" t="n"/>
      <c r="T91" s="2" t="n"/>
      <c r="U91" s="2" t="inlineStr">
        <is>
          <t>Heat &amp; health</t>
        </is>
      </c>
      <c r="V91" s="2" t="inlineStr">
        <is>
          <t>2026-08-13</t>
        </is>
      </c>
      <c r="W91" s="2" t="n"/>
      <c r="X91" s="2" t="inlineStr"/>
      <c r="Y91" s="2" t="inlineStr">
        <is>
          <t>C</t>
        </is>
      </c>
      <c r="Z91" s="2" t="inlineStr">
        <is>
          <t>1</t>
        </is>
      </c>
      <c r="AA91" s="2" t="inlineStr">
        <is>
          <t>2026-10-10</t>
        </is>
      </c>
      <c r="AB91" s="2" t="inlineStr">
        <is>
          <t>source: the Ministry for Health's own wording is not in quotation marks in any readable copy. Newsbook (13 Aug 2026, read in full; the claim record's date 'Jul 2025' is wrong: the figures are for week 30 of 2026, 20-26 Jul) says the ministry 'confirmed the figures to this newsroom' (indirect speech); Italpress/MNA (14 Aug 2026) is a three-sentence paraphrase ('health authorities have confirmed'); Momentum (26 Aug 2026) says the ministry 'confirmed' it on 13 Aug (party's paraphrase). Need the ministry's statement or reply to Newsbook (gov.mt press release or e-mailed text, browser-only) with the exact words, and the NSO/Directorate deaths-by-week series for week 30; tried: Newsbook URL, Wayback (reset), Italpress, Momentum, gov.mt (403), TVM News search, 2 web searches</t>
        </is>
      </c>
      <c r="AC91" s="5" t="inlineStr">
        <is>
          <t>https://leandergrech.github.io/Mizien/claims/CC-090/</t>
        </is>
      </c>
    </row>
    <row r="92">
      <c r="A92" s="2" t="inlineStr">
        <is>
          <t>CC-091</t>
        </is>
      </c>
      <c r="B92" s="2" t="inlineStr">
        <is>
          <t>Health &amp; Safety</t>
        </is>
      </c>
      <c r="C92" s="2" t="inlineStr">
        <is>
          <t>Inspections doubled</t>
        </is>
      </c>
      <c r="D92" s="2" t="inlineStr">
        <is>
          <t>The Occupational Health and Safety Authority (Annual Report 2025, tabled in parliament 1 July 2026): inspections more than doubled in 2025 (23,711 against 9,381), around 74% of construction sites were adequately compliant with safety requirements, and nine workers died in 2025.</t>
        </is>
      </c>
      <c r="E92" s="2" t="inlineStr">
        <is>
          <t>Inspections: 23,711 in 2025 against 9,381 in 2024 (x2.53, +152.8%) and 2,585 in 2023; divisional totals match. The 74% is OHSA's own rating of construction inspections as 'adequate' (21% orders, 5% stop-work orders); its base and the meaning of 'adequate' are not stated, and 5% of all 19,296 construction inspections (about 965) exceeds the 526 stop orders issued in all sectors, so the percentages cannot cover all inspections. Nine deaths confirmed (Tables 1 and 5; four Maltese, five third-country nationals; three construction, four transport and storage, two agriculture) against five in 2023 and 2024; Eurostat's 2024 count is four, 2025 unpublished. Inspection and compliance data exist only from OHSA.</t>
        </is>
      </c>
      <c r="F92" s="2" t="inlineStr">
        <is>
          <t>OHSA Annual Reports 2023-2025; Eurostat hsw_n2_02 and nama_10_pe (tools/cc-091-report/calc.py).</t>
        </is>
      </c>
      <c r="G92" s="2" t="inlineStr">
        <is>
          <t>Done: Claim Check 091 report and flyer.</t>
        </is>
      </c>
      <c r="H92" s="2" t="inlineStr"/>
      <c r="I92" s="2" t="inlineStr">
        <is>
          <t>Occupational Health and Safety Authority (OHSA)</t>
        </is>
      </c>
      <c r="J92" s="2" t="inlineStr">
        <is>
          <t>Verbatim found</t>
        </is>
      </c>
      <c r="K92" s="2" t="inlineStr">
        <is>
          <t>Medium</t>
        </is>
      </c>
      <c r="L92" s="2" t="inlineStr">
        <is>
          <t>Done (v1.0)</t>
        </is>
      </c>
      <c r="M92" s="2" t="inlineStr">
        <is>
          <t>Largely supported: no right of reply needed. All inspection and compliance figures are OHSA's own; the minister's speech was not read in the parliamentary record; the 94 per 100,000 construction injury rate in the earlier counter-evidence was not found in the OHSA report and was not tested.</t>
        </is>
      </c>
      <c r="N92" s="2" t="inlineStr">
        <is>
          <t>Drafted</t>
        </is>
      </c>
      <c r="O92" s="2" t="n"/>
      <c r="P92" s="2" t="n">
        <v>0</v>
      </c>
      <c r="Q92" s="2" t="inlineStr">
        <is>
          <t>Report v1.0; verdict Largely supported (moderate); no right of reply needed.</t>
        </is>
      </c>
      <c r="R92" s="2" t="inlineStr">
        <is>
          <t>Largely supported</t>
        </is>
      </c>
      <c r="S92" s="2" t="inlineStr">
        <is>
          <t>Moderate</t>
        </is>
      </c>
      <c r="T92" s="2" t="n"/>
      <c r="U92" s="2" t="inlineStr">
        <is>
          <t>Workplace safety</t>
        </is>
      </c>
      <c r="V92" s="2" t="inlineStr">
        <is>
          <t>2026-07-01</t>
        </is>
      </c>
      <c r="W92" s="2" t="inlineStr">
        <is>
          <t>1.0</t>
        </is>
      </c>
      <c r="X92" s="2" t="inlineStr">
        <is>
          <t>2026-10-05</t>
        </is>
      </c>
      <c r="Y92" s="2" t="inlineStr">
        <is>
          <t>A</t>
        </is>
      </c>
      <c r="Z92" s="2" t="inlineStr">
        <is>
          <t>1</t>
        </is>
      </c>
      <c r="AA92" s="2" t="inlineStr">
        <is>
          <t>2026-10-05</t>
        </is>
      </c>
      <c r="AB92" s="2" t="inlineStr"/>
      <c r="AC92" s="5" t="inlineStr">
        <is>
          <t>https://leandergrech.github.io/Mizien/claims/CC-091/</t>
        </is>
      </c>
    </row>
    <row r="93">
      <c r="A93" s="2" t="inlineStr">
        <is>
          <t>CC-092</t>
        </is>
      </c>
      <c r="B93" s="2" t="inlineStr">
        <is>
          <t>Governance &amp; Promises</t>
        </is>
      </c>
      <c r="C93" s="2" t="inlineStr">
        <is>
          <t>PN: Gozo net-zero by afforestation</t>
        </is>
      </c>
      <c r="D93" s="2" t="inlineStr">
        <is>
          <t>Nationalist Party (2026 manifesto): Gozo will become a net-zero island through afforestation, alongside a national indigenous-tree strategy.</t>
        </is>
      </c>
      <c r="E93" s="2" t="inlineStr">
        <is>
          <t>Carbon uptake of feasible afforestation area vs Gozo's emissions.</t>
        </is>
      </c>
      <c r="F93" s="2" t="inlineStr">
        <is>
          <t>Gozo emissions estimate; sequestration rates; available land.</t>
        </is>
      </c>
      <c r="G93" s="2" t="inlineStr">
        <is>
          <t>A specific, attributable statement that public data can test.</t>
        </is>
      </c>
      <c r="H93" s="2" t="inlineStr"/>
      <c r="I93" s="2" t="inlineStr">
        <is>
          <t>Nationalist Party (PN)</t>
        </is>
      </c>
      <c r="J93" s="2" t="inlineStr">
        <is>
          <t>Paraphrase: locate quote</t>
        </is>
      </c>
      <c r="K93" s="2" t="inlineStr">
        <is>
          <t>Medium</t>
        </is>
      </c>
      <c r="L93" s="2" t="inlineStr">
        <is>
          <t>Queue</t>
        </is>
      </c>
      <c r="M93" s="2" t="inlineStr">
        <is>
          <t>Candidate from the 4 Oct 2026 intake: wording paraphrased from a locator source; read the primary text before any report.</t>
        </is>
      </c>
      <c r="N93" s="2" t="inlineStr">
        <is>
          <t>Not started</t>
        </is>
      </c>
      <c r="O93" s="2" t="n"/>
      <c r="P93" s="2" t="n">
        <v>0</v>
      </c>
      <c r="Q93" s="2" t="inlineStr">
        <is>
          <t>Queued for worker B.</t>
        </is>
      </c>
      <c r="R93" s="2" t="n"/>
      <c r="S93" s="2" t="n"/>
      <c r="T93" s="2" t="n"/>
      <c r="U93" s="2" t="inlineStr">
        <is>
          <t>Manifestos &amp; pledges</t>
        </is>
      </c>
      <c r="V93" s="2" t="inlineStr">
        <is>
          <t>2026-05</t>
        </is>
      </c>
      <c r="W93" s="2" t="n"/>
      <c r="X93" s="2" t="inlineStr"/>
      <c r="Y93" s="2" t="inlineStr">
        <is>
          <t>B</t>
        </is>
      </c>
      <c r="Z93" s="2" t="inlineStr">
        <is>
          <t>0</t>
        </is>
      </c>
      <c r="AA93" s="2" t="inlineStr"/>
      <c r="AB93" s="2" t="inlineStr"/>
      <c r="AC93" s="5" t="inlineStr">
        <is>
          <t>https://leandergrech.github.io/Mizien/claims/CC-092/</t>
        </is>
      </c>
    </row>
    <row r="94">
      <c r="A94" s="2" t="inlineStr">
        <is>
          <t>CC-093</t>
        </is>
      </c>
      <c r="B94" s="2" t="inlineStr">
        <is>
          <t>Governance &amp; Promises</t>
        </is>
      </c>
      <c r="C94" s="2" t="inlineStr">
        <is>
          <t>PN: buy land for urban parks</t>
        </is>
      </c>
      <c r="D94" s="2" t="inlineStr">
        <is>
          <t>Nationalist Party (2026 manifesto): it will purchase private land in urban cores to convert into public parks and gardens.</t>
        </is>
      </c>
      <c r="E94" s="2" t="inlineStr">
        <is>
          <t>Costing and land availability; compare with Project Green (CC-054).</t>
        </is>
      </c>
      <c r="F94" s="2" t="inlineStr">
        <is>
          <t>Manifesto costings; land values.</t>
        </is>
      </c>
      <c r="G94" s="2" t="inlineStr">
        <is>
          <t>A specific, attributable statement that public data can test.</t>
        </is>
      </c>
      <c r="H94" s="2" t="inlineStr"/>
      <c r="I94" s="2" t="inlineStr">
        <is>
          <t>Nationalist Party (PN)</t>
        </is>
      </c>
      <c r="J94" s="2" t="inlineStr">
        <is>
          <t>Paraphrase: locate quote</t>
        </is>
      </c>
      <c r="K94" s="2" t="inlineStr">
        <is>
          <t>Medium</t>
        </is>
      </c>
      <c r="L94" s="2" t="inlineStr">
        <is>
          <t>Queue</t>
        </is>
      </c>
      <c r="M94" s="2" t="inlineStr">
        <is>
          <t>Candidate from the 4 Oct 2026 intake: wording paraphrased from a locator source; read the primary text before any report.</t>
        </is>
      </c>
      <c r="N94" s="2" t="inlineStr">
        <is>
          <t>Not started</t>
        </is>
      </c>
      <c r="O94" s="2" t="n"/>
      <c r="P94" s="2" t="n">
        <v>0</v>
      </c>
      <c r="Q94" s="2" t="inlineStr">
        <is>
          <t>Queued for worker C.</t>
        </is>
      </c>
      <c r="R94" s="2" t="n"/>
      <c r="S94" s="2" t="n"/>
      <c r="T94" s="2" t="n"/>
      <c r="U94" s="2" t="inlineStr">
        <is>
          <t>Manifestos &amp; pledges</t>
        </is>
      </c>
      <c r="V94" s="2" t="inlineStr">
        <is>
          <t>2026-05</t>
        </is>
      </c>
      <c r="W94" s="2" t="n"/>
      <c r="X94" s="2" t="inlineStr"/>
      <c r="Y94" s="2" t="inlineStr">
        <is>
          <t>C</t>
        </is>
      </c>
      <c r="Z94" s="2" t="inlineStr">
        <is>
          <t>0</t>
        </is>
      </c>
      <c r="AA94" s="2" t="inlineStr"/>
      <c r="AB94" s="2" t="inlineStr"/>
      <c r="AC94" s="5" t="inlineStr">
        <is>
          <t>https://leandergrech.github.io/Mizien/claims/CC-093/</t>
        </is>
      </c>
    </row>
    <row r="95">
      <c r="A95" s="2" t="inlineStr">
        <is>
          <t>CC-094</t>
        </is>
      </c>
      <c r="B95" s="2" t="inlineStr">
        <is>
          <t>Climate &amp; Energy</t>
        </is>
      </c>
      <c r="C95" s="2" t="inlineStr">
        <is>
          <t>Commission: Malta to emit more in 2030 than in 2005</t>
        </is>
      </c>
      <c r="D95" s="2" t="inlineStr">
        <is>
          <t>European Commission (EU Climate Action Progress Report 2025, COM(2025) 668, 6 Nov 2025): before any use of flexibilities, Malta's projected 2030 effort-sharing emissions leave a gap of 49 and 61 percentage points to its 19% reduction target, so Malta "is projected to emit more in 2030 than in 2005"; Malta is among the Member States with the largest projected gaps and (after banking, borrowing and the ETS flexibility) is projected to have excess emissions in 2026-2030. The Commission adds that, given the EU-wide surplus, it "cannot, at this stage, conclude" that Member States, taken together, are not making sufficient progress.</t>
        </is>
      </c>
      <c r="E95" s="2" t="inlineStr">
        <is>
          <t>Reproduced. Malta's March 2025 projections (EEA) give 1,323.8 kt with planned measures and 1,450.1 kt with existing ones in 2030, against the legal 2005 level of 1,020.6 kt: +29.7% and +42.1%, gaps of 48.7 and 61.1 points to -19%. Above 2005 against every 2005 figure (EEA estimate 1,007.4 kt; 2013-2020 base year 1,116.1 kt: +18.6% at least) and with projections re-based on reviewed 2023 emissions (+26% / +38%). 2024 approximated emissions +40.8% (1,437 kt); over the yearly limit by 220, 257 and 301 kt in 2022-2024. Gap ranking with planned measures: Malta 48.7, Ireland 20.3, Germany 13.2 points (in tonnes Malta 0.5 Mt, Germany 64 Mt). Context and the other side: 2021-2030 balance -2.09 Mt (planned measures); the ETS flexibility (0.51 Mt) and the maximum land-use credit (0.03 Mt) leave 1.55 Mt to buy from other Member States (about 1% of the 125-175 Mt EU surplus) or cut; no safety reserve for Malta (Decision 2023/863). The Commission says it "cannot, at this stage, conclude" that Member States are not making sufficient progress. Malta's plan says the target rests on 2005 forecasts overtaken by population growth (the -19% was in fact set in 2018 on the basis of GDP per capita, with 2005 as the base year; population +41% to 2024; effort-sharing emissions per person flat at 2.53 t), and EU law (Regulation 2023/857) accepts the target is above Malta's cost-effective potential. "Missing its target" was the intake's paraphrase, not the Commission's wording.</t>
        </is>
      </c>
      <c r="F95" s="2" t="inlineStr">
        <is>
          <t>EEA effort-sharing emissions 2005-2024 and GHG projections (2025 and 2023 submissions) for Malta and all EU-27; 2005 levels, targets, allocations and flexibilities from Regulations (EU) 2018/842 and 2023/857 and Implementing Decisions (EU) 2020/2126, 2024/1884 and 2026/895; Commission SWD Tables 25-26; recomputed in tools/cc-094-report/calc.py.</t>
        </is>
      </c>
      <c r="G95" s="2" t="inlineStr">
        <is>
          <t>Done: Claim Check 094 report and flyer.</t>
        </is>
      </c>
      <c r="H95" s="2" t="inlineStr"/>
      <c r="I95" s="2" t="inlineStr">
        <is>
          <t>European Commission</t>
        </is>
      </c>
      <c r="J95" s="2" t="inlineStr">
        <is>
          <t>Verbatim found</t>
        </is>
      </c>
      <c r="K95" s="2" t="inlineStr">
        <is>
          <t>High</t>
        </is>
      </c>
      <c r="L95" s="2" t="inlineStr">
        <is>
          <t>Done (v1.0)</t>
        </is>
      </c>
      <c r="M95" s="2" t="inlineStr">
        <is>
          <t>Supported verdict: no right of reply needed. The claim text was restated from the Commission's own wording; "missing its target" (the intake's paraphrase) is not rated. Projections are Malta's March 2025 submission as held by the EEA; 2024 emissions are approximated. Whether Malta will buy allocations, and at what cost, is not public.</t>
        </is>
      </c>
      <c r="N95" s="2" t="inlineStr">
        <is>
          <t>Drafted</t>
        </is>
      </c>
      <c r="O95" s="2" t="n"/>
      <c r="P95" s="2" t="n">
        <v>3</v>
      </c>
      <c r="Q95" s="2" t="inlineStr">
        <is>
          <t>Report v1.0; verdict Supported (high); no right of reply needed.</t>
        </is>
      </c>
      <c r="R95" s="2" t="inlineStr">
        <is>
          <t>Supported</t>
        </is>
      </c>
      <c r="S95" s="2" t="inlineStr">
        <is>
          <t>High</t>
        </is>
      </c>
      <c r="T95" s="2" t="n"/>
      <c r="U95" s="2" t="inlineStr">
        <is>
          <t>Emissions &amp; targets</t>
        </is>
      </c>
      <c r="V95" s="2" t="inlineStr">
        <is>
          <t>2025-11-06</t>
        </is>
      </c>
      <c r="W95" s="2" t="inlineStr">
        <is>
          <t>1.0</t>
        </is>
      </c>
      <c r="X95" s="2" t="inlineStr">
        <is>
          <t>2026-10-06</t>
        </is>
      </c>
      <c r="Y95" s="2" t="inlineStr">
        <is>
          <t>A</t>
        </is>
      </c>
      <c r="Z95" s="2" t="inlineStr">
        <is>
          <t>0</t>
        </is>
      </c>
      <c r="AA95" s="2" t="inlineStr">
        <is>
          <t>2026-10-06</t>
        </is>
      </c>
      <c r="AB95" s="2" t="inlineStr"/>
      <c r="AC95" s="5" t="inlineStr">
        <is>
          <t>https://leandergrech.github.io/Mizien/claims/CC-094/</t>
        </is>
      </c>
    </row>
    <row r="96">
      <c r="A96" s="2" t="inlineStr">
        <is>
          <t>CC-095</t>
        </is>
      </c>
      <c r="B96" s="2" t="inlineStr">
        <is>
          <t>Climate &amp; Energy</t>
        </is>
      </c>
      <c r="C96" s="2" t="inlineStr">
        <is>
          <t>EUR 400m to keep bills low</t>
        </is>
      </c>
      <c r="D96" s="2" t="inlineStr">
        <is>
          <t>Government of Malta: about EUR 400 million in energy subsidies will keep electricity and fuel prices stable through 2027.</t>
        </is>
      </c>
      <c r="E96" s="2" t="inlineStr">
        <is>
          <t>Energy measures were 46% of the rise in public debt 2022-2025 by one estimate; check budget lines.</t>
        </is>
      </c>
      <c r="F96" s="2" t="inlineStr">
        <is>
          <t>Budget estimates; NAO reports; IMF Article IV (literature/CC-018).</t>
        </is>
      </c>
      <c r="G96" s="2" t="inlineStr">
        <is>
          <t>A specific, attributable statement that public data can test.</t>
        </is>
      </c>
      <c r="H96" s="2" t="inlineStr"/>
      <c r="I96" s="2" t="inlineStr">
        <is>
          <t>Government of Malta</t>
        </is>
      </c>
      <c r="J96" s="2" t="inlineStr">
        <is>
          <t>Paraphrase: locate quote</t>
        </is>
      </c>
      <c r="K96" s="2" t="inlineStr">
        <is>
          <t>Medium</t>
        </is>
      </c>
      <c r="L96" s="2" t="inlineStr">
        <is>
          <t>Queue</t>
        </is>
      </c>
      <c r="M96" s="2" t="inlineStr">
        <is>
          <t>Candidate from the 4 Oct 2026 intake: wording paraphrased from a locator source; read the primary text before any report.</t>
        </is>
      </c>
      <c r="N96" s="2" t="inlineStr">
        <is>
          <t>Not started</t>
        </is>
      </c>
      <c r="O96" s="2" t="n"/>
      <c r="P96" s="2" t="n">
        <v>2</v>
      </c>
      <c r="Q96" s="2" t="inlineStr">
        <is>
          <t>Queued for worker B.</t>
        </is>
      </c>
      <c r="R96" s="2" t="n"/>
      <c r="S96" s="2" t="n"/>
      <c r="T96" s="2" t="n"/>
      <c r="U96" s="2" t="inlineStr">
        <is>
          <t>Electricity &amp; grid</t>
        </is>
      </c>
      <c r="V96" s="2" t="inlineStr">
        <is>
          <t>2025</t>
        </is>
      </c>
      <c r="W96" s="2" t="n"/>
      <c r="X96" s="2" t="inlineStr"/>
      <c r="Y96" s="2" t="inlineStr">
        <is>
          <t>B</t>
        </is>
      </c>
      <c r="Z96" s="2" t="inlineStr">
        <is>
          <t>0</t>
        </is>
      </c>
      <c r="AA96" s="2" t="inlineStr"/>
      <c r="AB96" s="2" t="inlineStr"/>
      <c r="AC96" s="5" t="inlineStr">
        <is>
          <t>https://leandergrech.github.io/Mizien/claims/CC-095/</t>
        </is>
      </c>
    </row>
    <row r="97">
      <c r="A97" s="2" t="inlineStr">
        <is>
          <t>CC-096</t>
        </is>
      </c>
      <c r="B97" s="2" t="inlineStr">
        <is>
          <t>Nature &amp; Wildlife</t>
        </is>
      </c>
      <c r="C97" s="2" t="inlineStr">
        <is>
          <t>Fish farms moved 6 km offshore</t>
        </is>
      </c>
      <c r="D97" s="2" t="inlineStr">
        <is>
          <t>Government of Malta: tuna farms have been relocated from Delimara and Marsaxlokk to the South-East Aquaculture Zone about 6 km offshore, with stricter environmental conditions.</t>
        </is>
      </c>
      <c r="E97" s="2" t="inlineStr">
        <is>
          <t>Slime still reached beaches in 2025 (see the ERA claim); farm capacity growth since relocation.</t>
        </is>
      </c>
      <c r="F97" s="2" t="inlineStr">
        <is>
          <t>Permit records; cage positions; slime incident logs.</t>
        </is>
      </c>
      <c r="G97" s="2" t="inlineStr">
        <is>
          <t>A specific, attributable statement that public data can test.</t>
        </is>
      </c>
      <c r="H97" s="2" t="inlineStr"/>
      <c r="I97" s="2" t="inlineStr">
        <is>
          <t>Government of Malta; Aquaculture Directorate</t>
        </is>
      </c>
      <c r="J97" s="2" t="inlineStr">
        <is>
          <t>Paraphrase: locate quote</t>
        </is>
      </c>
      <c r="K97" s="2" t="inlineStr">
        <is>
          <t>Medium</t>
        </is>
      </c>
      <c r="L97" s="2" t="inlineStr">
        <is>
          <t>Queue</t>
        </is>
      </c>
      <c r="M97" s="2" t="inlineStr">
        <is>
          <t>Candidate from the 4 Oct 2026 intake: wording paraphrased from a locator source; read the primary text before any report.</t>
        </is>
      </c>
      <c r="N97" s="2" t="inlineStr">
        <is>
          <t>Not started</t>
        </is>
      </c>
      <c r="O97" s="2" t="n"/>
      <c r="P97" s="2" t="n">
        <v>0</v>
      </c>
      <c r="Q97" s="2" t="inlineStr">
        <is>
          <t>Queued for worker C.</t>
        </is>
      </c>
      <c r="R97" s="2" t="n"/>
      <c r="S97" s="2" t="n"/>
      <c r="T97" s="2" t="n"/>
      <c r="U97" s="2" t="inlineStr">
        <is>
          <t>Marine protection</t>
        </is>
      </c>
      <c r="V97" s="2" t="inlineStr"/>
      <c r="W97" s="2" t="n"/>
      <c r="X97" s="2" t="inlineStr"/>
      <c r="Y97" s="2" t="inlineStr">
        <is>
          <t>C</t>
        </is>
      </c>
      <c r="Z97" s="2" t="inlineStr">
        <is>
          <t>0</t>
        </is>
      </c>
      <c r="AA97" s="2" t="inlineStr"/>
      <c r="AB97" s="2" t="inlineStr"/>
      <c r="AC97" s="5" t="inlineStr">
        <is>
          <t>https://leandergrech.github.io/Mizien/claims/CC-096/</t>
        </is>
      </c>
    </row>
    <row r="98">
      <c r="A98" s="2" t="inlineStr">
        <is>
          <t>CC-097</t>
        </is>
      </c>
      <c r="B98" s="2" t="inlineStr">
        <is>
          <t>Health &amp; Safety</t>
        </is>
      </c>
      <c r="C98" s="2" t="inlineStr">
        <is>
          <t>Beach workers left exposed to heat</t>
        </is>
      </c>
      <c r="D98" s="2" t="inlineStr">
        <is>
          <t>General Workers' Union (statement, 17 Jul 2026): it registered an industrial dispute against Securital over a lack of action, poor communication and no responses on the health and safety of workers providing services to ERA who were exposed to extreme heat on Malta's beaches during official heatwave warnings; ERA failed to intervene and heat SOPs appear never to have been implemented.</t>
        </is>
      </c>
      <c r="E98" s="2" t="inlineStr">
        <is>
          <t>Heat-stress rules for outdoor work; OHSA guidance and contract conditions.</t>
        </is>
      </c>
      <c r="F98" s="2" t="inlineStr">
        <is>
          <t>OHSA heat guidance; contract terms; heat-alert days.</t>
        </is>
      </c>
      <c r="G98" s="2" t="inlineStr">
        <is>
          <t>A specific, attributable statement that public data can test.</t>
        </is>
      </c>
      <c r="H98" s="2" t="inlineStr"/>
      <c r="I98" s="2" t="inlineStr">
        <is>
          <t>General Workers' Union (GWU)</t>
        </is>
      </c>
      <c r="J98" s="2" t="inlineStr">
        <is>
          <t>Verbatim found</t>
        </is>
      </c>
      <c r="K98" s="2" t="inlineStr">
        <is>
          <t>Medium</t>
        </is>
      </c>
      <c r="L98" s="2" t="inlineStr">
        <is>
          <t>Queue</t>
        </is>
      </c>
      <c r="M98" s="2" t="inlineStr">
        <is>
          <t>Candidate from the 4 Oct 2026 intake: wording paraphrased from a locator source; read the primary text before any report.</t>
        </is>
      </c>
      <c r="N98" s="2" t="inlineStr">
        <is>
          <t>In progress</t>
        </is>
      </c>
      <c r="O98" s="2" t="n"/>
      <c r="P98" s="2" t="n">
        <v>3</v>
      </c>
      <c r="Q98" s="2" t="inlineStr">
        <is>
          <t>Worker A, attempt 1 (2026-10-05): source: Securital and ERA responses or DIER conciliation outcome; heat OHS rules/OHSA guidance and any contractor SOP in force July 2026; Malta Met Office heat warnings mid-July 2026. tried: gwu.org.mt, newsbook, web search</t>
        </is>
      </c>
      <c r="R98" s="2" t="n"/>
      <c r="S98" s="2" t="n"/>
      <c r="T98" s="2" t="n"/>
      <c r="U98" s="2" t="inlineStr">
        <is>
          <t>Heat &amp; health</t>
        </is>
      </c>
      <c r="V98" s="2" t="inlineStr">
        <is>
          <t>2026-07-17</t>
        </is>
      </c>
      <c r="W98" s="2" t="n"/>
      <c r="X98" s="2" t="inlineStr"/>
      <c r="Y98" s="2" t="inlineStr">
        <is>
          <t>A</t>
        </is>
      </c>
      <c r="Z98" s="2" t="inlineStr">
        <is>
          <t>1</t>
        </is>
      </c>
      <c r="AA98" s="2" t="inlineStr">
        <is>
          <t>2026-10-05</t>
        </is>
      </c>
      <c r="AB98" s="2" t="inlineStr">
        <is>
          <t>source: Securital and ERA responses or DIER conciliation outcome; heat OHS rules/OHSA guidance and any contractor SOP in force July 2026; Malta Met Office heat warnings mid-July 2026. tried: gwu.org.mt, newsbook, web search</t>
        </is>
      </c>
      <c r="AC98" s="5" t="inlineStr">
        <is>
          <t>https://leandergrech.github.io/Mizien/claims/CC-097/</t>
        </is>
      </c>
    </row>
    <row r="99">
      <c r="A99" s="2" t="inlineStr">
        <is>
          <t>CC-098</t>
        </is>
      </c>
      <c r="B99" s="2" t="inlineStr">
        <is>
          <t>Tourism &amp; Population</t>
        </is>
      </c>
      <c r="C99" s="2" t="inlineStr">
        <is>
          <t>Officials enforce private interests at Blue Lagoon</t>
        </is>
      </c>
      <c r="D99" s="2" t="inlineStr">
        <is>
          <t>Moviment Graffitti (June 2026): public officials were filmed telling people to leave a public beach at the Blue Lagoon occupied by concession deckchairs.</t>
        </is>
      </c>
      <c r="E99" s="2" t="inlineStr">
        <is>
          <t>Concession terms vs public foreshore rights; MTA's response.</t>
        </is>
      </c>
      <c r="F99" s="2" t="inlineStr">
        <is>
          <t>Concession contracts; foreshore law; MTA statement.</t>
        </is>
      </c>
      <c r="G99" s="2" t="inlineStr">
        <is>
          <t>A specific, attributable statement that public data can test.</t>
        </is>
      </c>
      <c r="H99" s="2" t="inlineStr"/>
      <c r="I99" s="2" t="inlineStr">
        <is>
          <t>Moviment Graffitti</t>
        </is>
      </c>
      <c r="J99" s="2" t="inlineStr">
        <is>
          <t>Paraphrase: locate quote</t>
        </is>
      </c>
      <c r="K99" s="2" t="inlineStr">
        <is>
          <t>Medium</t>
        </is>
      </c>
      <c r="L99" s="2" t="inlineStr">
        <is>
          <t>Queue</t>
        </is>
      </c>
      <c r="M99" s="2" t="inlineStr">
        <is>
          <t>Candidate from the 4 Oct 2026 intake: wording paraphrased from a locator source; read the primary text before any report.</t>
        </is>
      </c>
      <c r="N99" s="2" t="inlineStr">
        <is>
          <t>Not started</t>
        </is>
      </c>
      <c r="O99" s="2" t="n"/>
      <c r="P99" s="2" t="n">
        <v>1</v>
      </c>
      <c r="Q99" s="2" t="inlineStr">
        <is>
          <t>Queued for worker B.</t>
        </is>
      </c>
      <c r="R99" s="2" t="n"/>
      <c r="S99" s="2" t="n"/>
      <c r="T99" s="2" t="n"/>
      <c r="U99" s="2" t="inlineStr">
        <is>
          <t>Short lets &amp; concessions</t>
        </is>
      </c>
      <c r="V99" s="2" t="inlineStr">
        <is>
          <t>2026-06-24</t>
        </is>
      </c>
      <c r="W99" s="2" t="n"/>
      <c r="X99" s="2" t="inlineStr"/>
      <c r="Y99" s="2" t="inlineStr">
        <is>
          <t>B</t>
        </is>
      </c>
      <c r="Z99" s="2" t="inlineStr">
        <is>
          <t>0</t>
        </is>
      </c>
      <c r="AA99" s="2" t="inlineStr"/>
      <c r="AB99" s="2" t="inlineStr"/>
      <c r="AC99" s="5" t="inlineStr">
        <is>
          <t>https://leandergrech.github.io/Mizien/claims/CC-098/</t>
        </is>
      </c>
    </row>
    <row r="100">
      <c r="A100" s="2" t="inlineStr">
        <is>
          <t>CC-099</t>
        </is>
      </c>
      <c r="B100" s="2" t="inlineStr">
        <is>
          <t>Tourism &amp; Population</t>
        </is>
      </c>
      <c r="C100" s="2" t="inlineStr">
        <is>
          <t>Foreign residents: 31% now, 38% by 2030</t>
        </is>
      </c>
      <c r="D100" s="2" t="inlineStr">
        <is>
          <t>PwC Malta (press release on its Summer 2026 Economic Update, posted by Finance Malta on 17 Jul 2026; same text in The Malta Business Weekly on 19 Jul 2026): "foreign residents now make up 31% of Malta's population", and population is expected to grow "with the mix of foreign to local residents potentially reaching around 38% by 2030". The two figures are in different paragraphs (2 and 6) of the same release; the 2030 figure comes from PwC's own demographic model.</t>
        </is>
      </c>
      <c r="E100" s="2" t="inlineStr">
        <is>
          <t>Eurostat migr_pop1ctz gives 29.4% non-Maltese citizens on 1 Jan 2025; with 588,254 residents on 1 Jan 2026 (demo_gind), our calculation gives 30.9–31.1% for the end of 2025 if 2025's change in Maltese citizens lay within the 2010–24 range (Eurostat has not published the 2026 split), and the NSO's 31.1% (second-hand) agrees, so the 31% holds on citizenship. By country of birth 32.0% (1 Jan 2025); foreign nationals 39.8% of registered employment (Jobsplus, Dec 2025). No official projection splits the population by citizenship (EUROPOP2025 gives totals only). On citizenship, 37.5–38.5% of PwC's 636,000 needs Maltese citizens to fall by at least 1,610 a year over 2026–30 (about 2,250 a year for exactly 38%); they rose every year 2010–2024, and the remainder after migration and naturalisations fell by at most 1,441 a year (2021–2024). Only a projection that leaves out future naturalisations, as the Central Bank of Malta's baseline does (second-hand, about 2,040–2,230 a year to 2050), gives a fall of that size; the release does not say what PwC assumed.</t>
        </is>
      </c>
      <c r="F100" s="2" t="inlineStr">
        <is>
          <t>Eurostat migr_pop1ctz, migr_pop3ctb, demo_gind, cens_21ctz_r3, cens_21cob_r3, migr_imm1ctz, migr_emi1ctz, migr_acq, demo_faczc, demo_maczc and proj_25np (EUROPOP2025), with flags; Jobsplus employment workbooks; recomputed with tools/cc-099-report/calc.py.</t>
        </is>
      </c>
      <c r="G100" s="2" t="inlineStr">
        <is>
          <t>Done: Claim Check 099 report and flyer.</t>
        </is>
      </c>
      <c r="H100" s="2" t="inlineStr"/>
      <c r="I100" s="2" t="inlineStr">
        <is>
          <t>PwC Malta</t>
        </is>
      </c>
      <c r="J100" s="2" t="inlineStr">
        <is>
          <t>Verbatim found</t>
        </is>
      </c>
      <c r="K100" s="2" t="inlineStr">
        <is>
          <t>Medium</t>
        </is>
      </c>
      <c r="L100" s="2" t="inlineStr">
        <is>
          <t>Done (v1.0)</t>
        </is>
      </c>
      <c r="M100" s="2" t="inlineStr">
        <is>
          <t>Right of reply on hold until PwC Malta's Summer 2026 Economic Update is read (then to PwC Malta); the report refused automated access (403, no Internet Archive capture) and may explain the 38%. Confidence is low because the evidence on the 38% points both ways and the deciding document is unread. The NSO's end-2025 figure is second-hand (nso.gov.mt 403); the 30.9–31.1% for the end of 2025 is our calculation from Eurostat data, valid if 2025's change in Maltese citizens lay within the 2010–24 range, because Eurostat has not published the 2026 split. The Central Bank of Malta figures and the figures Business Now and Newsbook attribute to PwC's report are second-hand. The intake record's original link (Malta Business Weekly, 2 Jun 2025) is a different article that does not contain the claim; the wording is PwC's press release, posted by Finance Malta on 17 Jul 2026 (earliest copy found) and reprinted by the Malta Business Weekly on 19 Jul 2026. The verdict rests on sub-claims A and B; C is context.</t>
        </is>
      </c>
      <c r="N100" s="2" t="inlineStr">
        <is>
          <t>Drafted</t>
        </is>
      </c>
      <c r="O100" s="2" t="n"/>
      <c r="P100" s="2" t="n">
        <v>1</v>
      </c>
      <c r="Q100" s="2" t="inlineStr">
        <is>
          <t>Report v1.0; verdict Not substantiated (low); right of reply to send (draft; not for circulation before the deadline).</t>
        </is>
      </c>
      <c r="R100" s="2" t="inlineStr">
        <is>
          <t>Not substantiated</t>
        </is>
      </c>
      <c r="S100" s="2" t="inlineStr">
        <is>
          <t>Low</t>
        </is>
      </c>
      <c r="T100" s="2" t="n"/>
      <c r="U100" s="2" t="inlineStr">
        <is>
          <t>Population &amp; labour</t>
        </is>
      </c>
      <c r="V100" s="2" t="inlineStr">
        <is>
          <t>2026-07-17</t>
        </is>
      </c>
      <c r="W100" s="2" t="inlineStr">
        <is>
          <t>1.0</t>
        </is>
      </c>
      <c r="X100" s="2" t="inlineStr">
        <is>
          <t>2026-10-06</t>
        </is>
      </c>
      <c r="Y100" s="2" t="inlineStr">
        <is>
          <t>C</t>
        </is>
      </c>
      <c r="Z100" s="2" t="inlineStr">
        <is>
          <t>0</t>
        </is>
      </c>
      <c r="AA100" s="2" t="inlineStr">
        <is>
          <t>2026-10-06</t>
        </is>
      </c>
      <c r="AB100" s="2" t="inlineStr"/>
      <c r="AC100" s="5" t="inlineStr">
        <is>
          <t>https://leandergrech.github.io/Mizien/claims/CC-099/</t>
        </is>
      </c>
    </row>
    <row r="101">
      <c r="A101" s="2" t="inlineStr">
        <is>
          <t>CC-100</t>
        </is>
      </c>
      <c r="B101" s="2" t="inlineStr">
        <is>
          <t>Tourism &amp; Population</t>
        </is>
      </c>
      <c r="C101" s="2" t="inlineStr">
        <is>
          <t>Over 10 million airport passengers</t>
        </is>
      </c>
      <c r="D101" s="2" t="inlineStr">
        <is>
          <t>Malta International Airport plc (company announcement, 14 Jan 2026): full-year traffic for 2025 reached 10,061,969 passenger movements, a 12.3% increase on 2024 and the first time above 10 million.</t>
        </is>
      </c>
      <c r="E101" s="2" t="inlineStr">
        <is>
          <t>Eurostat avia_paoc: 10,070,972 passengers carried in 2025 (0.09% above the company's figure) and 8,968,239 in 2024: +12.3%. 2025 is the first year above 10 million (7.3 million in 2019). Movements count each arrival and departure, so a return trip counts twice.</t>
        </is>
      </c>
      <c r="F101" s="2" t="inlineStr">
        <is>
          <t>Eurostat avia_paoc for Malta, 2015-2025 (tools/cc-100-report/calc.py).</t>
        </is>
      </c>
      <c r="G101" s="2" t="inlineStr">
        <is>
          <t>Done: Claim Check 100 report and flyer.</t>
        </is>
      </c>
      <c r="H101" s="2" t="inlineStr"/>
      <c r="I101" s="2" t="inlineStr">
        <is>
          <t>Malta International Airport plc</t>
        </is>
      </c>
      <c r="J101" s="2" t="inlineStr">
        <is>
          <t>Verbatim found</t>
        </is>
      </c>
      <c r="K101" s="2" t="inlineStr">
        <is>
          <t>High</t>
        </is>
      </c>
      <c r="L101" s="2" t="inlineStr">
        <is>
          <t>Done (v1.0)</t>
        </is>
      </c>
      <c r="M101" s="2" t="inlineStr">
        <is>
          <t>Supported: no right of reply needed. Passenger movements are not travellers. The company's Facts and Figures page still shows the 2025 forecast.</t>
        </is>
      </c>
      <c r="N101" s="2" t="inlineStr">
        <is>
          <t>Drafted</t>
        </is>
      </c>
      <c r="O101" s="2" t="n"/>
      <c r="P101" s="2" t="n">
        <v>1</v>
      </c>
      <c r="Q101" s="2" t="inlineStr">
        <is>
          <t>Report v1.0; verdict Supported (high); no right of reply needed.</t>
        </is>
      </c>
      <c r="R101" s="2" t="inlineStr">
        <is>
          <t>Supported</t>
        </is>
      </c>
      <c r="S101" s="2" t="inlineStr">
        <is>
          <t>High</t>
        </is>
      </c>
      <c r="T101" s="2" t="n"/>
      <c r="U101" s="2" t="inlineStr">
        <is>
          <t>Tourism numbers &amp; capacity</t>
        </is>
      </c>
      <c r="V101" s="2" t="inlineStr">
        <is>
          <t>2026-01-14</t>
        </is>
      </c>
      <c r="W101" s="2" t="inlineStr">
        <is>
          <t>1.0</t>
        </is>
      </c>
      <c r="X101" s="2" t="inlineStr">
        <is>
          <t>2026-10-05</t>
        </is>
      </c>
      <c r="Y101" s="2" t="inlineStr">
        <is>
          <t>A</t>
        </is>
      </c>
      <c r="Z101" s="2" t="inlineStr">
        <is>
          <t>1</t>
        </is>
      </c>
      <c r="AA101" s="2" t="inlineStr">
        <is>
          <t>2026-10-05</t>
        </is>
      </c>
      <c r="AB101" s="2" t="inlineStr"/>
      <c r="AC101" s="5" t="inlineStr">
        <is>
          <t>https://leandergrech.github.io/Mizien/claims/CC-100/</t>
        </is>
      </c>
    </row>
    <row r="102">
      <c r="A102" s="2" t="inlineStr">
        <is>
          <t>CC-101</t>
        </is>
      </c>
      <c r="B102" s="2" t="inlineStr">
        <is>
          <t>Water</t>
        </is>
      </c>
      <c r="C102" s="2" t="inlineStr">
        <is>
          <t>EU: no registration or prior authorisation of water abstraction in Malta</t>
        </is>
      </c>
      <c r="D102" s="2" t="inlineStr">
        <is>
          <t>European Commission (July infringements package, 8 July 2026, summarising its letter of formal notice INFR(2026)2115): Malta has failed to put in place a registration requirement for surface water abstraction and a prior authorisation regime to control the abstraction of surface and groundwater; in addition, Maltese law does not ensure a periodic review of the controls over the abstraction of surface and groundwater having a significant impact on water bodies.</t>
        </is>
      </c>
      <c r="E102" s="2" t="inlineStr">
        <is>
          <t>Malta controls groundwater sources in several ways: every source had to be notified by 20 Nov 2008 (S.L. 549.164; a later route exists for some old sources), drilling is under a moratorium with exceptions (S.L. 549.165), metering is required (S.L. 549.166), and ERA can order a source closed or its abstraction cut. Malta reports (April 2025) that "Only these registered sources are permitted to extract groundwater" and that most registered sources are metered; in 2019 it told the Commission that more than 3 000 private sources were metered; and in 2019 Commission staff described "a concession, authorisation and/or permitting regime to control groundwater and a register of groundwater use" (SWD(2019) 48). S.L. 549.100 reg. 12(3)(e) repeats the Directive's duty to review abstraction controls. Against that: S.L. 549.164 reg. 6 and S.L. 549.165 reg. 9 say notification and drilling permits give no right to draw water, we found no instrument that authorises abstraction, and the Government's 2023 Green Paper and Measure 053 of the 3rd plan treat an abstraction permit as still to be created (none found in force on 6 Oct 2026).</t>
        </is>
      </c>
      <c r="F102" s="2" t="inlineStr">
        <is>
          <t>Water Framework Directive Art. 11(3)(e), 11(5), 11(7) and 24; Maltese law on legislation.mt (S.L. 549.100, 549.164-549.166, 549.168, 549.172, 549.21, 549.53, 549.155, 545.14, 545.02, Cap. 549, Cap. 355), the titles of all 2024-2026 Legal Notices, the text of all 2024-2026 Acts and the titles of S.L. 549, 423, 545, 355 and 427; the 2023 Green Paper, Malta's April 2025 interim report and 2nd water plan; Commission SWD(2019) 48, COM(2025) 2 and SWD(2025) 13; Eurostat env_wat_abs and EEA WISE 2022 reporting, recomputed with tools/cc-101-report/calc.py.</t>
        </is>
      </c>
      <c r="G102" s="2" t="inlineStr">
        <is>
          <t>Done: Claim Check 101 report and flyer.</t>
        </is>
      </c>
      <c r="H102" s="2" t="inlineStr"/>
      <c r="I102" s="2" t="inlineStr">
        <is>
          <t>European Commission</t>
        </is>
      </c>
      <c r="J102" s="2" t="inlineStr">
        <is>
          <t>Verbatim found</t>
        </is>
      </c>
      <c r="K102" s="2" t="inlineStr">
        <is>
          <t>High: Commission text, legislation.mt, EWA documents, Eurostat and WISE readable; ERA and the 3rd RBMP refuse scripts.</t>
        </is>
      </c>
      <c r="L102" s="2" t="inlineStr">
        <is>
          <t>Done (v1.0)</t>
        </is>
      </c>
      <c r="M102" s="2" t="inlineStr">
        <is>
          <t>Largely supported: no right of reply needed. The verdict covers the Commission's first sentence (registration of surface-water abstraction; prior authorisation to control abstraction), rated on the facts we could check (no register of surface-water abstraction and no permit to abstract water in the instruments read). The second sentence (periodic review, sub-claim D) and whether a register of groundwater sources amounts to a "prior authorisation regime" are legal questions and are not rated; sub-claim A (what the Directive requires) is the Commission's premise and is not rated. No legal opinion is given. The claim is the Commission's published summary; the letter of formal notice and Malta's reply are not public. "Not found" statements rest on a bounded search listed in literature/CC-101/notes.md (instruments read, titles of 943 Legal Notices, text of 101 Acts and titles of 344 subsidiary instruments; none found in force on 6 Oct 2026). The record's title condenses the Commission's first sentence and is not itself rated; Malta issues permits to drill boreholes, not to abstract water. Do not read the notice as evidence of actual over-abstraction; groundwater status is in CC-009 and CC-047.</t>
        </is>
      </c>
      <c r="N102" s="2" t="inlineStr">
        <is>
          <t>Drafted</t>
        </is>
      </c>
      <c r="O102" s="2" t="n"/>
      <c r="P102" s="2" t="n">
        <v>4</v>
      </c>
      <c r="Q102" s="2" t="inlineStr">
        <is>
          <t>Report v1.0; verdict Largely supported (moderate); no right of reply needed.</t>
        </is>
      </c>
      <c r="R102" s="2" t="inlineStr">
        <is>
          <t>Largely supported</t>
        </is>
      </c>
      <c r="S102" s="2" t="inlineStr">
        <is>
          <t>Moderate</t>
        </is>
      </c>
      <c r="T102" s="2" t="n"/>
      <c r="U102" s="2" t="inlineStr">
        <is>
          <t>Water supply &amp; groundwater</t>
        </is>
      </c>
      <c r="V102" s="2" t="inlineStr">
        <is>
          <t>2026-07-08</t>
        </is>
      </c>
      <c r="W102" s="2" t="inlineStr">
        <is>
          <t>1.0</t>
        </is>
      </c>
      <c r="X102" s="2" t="inlineStr">
        <is>
          <t>2026-10-06</t>
        </is>
      </c>
      <c r="Y102" s="2" t="inlineStr">
        <is>
          <t>A</t>
        </is>
      </c>
      <c r="Z102" s="2" t="inlineStr">
        <is>
          <t>0</t>
        </is>
      </c>
      <c r="AA102" s="2" t="inlineStr">
        <is>
          <t>2026-10-06</t>
        </is>
      </c>
      <c r="AB102" s="2" t="inlineStr"/>
      <c r="AC102" s="5" t="inlineStr">
        <is>
          <t>https://leandergrech.github.io/Mizien/claims/CC-101/</t>
        </is>
      </c>
    </row>
    <row r="103">
      <c r="A103" s="2" t="inlineStr">
        <is>
          <t>CC-102</t>
        </is>
      </c>
      <c r="B103" s="2" t="inlineStr">
        <is>
          <t>Governance &amp; Promises</t>
        </is>
      </c>
      <c r="C103" s="2" t="inlineStr">
        <is>
          <t>Ombudsman: 58% of environment recommendations ignored</t>
        </is>
      </c>
      <c r="D103" s="2" t="inlineStr">
        <is>
          <t>Parliamentary Ombudsman (2025 annual report, reported 2 July 2026): 58% of the justified recommendations of the Commissioner for Environment and Planning went unimplemented in 2025, the highest rate among the Ombudsman's commissioners, and 22 reports were escalated to Parliament.</t>
        </is>
      </c>
      <c r="E103" s="2" t="inlineStr">
        <is>
          <t>The 58% is 7 of 12 sustained cases closed in 2025 (Table 1.3); the same office had 6 of 13 (46%) in 2023 and 2 of 8 (25%) in 2024, so the figure swings with very few cases. The Commissioner's chapter (printed pp. 218-219) says five of the 12 were still unimplemented when the report was written; two more were implemented after referral to the House. This reconciles with Table 1.3 only if the one partly implemented case counts as implemented (4+1=5). 'Highest' holds against Education (53% of sustained cases) but not if only cases with a recommendation are counted (Education 8 of 12, 67%). The Commissioner's remit covers planning, building and transport licensing as well as the environment.</t>
        </is>
      </c>
      <c r="F103" s="2" t="inlineStr">
        <is>
          <t>Ombudsman annual reports 2023-2025 (Table 1.3, Table 1.22, Commissioner chapter); recomputation of rates on two denominators with Wilson intervals (tools/cc-102-report/calc.py).</t>
        </is>
      </c>
      <c r="G103" s="2" t="inlineStr">
        <is>
          <t>Done: Claim Check 102 report and flyer.</t>
        </is>
      </c>
      <c r="H103" s="2" t="inlineStr"/>
      <c r="I103" s="2" t="inlineStr">
        <is>
          <t>Parliamentary Ombudsman (Judge Joseph Zammit McKeon)</t>
        </is>
      </c>
      <c r="J103" s="2" t="inlineStr">
        <is>
          <t>Verbatim found</t>
        </is>
      </c>
      <c r="K103" s="2" t="inlineStr">
        <is>
          <t>High: ombudsman.org.mt reachable; annual-report PDFs read in full.</t>
        </is>
      </c>
      <c r="L103" s="2" t="inlineStr">
        <is>
          <t>Done (v1.1)</t>
        </is>
      </c>
      <c r="M103" s="2" t="inlineStr">
        <is>
          <t>Count of cases, not recommendations; status at closure (2 of the 7 were later implemented). Table 1.22's per-office split differs from Table 1.3 for the Parliamentary Ombudsman (4 vs 5) and Health (3 vs 2); Environment and Planning agrees (7). Statement about public bodies' conduct: authorities are named only as the report names them; the report records what was not implemented, not why. Supported check: no right of reply needed.</t>
        </is>
      </c>
      <c r="N103" s="2" t="inlineStr">
        <is>
          <t>Drafted</t>
        </is>
      </c>
      <c r="O103" s="2" t="n"/>
      <c r="P103" s="2" t="n">
        <v>1</v>
      </c>
      <c r="Q103" s="2" t="inlineStr">
        <is>
          <t>Report v1.1; verdict Largely supported (high); no right of reply needed.</t>
        </is>
      </c>
      <c r="R103" s="2" t="inlineStr">
        <is>
          <t>Largely supported</t>
        </is>
      </c>
      <c r="S103" s="2" t="inlineStr">
        <is>
          <t>High</t>
        </is>
      </c>
      <c r="T103" s="2" t="n"/>
      <c r="U103" s="2" t="inlineStr">
        <is>
          <t>Accountability</t>
        </is>
      </c>
      <c r="V103" s="2" t="inlineStr">
        <is>
          <t>2026-07-02</t>
        </is>
      </c>
      <c r="W103" s="2" t="inlineStr">
        <is>
          <t>1.1</t>
        </is>
      </c>
      <c r="X103" s="2" t="inlineStr">
        <is>
          <t>2026-10-06</t>
        </is>
      </c>
      <c r="Y103" s="2" t="inlineStr">
        <is>
          <t>A</t>
        </is>
      </c>
      <c r="Z103" s="2" t="inlineStr">
        <is>
          <t>0</t>
        </is>
      </c>
      <c r="AA103" s="2" t="inlineStr">
        <is>
          <t>2026-10-05</t>
        </is>
      </c>
      <c r="AB103" s="2" t="inlineStr"/>
      <c r="AC103" s="5" t="inlineStr">
        <is>
          <t>https://leandergrech.github.io/Mizien/claims/CC-102/</t>
        </is>
      </c>
    </row>
    <row r="104">
      <c r="A104" s="2" t="inlineStr">
        <is>
          <t>CC-103</t>
        </is>
      </c>
      <c r="B104" s="2" t="inlineStr">
        <is>
          <t>Health &amp; Safety</t>
        </is>
      </c>
      <c r="C104" s="2" t="inlineStr">
        <is>
          <t>Heat-death locations "within three months"</t>
        </is>
      </c>
      <c r="D104" s="2" t="inlineStr">
        <is>
          <t>Ministry for Health (reported 26 Aug 2026): refused a Freedom of Information request for the localities of the 20 heat-linked deaths of 20-26 July 2026 ('The request is not accepted'), saying the information will be published within three months.</t>
        </is>
      </c>
      <c r="E104" s="2" t="inlineStr">
        <is>
          <t>Newsbook sought the localities to test whether deaths clustered in areas with simultaneous power outages; Momentum filed a separate request. Health authorities were reported saying heat may also have contributed to deaths certified under another cause. The refusal reason does not say whether the promised publication will include localities.</t>
        </is>
      </c>
      <c r="F104" s="2" t="inlineStr">
        <is>
          <t>Whether a locality breakdown is published by about late November 2026 (deadline implied by 'three months'); Malta Environment Health Directorate and NSO mortality releases; heatwave-mortality methods (excess deaths vs certified causes).</t>
        </is>
      </c>
      <c r="G104" s="2" t="inlineStr">
        <is>
          <t>A dated promise with a checkable deadline; the outcome is public or it is not.</t>
        </is>
      </c>
      <c r="H104" s="2" t="inlineStr"/>
      <c r="I104" s="2" t="inlineStr">
        <is>
          <t>Ministry for Health</t>
        </is>
      </c>
      <c r="J104" s="2" t="inlineStr">
        <is>
          <t>Paraphrase: locate quote</t>
        </is>
      </c>
      <c r="K104" s="2" t="inlineStr">
        <is>
          <t>Low until the deadline: the check needs a publication that does not yet exist. Re-check from late November 2026. Newsbook is a news locator.</t>
        </is>
      </c>
      <c r="L104" s="2" t="inlineStr">
        <is>
          <t>Queue</t>
        </is>
      </c>
      <c r="M104" s="2" t="inlineStr">
        <is>
          <t>Candidate from the weekly intake of 4 Oct 2026 (second run of the day): Not a verdict on motives. Related to CC-027, CC-090 and CC-097 (theme T11). The deadline falls after this intake, so a worker should not mark the claim until it has passed. Wording is from a locator source unless marked verbatim; read the primary text before any report.</t>
        </is>
      </c>
      <c r="N104" s="2" t="inlineStr">
        <is>
          <t>Not started</t>
        </is>
      </c>
      <c r="O104" s="2" t="n"/>
      <c r="P104" s="2" t="n">
        <v>4</v>
      </c>
      <c r="Q104" s="2" t="inlineStr">
        <is>
          <t>Queued for worker B.</t>
        </is>
      </c>
      <c r="R104" s="2" t="n"/>
      <c r="S104" s="2" t="n"/>
      <c r="T104" s="2" t="n"/>
      <c r="U104" s="2" t="inlineStr">
        <is>
          <t>Heat &amp; health</t>
        </is>
      </c>
      <c r="V104" s="2" t="inlineStr">
        <is>
          <t>2026-08-26</t>
        </is>
      </c>
      <c r="W104" s="2" t="n"/>
      <c r="X104" s="2" t="inlineStr"/>
      <c r="Y104" s="2" t="inlineStr">
        <is>
          <t>B</t>
        </is>
      </c>
      <c r="Z104" s="2" t="inlineStr">
        <is>
          <t>0</t>
        </is>
      </c>
      <c r="AA104" s="2" t="inlineStr"/>
      <c r="AB104" s="2" t="inlineStr"/>
      <c r="AC104" s="5" t="inlineStr">
        <is>
          <t>https://leandergrech.github.io/Mizien/claims/CC-103/</t>
        </is>
      </c>
    </row>
    <row r="105">
      <c r="A105" s="2" t="inlineStr">
        <is>
          <t>CC-104</t>
        </is>
      </c>
      <c r="B105" s="2" t="inlineStr">
        <is>
          <t>Noise</t>
        </is>
      </c>
      <c r="C105" s="2" t="inlineStr">
        <is>
          <t>PN: Malta fails EU noise law</t>
        </is>
      </c>
      <c r="D105" s="2" t="inlineStr">
        <is>
          <t>Nationalist Party MP Albert Buttigieg and MEP Peter Agius (petition to the European Parliament, reported 12 Oct 2024): Malta has failed to implement Directive 2002/49/EC, including noise mapping and national action plans, with only a draft Noise Action Plan 2019-2024 and no concrete implementation in St Julian's, Sliema and Valletta.</t>
        </is>
      </c>
      <c r="E105" s="2" t="inlineStr">
        <is>
          <t>CC-020 records a February 2026 study for the European Parliament's Petitions Committee that finds only two meaningful gaps in Malta's transposition of the noise law and places most complaints (construction, entertainment, neighbourhood noise) outside its scope. The petition is older than 60 days (Oct 2024); included because noise is the least-covered topic and the claim is testable against EU reporting.</t>
        </is>
      </c>
      <c r="F105" s="2" t="inlineStr">
        <is>
          <t>Directive 2002/49/EC Arts 7-8 and Malta's noise-mapping and action-plan submissions (EEA Noise Observation and Information Service / Reportnet); EP Petitions Committee study (2026); ERA Noise Action Plan documents.</t>
        </is>
      </c>
      <c r="G105" s="2" t="inlineStr">
        <is>
          <t>Whether maps and plans were submitted and adopted is a matter of record.</t>
        </is>
      </c>
      <c r="H105" s="2" t="inlineStr"/>
      <c r="I105" s="2" t="inlineStr">
        <is>
          <t>Albert Buttigieg (PN MP) and Peter Agius (MEP, PN)</t>
        </is>
      </c>
      <c r="J105" s="2" t="inlineStr">
        <is>
          <t>Paraphrase: locate quote</t>
        </is>
      </c>
      <c r="K105" s="2" t="inlineStr">
        <is>
          <t>Medium: EEA and EU hosts reachable; ERA pages browser-only.</t>
        </is>
      </c>
      <c r="L105" s="2" t="inlineStr">
        <is>
          <t>Queue</t>
        </is>
      </c>
      <c r="M105" s="2" t="inlineStr">
        <is>
          <t>Candidate from the weekly intake of 4 Oct 2026 (second run of the day): Party-political petition: read the petition text before treating Newsbook's summary as the claim. Interacts with CC-020. Wording is from a locator source unless marked verbatim; read the primary text before any report.</t>
        </is>
      </c>
      <c r="N105" s="2" t="inlineStr">
        <is>
          <t>In progress</t>
        </is>
      </c>
      <c r="O105" s="2" t="n"/>
      <c r="P105" s="2" t="n">
        <v>2</v>
      </c>
      <c r="Q105" s="2" t="inlineStr">
        <is>
          <t>Worker C, attempt 1 (2026-10-05): source: full text of petition 1150/2024 (Buttigieg/Agius) or the PN press release of 11-12 Oct 2024; Commission reply PETI-CM-778413. tried: EP petitions portal (summary only; notice PDF empty), newsbook (paraphrase), eppgroup.eu (general quotes), web search</t>
        </is>
      </c>
      <c r="R105" s="2" t="n"/>
      <c r="S105" s="2" t="n"/>
      <c r="T105" s="2" t="n"/>
      <c r="U105" s="2" t="n"/>
      <c r="V105" s="2" t="inlineStr">
        <is>
          <t>2024-10-12</t>
        </is>
      </c>
      <c r="W105" s="2" t="n"/>
      <c r="X105" s="2" t="inlineStr"/>
      <c r="Y105" s="2" t="inlineStr">
        <is>
          <t>C</t>
        </is>
      </c>
      <c r="Z105" s="2" t="inlineStr">
        <is>
          <t>1</t>
        </is>
      </c>
      <c r="AA105" s="2" t="inlineStr">
        <is>
          <t>2026-10-05</t>
        </is>
      </c>
      <c r="AB105" s="2" t="inlineStr">
        <is>
          <t>source: full text of petition 1150/2024 (Buttigieg/Agius) or the PN press release of 11-12 Oct 2024; Commission reply PETI-CM-778413. tried: EP petitions portal (summary only; notice PDF empty), newsbook (paraphrase), eppgroup.eu (general quotes), web search</t>
        </is>
      </c>
      <c r="AC105" s="5" t="inlineStr">
        <is>
          <t>https://leandergrech.github.io/Mizien/claims/CC-104/</t>
        </is>
      </c>
    </row>
    <row r="106">
      <c r="A106" s="2" t="inlineStr">
        <is>
          <t>CC-105</t>
        </is>
      </c>
      <c r="B106" s="2" t="inlineStr">
        <is>
          <t>Noise</t>
        </is>
      </c>
      <c r="C106" s="2" t="inlineStr">
        <is>
          <t>ADPD: no study of Freeport and airport noise</t>
        </is>
      </c>
      <c r="D106" s="2" t="inlineStr">
        <is>
          <t>ADPD - The Green Party (deputy chairpersons Carmel Cacopardo and Melissa Bagley, press conference in Birżebbuġa, 26 May 2026): Malta has yet to acknowledge the effect of noise pollution on the health of people living near the Malta Freeport and Malta International Airport, and should study the impact of noise from the Freeport and the airport on nearby residents (and of entertainment-industry noise).</t>
        </is>
      </c>
      <c r="E106" s="2" t="inlineStr">
        <is>
          <t>None of five ERA noise documents (round 4 report, two Noise Action Plans, consultation annex, airport round 3 report) mentions the Freeport; the licensed industrial sites mapped (8 in round 3, 7 in round 4) exclude it. But aircraft noise is mapped and published (round 3: 9,666 people at 55 dB Lden or more, 827 at 50 dB Lnight or more, 2016) and the Noise Action Plan states WHO health levels, and Freeport-area noise was measured in a Freeport-commissioned study (2014-15, second-hand via TVM) and a University of Malta study (2020-21: daytime averages 55 dBA or more at all five Birżebbuġa points; 98% of 477 respondents called noise a problem). No health-outcome study of residents near either site was found.</t>
        </is>
      </c>
      <c r="F106" s="2" t="inlineStr">
        <is>
          <t>ERA noise documents searched in full text; Falzon et al. (2022); TVM (2015); tools/cc-105-report/calc.py on data/cc-105/.</t>
        </is>
      </c>
      <c r="G106" s="2" t="inlineStr">
        <is>
          <t>Done: Claim Check 105 report and flyer.</t>
        </is>
      </c>
      <c r="H106" s="2" t="inlineStr"/>
      <c r="I106" s="2" t="inlineStr">
        <is>
          <t>ADPD - The Green Party</t>
        </is>
      </c>
      <c r="J106" s="2" t="inlineStr">
        <is>
          <t>Verbatim found</t>
        </is>
      </c>
      <c r="K106" s="2" t="inlineStr">
        <is>
          <t>Medium</t>
        </is>
      </c>
      <c r="L106" s="2" t="inlineStr">
        <is>
          <t>Done (v1.0)</t>
        </is>
      </c>
      <c r="M106" s="2" t="inlineStr">
        <is>
          <t>Largely supported: no right of reply needed. 'Yet to acknowledge' overstates the case for the airport (mapped and published) and for Freeport-area noise (measured twice); the absence of a health-outcome study is shown only for public sources. The 2014-15 Freeport study is known only second-hand. ERA documents read from Internet Archive copies (era.org.mt 403). Entertainment noise not checked.</t>
        </is>
      </c>
      <c r="N106" s="2" t="inlineStr">
        <is>
          <t>Drafted</t>
        </is>
      </c>
      <c r="O106" s="2" t="n"/>
      <c r="P106" s="2" t="n">
        <v>2</v>
      </c>
      <c r="Q106" s="2" t="inlineStr">
        <is>
          <t>Report v1.0; verdict Largely supported (moderate); no right of reply needed.</t>
        </is>
      </c>
      <c r="R106" s="2" t="inlineStr">
        <is>
          <t>Largely supported</t>
        </is>
      </c>
      <c r="S106" s="2" t="inlineStr">
        <is>
          <t>Moderate</t>
        </is>
      </c>
      <c r="T106" s="2" t="n"/>
      <c r="U106" s="2" t="n"/>
      <c r="V106" s="2" t="inlineStr">
        <is>
          <t>2026-05-26</t>
        </is>
      </c>
      <c r="W106" s="2" t="inlineStr">
        <is>
          <t>1.0</t>
        </is>
      </c>
      <c r="X106" s="2" t="inlineStr">
        <is>
          <t>2026-10-05</t>
        </is>
      </c>
      <c r="Y106" s="2" t="inlineStr">
        <is>
          <t>A</t>
        </is>
      </c>
      <c r="Z106" s="2" t="inlineStr">
        <is>
          <t>1</t>
        </is>
      </c>
      <c r="AA106" s="2" t="inlineStr">
        <is>
          <t>2026-10-05</t>
        </is>
      </c>
      <c r="AB106" s="2" t="inlineStr"/>
      <c r="AC106" s="5" t="inlineStr">
        <is>
          <t>https://leandergrech.github.io/Mizien/claims/CC-105/</t>
        </is>
      </c>
    </row>
    <row r="107">
      <c r="A107" s="2" t="inlineStr">
        <is>
          <t>CC-106</t>
        </is>
      </c>
      <c r="B107" s="2" t="inlineStr">
        <is>
          <t>Nature &amp; Wildlife</t>
        </is>
      </c>
      <c r="C107" s="2" t="inlineStr">
        <is>
          <t>Shearwaters: 10% of the world population</t>
        </is>
      </c>
      <c r="D107" s="2" t="inlineStr">
        <is>
          <t>BirdLife Malta (LIFE Arċipelagu Garnija project page): Malta's Yelkouan shearwater population is estimated at around 1,600-1,800 pairs, about 10% of the global population.</t>
        </is>
      </c>
      <c r="E107" s="2" t="inlineStr">
        <is>
          <t>ERA's Species Action Plan 2022-2030 gives 1,795-2,635 pairs (above the page's undated 1,600-1,800) and also says 'around 10%'. Global estimates: 11,355-54,524 pairs (Bourgeois &amp; Vidal 2008, probably overestimated); 21,000-36,000 pairs (CIESM guide, second-hand). Malta's share is 4.4-8.6% (central 6.0%) with the page's own count and 5.0-12.5% (central 7.8%) with ERA's count. Tavolara (Sardinia) holds over half the world population (Pezzo et al. 2021).</t>
        </is>
      </c>
      <c r="F107" s="2" t="inlineStr">
        <is>
          <t>ERA Species Action Plan; Bourgeois &amp; Vidal (2008) Oryx; CIESM guide; shares computed in tools/cc-106-report/calc.py.</t>
        </is>
      </c>
      <c r="G107" s="2" t="inlineStr">
        <is>
          <t>Done: Claim Check 106 report and flyer.</t>
        </is>
      </c>
      <c r="H107" s="2" t="inlineStr"/>
      <c r="I107" s="2" t="inlineStr">
        <is>
          <t>BirdLife Malta</t>
        </is>
      </c>
      <c r="J107" s="2" t="inlineStr">
        <is>
          <t>Verbatim found</t>
        </is>
      </c>
      <c r="K107" s="2" t="inlineStr">
        <is>
          <t>Medium</t>
        </is>
      </c>
      <c r="L107" s="2" t="inlineStr">
        <is>
          <t>Done (v1.0)</t>
        </is>
      </c>
      <c r="M107" s="2" t="inlineStr">
        <is>
          <t>Largely supported: no right of reply needed. The IUCN Red List and BirdLife International pages refused automated access, so the current official global estimate is second-hand (CIESM). The BirdLife Malta page is undated.</t>
        </is>
      </c>
      <c r="N107" s="2" t="inlineStr">
        <is>
          <t>Drafted</t>
        </is>
      </c>
      <c r="O107" s="2" t="n"/>
      <c r="P107" s="2" t="n">
        <v>0</v>
      </c>
      <c r="Q107" s="2" t="inlineStr">
        <is>
          <t>Report v1.0; verdict Largely supported (moderate); no right of reply needed.</t>
        </is>
      </c>
      <c r="R107" s="2" t="inlineStr">
        <is>
          <t>Largely supported</t>
        </is>
      </c>
      <c r="S107" s="2" t="inlineStr">
        <is>
          <t>Moderate</t>
        </is>
      </c>
      <c r="T107" s="2" t="n"/>
      <c r="U107" s="2" t="inlineStr">
        <is>
          <t>Hunting &amp; birds</t>
        </is>
      </c>
      <c r="V107" s="2" t="inlineStr">
        <is>
          <t>n/d</t>
        </is>
      </c>
      <c r="W107" s="2" t="inlineStr">
        <is>
          <t>1.0</t>
        </is>
      </c>
      <c r="X107" s="2" t="inlineStr">
        <is>
          <t>2026-10-05</t>
        </is>
      </c>
      <c r="Y107" s="2" t="inlineStr">
        <is>
          <t>B</t>
        </is>
      </c>
      <c r="Z107" s="2" t="inlineStr">
        <is>
          <t>1</t>
        </is>
      </c>
      <c r="AA107" s="2" t="inlineStr">
        <is>
          <t>2026-10-05</t>
        </is>
      </c>
      <c r="AB107" s="2" t="inlineStr"/>
      <c r="AC107" s="5" t="inlineStr">
        <is>
          <t>https://leandergrech.github.io/Mizien/claims/CC-106/</t>
        </is>
      </c>
    </row>
    <row r="108">
      <c r="A108" s="2" t="inlineStr">
        <is>
          <t>CC-107</t>
        </is>
      </c>
      <c r="B108" s="2" t="inlineStr">
        <is>
          <t>Governance &amp; Promises</t>
        </is>
      </c>
      <c r="C108" s="2" t="inlineStr">
        <is>
          <t>A net-zero Gozo by 2040</t>
        </is>
      </c>
      <c r="D108" s="2" t="inlineStr">
        <is>
          <t>PN programme 2026: a clear and realistic plan for Gozo to become a Net-Zero Island by 2040, with afforestation among several measures. News summaries said net zero "through afforestation". (Checked as part of CC-011 until 5 Oct 2026.)</t>
        </is>
      </c>
      <c r="E108" s="2" t="inlineStr">
        <is>
          <t>The programme promises a plan but publishes no baseline, boundary or pathway, and there is no official greenhouse-gas inventory for Gozo. A 2023 study for the EU islands secretariat put Gozo's energy-related CO2 at 118,000-154,000 t a year (2016-2020); our population-based estimate is about 157,000 t. Offsetting that by afforestation alone would need 4.9-6.3 times Gozo's land area at a measured semi-arid rate (1.5-8.5 times across a wider range). The PN's text relies on cuts first; "through afforestation" is a news summary.</t>
        </is>
      </c>
      <c r="F108" s="2" t="inlineStr">
        <is>
          <t>Gozo carbon arithmetic with a measured sequestration rate (Grünzweig et al. 2007); Eurostat Gozo population; the 2023 Energy Baseline Scenario for Gozo; EC Clean energy for EU islands (Gozo area).</t>
        </is>
      </c>
      <c r="G108" s="2" t="inlineStr">
        <is>
          <t>Done: Claim Check 107 report and flyer (split from Claim Check 011).</t>
        </is>
      </c>
      <c r="H108" s="2" t="inlineStr">
        <is>
          <t>Promise-without-baseline</t>
        </is>
      </c>
      <c r="I108" s="2" t="inlineStr">
        <is>
          <t>Nationalist Party</t>
        </is>
      </c>
      <c r="J108" s="2" t="inlineStr">
        <is>
          <t>Verbatim found</t>
        </is>
      </c>
      <c r="K108" s="2" t="inlineStr">
        <is>
          <t>Medium</t>
        </is>
      </c>
      <c r="L108" s="2" t="inlineStr">
        <is>
          <t>Done (v1.1)</t>
        </is>
      </c>
      <c r="M108" s="2" t="inlineStr">
        <is>
          <t>Draft pending right of reply (Partit Nazzjonalista). Gozo emissions estimated from national per-person figures and an energy-only study that is not official statistics. Programme translation is ours. First assessed as pledge 2 of CC-011 (v1.0 2 Oct 2026, v1.1 5 Oct 2026).</t>
        </is>
      </c>
      <c r="N108" s="2" t="inlineStr">
        <is>
          <t>Drafted</t>
        </is>
      </c>
      <c r="O108" s="2" t="n"/>
      <c r="P108" s="2" t="n">
        <v>0</v>
      </c>
      <c r="Q108" s="2" t="inlineStr">
        <is>
          <t>Report v1.1; pledge Not measurable; right of reply to send (draft; not for circulation before the deadline).</t>
        </is>
      </c>
      <c r="R108" s="2" t="n"/>
      <c r="S108" s="2" t="n"/>
      <c r="T108" s="2" t="inlineStr">
        <is>
          <t>Not measurable</t>
        </is>
      </c>
      <c r="U108" s="2" t="inlineStr">
        <is>
          <t>Manifestos &amp; pledges</t>
        </is>
      </c>
      <c r="V108" s="2" t="inlineStr">
        <is>
          <t>2026-05</t>
        </is>
      </c>
      <c r="W108" s="2" t="inlineStr">
        <is>
          <t>1.1</t>
        </is>
      </c>
      <c r="X108" s="2" t="inlineStr">
        <is>
          <t>2026-10-05</t>
        </is>
      </c>
      <c r="Y108" s="2" t="n"/>
      <c r="Z108" s="2" t="n"/>
      <c r="AA108" s="2" t="n"/>
      <c r="AB108" s="2" t="n"/>
      <c r="AC108" s="5" t="inlineStr">
        <is>
          <t>https://leandergrech.github.io/Mizien/claims/CC-107/</t>
        </is>
      </c>
    </row>
    <row r="109">
      <c r="A109" s="2" t="inlineStr">
        <is>
          <t>CC-108</t>
        </is>
      </c>
      <c r="B109" s="2" t="inlineStr">
        <is>
          <t>Water</t>
        </is>
      </c>
      <c r="C109" s="2" t="inlineStr">
        <is>
          <t>WSC: a net-zero impact on groundwater</t>
        </is>
      </c>
      <c r="D109" s="2" t="inlineStr">
        <is>
          <t>The Water Services Corporation says its Net Zero Impact Utility project (EU co-financed) will give back to the environment at least as much natural freshwater as it abstracts, minimising its impact on the water environment. Government proposals on groundwater abstraction (reported as the Energy and Water Agency's Green Paper, 2023) exempt WSC's boreholes from new groundwater tariffs because WSC is said to be moving towards a net-zero impact on the groundwater environment, with its abstraction capped at 14 million m3 a year to 2030.</t>
        </is>
      </c>
      <c r="E109" s="2" t="inlineStr">
        <is>
          <t>Not yet checked. Context from CC-009: WSC's groundwater production fell to about 11.5 million m3 in 2025 while national fresh groundwater abstraction was about 38.5 million m3 in 2024 (Eurostat, estimates), mostly by agriculture; Malta's 3rd-cycle EU reporting lists 4 of 15 groundwater bodies in poor quantitative status and all 15 in poor chemical status. A net-zero impact claim needs a defined balance (what is "given back", where, and how it is measured), not only lower WSC abstraction.</t>
        </is>
      </c>
      <c r="F109" s="2" t="inlineStr">
        <is>
          <t>WSC annual reports (groundwater production, New Water volumes supplied and their use in place of groundwater); the project's own targets and EU (Cohesion Fund) monitoring indicators; the Green Paper and any later abstraction regulation; Eurostat env_wat_abs and env_wat_res; groundwater-body status (EEA WISE); Sapiano 2020 water balance.</t>
        </is>
      </c>
      <c r="G109" s="2" t="inlineStr">
        <is>
          <t>Follows directly from CC-009 (maintainer request, 5 Oct 2026); most data are already in data/cc-009/. The question is whether "net-zero impact" is defined and measured, and whether the balance holds.</t>
        </is>
      </c>
      <c r="H109" s="2" t="inlineStr"/>
      <c r="I109" s="2" t="inlineStr">
        <is>
          <t>Water Services Corporation; Energy and Water Agency</t>
        </is>
      </c>
      <c r="J109" s="2" t="inlineStr">
        <is>
          <t>Paraphrase: locate quote</t>
        </is>
      </c>
      <c r="K109" s="2" t="inlineStr">
        <is>
          <t>Medium: Eurostat and EEA reachable; WSC and EWA pages are browser-only (bot challenge).</t>
        </is>
      </c>
      <c r="L109" s="2" t="inlineStr">
        <is>
          <t>Queue</t>
        </is>
      </c>
      <c r="M109" s="2" t="inlineStr">
        <is>
          <t>Candidate added 5 Oct 2026 at the maintainer's request, as the speaker-level counterpart to CC-009 (no quoted speaker there claims recovery). Wording is from search summaries: read the WSC pages and the Green Paper in a browser and record the verbatim text before any report. Check whether "net-zero impact" is a target (pledge) or a claim of achievement.</t>
        </is>
      </c>
      <c r="N109" s="2" t="inlineStr">
        <is>
          <t>Not started</t>
        </is>
      </c>
      <c r="O109" s="2" t="n"/>
      <c r="P109" s="2" t="n">
        <v>2</v>
      </c>
      <c r="Q109" s="2" t="inlineStr">
        <is>
          <t>Queued for worker C.</t>
        </is>
      </c>
      <c r="R109" s="2" t="n"/>
      <c r="S109" s="2" t="n"/>
      <c r="T109" s="2" t="n"/>
      <c r="U109" s="2" t="inlineStr">
        <is>
          <t>Water supply &amp; groundwater</t>
        </is>
      </c>
      <c r="V109" s="2" t="inlineStr">
        <is>
          <t>2023</t>
        </is>
      </c>
      <c r="W109" s="2" t="n"/>
      <c r="X109" s="2" t="inlineStr"/>
      <c r="Y109" s="2" t="inlineStr">
        <is>
          <t>C</t>
        </is>
      </c>
      <c r="Z109" s="2" t="inlineStr">
        <is>
          <t>0</t>
        </is>
      </c>
      <c r="AA109" s="2" t="inlineStr"/>
      <c r="AB109" s="2" t="inlineStr"/>
      <c r="AC109" s="5" t="inlineStr">
        <is>
          <t>https://leandergrech.github.io/Mizien/claims/CC-108/</t>
        </is>
      </c>
    </row>
    <row r="110">
      <c r="A110" s="2" t="inlineStr">
        <is>
          <t>CC-109</t>
        </is>
      </c>
      <c r="B110" s="2" t="inlineStr">
        <is>
          <t>Transport</t>
        </is>
      </c>
      <c r="C110" s="2" t="inlineStr">
        <is>
          <t>EU: transport is 48% of effort-sharing emissions</t>
        </is>
      </c>
      <c r="D110" s="2" t="inlineStr">
        <is>
          <t>European Commission (2026 Country Report - Malta, 3 Jun 2026): "Transport is the dominant source of Malta's effort sharing emissions. It has generated 48% of these emissions in 2024, up by 45% since 2005."</t>
        </is>
      </c>
      <c r="E110" s="2" t="inlineStr">
        <is>
          <t>On the effort-sharing definition (all domestic transport, aviation CO2 excluded; the definition of the report's own Graph 3.1) transport was 53.3% of Malta's effort-sharing emissions in 2024 in the EEA approximated inventory and in the report's Graph 3.1, and 53% in the Commission's CAPR 2025 Malta profile; 54.8% on the final 2026 inventory (our estimate of the total). Only road transport alone over an ESR total gives 48% (47.5-48.3%; our identification; the report does not say how 48% was computed). The 45% reproduces exactly as the rise in transport emissions (+45.0% on approximated 2024 data, 0.528 to 0.766 Mt; +48.4% on the final inventory); the share barely moved (52.0% to 53.3%). Footnote (140) and Table A8.1 call the sector "road transport", but the table's series includes domestic shipping (11.9% of it in 2024, +184% since 2005). 2024 values are approximated; final data after the 2027 review.</t>
        </is>
      </c>
      <c r="F110" s="2" t="inlineStr">
        <is>
          <t>Eurostat env_air_gge (2026 inventory, Malta and EU-27, CRF 1.A.3 and sub-categories); EEA ESR emissions 2005-2024 and approximated inventory 2024; EEA GovReg 2026 v1.0; the report's Graph 3.1 read from the PDF's vector paths; Commission CAPR 2024 and 2025 Malta profiles; 2025 Country Report; Regulation (EU) 2018/842 Art. 2 as amended by 2023/857; Implementing Decision (EU) 2020/2126 Annex I (2005 base). Recomputed in tools/cc-109-report/calc.py.</t>
        </is>
      </c>
      <c r="G110" s="2" t="inlineStr">
        <is>
          <t>Done: Claim Check 109 report and flyer.</t>
        </is>
      </c>
      <c r="H110" s="2" t="inlineStr"/>
      <c r="I110" s="2" t="inlineStr">
        <is>
          <t>European Commission</t>
        </is>
      </c>
      <c r="J110" s="2" t="inlineStr">
        <is>
          <t>Verbatim found</t>
        </is>
      </c>
      <c r="K110" s="2" t="inlineStr">
        <is>
          <t>High: EEA datasets, Eurostat and both copies of the report read on 6 Oct 2026.</t>
        </is>
      </c>
      <c r="L110" s="2" t="inlineStr">
        <is>
          <t>Done (v1.0)</t>
        </is>
      </c>
      <c r="M110" s="2" t="inlineStr">
        <is>
          <t>Largely supported: no right of reply needed. Transport is the dominant effort-sharing source and its emissions rose about 45% since 2005, but on the report's own definition its 2024 share is 53%, not 48%. The 48% understates transport's share. 2024 effort-sharing figures are approximated; final figures after the 2027 review.</t>
        </is>
      </c>
      <c r="N110" s="2" t="inlineStr">
        <is>
          <t>Drafted</t>
        </is>
      </c>
      <c r="O110" s="2" t="n"/>
      <c r="P110" s="2" t="n">
        <v>7</v>
      </c>
      <c r="Q110" s="2" t="inlineStr">
        <is>
          <t>Report v1.0; verdict Largely supported (high); no right of reply needed.</t>
        </is>
      </c>
      <c r="R110" s="2" t="inlineStr">
        <is>
          <t>Largely supported</t>
        </is>
      </c>
      <c r="S110" s="2" t="inlineStr">
        <is>
          <t>High</t>
        </is>
      </c>
      <c r="T110" s="2" t="n"/>
      <c r="U110" s="2" t="inlineStr">
        <is>
          <t>Cars &amp; traffic</t>
        </is>
      </c>
      <c r="V110" s="2" t="inlineStr">
        <is>
          <t>2026-06-03</t>
        </is>
      </c>
      <c r="W110" s="2" t="inlineStr">
        <is>
          <t>1.0</t>
        </is>
      </c>
      <c r="X110" s="2" t="inlineStr">
        <is>
          <t>2026-10-06</t>
        </is>
      </c>
      <c r="Y110" s="2" t="inlineStr">
        <is>
          <t>C</t>
        </is>
      </c>
      <c r="Z110" s="2" t="inlineStr">
        <is>
          <t>0</t>
        </is>
      </c>
      <c r="AA110" s="2" t="inlineStr">
        <is>
          <t>2026-10-06</t>
        </is>
      </c>
      <c r="AB110" s="2" t="inlineStr"/>
      <c r="AC110" s="5" t="inlineStr">
        <is>
          <t>https://leandergrech.github.io/Mizien/claims/CC-109/</t>
        </is>
      </c>
    </row>
    <row r="111">
      <c r="A111" s="2" t="inlineStr">
        <is>
          <t>CC-110</t>
        </is>
      </c>
      <c r="B111" s="2" t="inlineStr">
        <is>
          <t>Transport</t>
        </is>
      </c>
      <c r="C111" s="2" t="inlineStr">
        <is>
          <t>EU: 37.7% of new cars zero-emission</t>
        </is>
      </c>
      <c r="D111" s="2" t="inlineStr">
        <is>
          <t>European Commission (2026 Country Report - Malta, 3 Jun 2026): in 2024 Malta recorded 7,700 new passenger car registrations, of which 37.7% were zero-emission vehicles, well above the EU average of 13.6%.</t>
        </is>
      </c>
      <c r="E111" s="2" t="inlineStr">
        <is>
          <t>Eurostat: 7,683 new cars in 2024, 2,893 battery electric, no hydrogen: 37.65% (2023: 20.31%; 2025: 37.56%). EU-27 13.53% (report 13.6%). Malta is 2nd of 27 after Denmark (51.3%). Context: zero-emission cars were 2.2% of the passenger-car stock at the end of 2024 (EU 2.2%) and the stock grew by 6,632 cars (18 a day); the report notes charging infrastructure lags.</t>
        </is>
      </c>
      <c r="F111" s="2" t="inlineStr">
        <is>
          <t>Eurostat road_eqr_carpda and road_eqs_carpda for all member states, recomputed with tools/cc-110-report/calc.py.</t>
        </is>
      </c>
      <c r="G111" s="2" t="inlineStr">
        <is>
          <t>Done: Claim Check 110 report and flyer.</t>
        </is>
      </c>
      <c r="H111" s="2" t="inlineStr"/>
      <c r="I111" s="2" t="inlineStr">
        <is>
          <t>European Commission</t>
        </is>
      </c>
      <c r="J111" s="2" t="inlineStr">
        <is>
          <t>Verbatim found</t>
        </is>
      </c>
      <c r="K111" s="2" t="inlineStr">
        <is>
          <t>High</t>
        </is>
      </c>
      <c r="L111" s="2" t="inlineStr">
        <is>
          <t>Done (v1.0)</t>
        </is>
      </c>
      <c r="M111" s="2" t="inlineStr">
        <is>
          <t>Supported: no right of reply needed. The light commercial vehicle figures in the same passage are not tested. New-car shares are not fleet or emissions trends (CC-109).</t>
        </is>
      </c>
      <c r="N111" s="2" t="inlineStr">
        <is>
          <t>Drafted</t>
        </is>
      </c>
      <c r="O111" s="2" t="n"/>
      <c r="P111" s="2" t="n">
        <v>5</v>
      </c>
      <c r="Q111" s="2" t="inlineStr">
        <is>
          <t>Report v1.0; verdict Supported (high); no right of reply needed.</t>
        </is>
      </c>
      <c r="R111" s="2" t="inlineStr">
        <is>
          <t>Supported</t>
        </is>
      </c>
      <c r="S111" s="2" t="inlineStr">
        <is>
          <t>High</t>
        </is>
      </c>
      <c r="T111" s="2" t="n"/>
      <c r="U111" s="2" t="inlineStr">
        <is>
          <t>Cars &amp; traffic</t>
        </is>
      </c>
      <c r="V111" s="2" t="inlineStr">
        <is>
          <t>2026-06-03</t>
        </is>
      </c>
      <c r="W111" s="2" t="inlineStr">
        <is>
          <t>1.0</t>
        </is>
      </c>
      <c r="X111" s="2" t="inlineStr">
        <is>
          <t>2026-10-05</t>
        </is>
      </c>
      <c r="Y111" s="2" t="inlineStr">
        <is>
          <t>C</t>
        </is>
      </c>
      <c r="Z111" s="2" t="inlineStr">
        <is>
          <t>1</t>
        </is>
      </c>
      <c r="AA111" s="2" t="inlineStr">
        <is>
          <t>2026-10-05</t>
        </is>
      </c>
      <c r="AB111" s="2" t="inlineStr"/>
      <c r="AC111" s="5" t="inlineStr">
        <is>
          <t>https://leandergrech.github.io/Mizien/claims/CC-110/</t>
        </is>
      </c>
    </row>
    <row r="112">
      <c r="A112" s="2" t="inlineStr">
        <is>
          <t>CC-111</t>
        </is>
      </c>
      <c r="B112" s="2" t="inlineStr">
        <is>
          <t>Waste</t>
        </is>
      </c>
      <c r="C112" s="2" t="inlineStr">
        <is>
          <t>EU: 621 kg of waste a head, 74% landfilled</t>
        </is>
      </c>
      <c r="D112" s="2" t="inlineStr">
        <is>
          <t>European Commission (2026 Country Report - Malta, 3 Jun 2026): Malta generated 621 kg of waste per person in 2024 against an EU average of 517 kg, and its landfill rate fell from 82% to 74% over ten years but remains well above the EU average of 22% (2023).</t>
        </is>
      </c>
      <c r="E112" s="2" t="inlineStr">
        <is>
          <t>All figures reproduce from Eurostat env_wasmun: 621 kg (EU 517 kg, provisional) in 2024; landfilled as a share of waste generated 82.0% in 2013 and 73.6% in 2023 (72.1% in 2024); incineration 2.7% in 2023. Malta is 3rd-highest for the landfill rate in 2023 (after Greece and Romania) and highest of 20 states with 2024 data; 6th-highest for waste per person in 2024. EU-27 2023 landfill rate not published (22.6% in 2022, 21.3% in 2024). The fall from 82% to 74% came mostly in 2023 (83.3% in 2022). The Shift's 79.2% (CC-081) is the 2024 share of waste treated, a different denominator.</t>
        </is>
      </c>
      <c r="F112" s="2" t="inlineStr">
        <is>
          <t>Eurostat env_wasmun for Malta, the EU-27 and all member states, recomputed with tools/cc-111-report/calc.py.</t>
        </is>
      </c>
      <c r="G112" s="2" t="inlineStr">
        <is>
          <t>Done: Claim Check 111 report and flyer.</t>
        </is>
      </c>
      <c r="H112" s="2" t="inlineStr"/>
      <c r="I112" s="2" t="inlineStr">
        <is>
          <t>European Commission</t>
        </is>
      </c>
      <c r="J112" s="2" t="inlineStr">
        <is>
          <t>Verbatim found</t>
        </is>
      </c>
      <c r="K112" s="2" t="inlineStr">
        <is>
          <t>High</t>
        </is>
      </c>
      <c r="L112" s="2" t="inlineStr">
        <is>
          <t>Done (v1.0)</t>
        </is>
      </c>
      <c r="M112" s="2" t="inlineStr">
        <is>
          <t>Supported: no right of reply needed. 2024 data cover 20 member states. Municipal waste definitions differ between countries. The recycling figures in the report's summary are not tested here (see CC-004).</t>
        </is>
      </c>
      <c r="N112" s="2" t="inlineStr">
        <is>
          <t>Drafted</t>
        </is>
      </c>
      <c r="O112" s="2" t="n"/>
      <c r="P112" s="2" t="n">
        <v>3</v>
      </c>
      <c r="Q112" s="2" t="inlineStr">
        <is>
          <t>Report v1.0; verdict Supported (high); no right of reply needed.</t>
        </is>
      </c>
      <c r="R112" s="2" t="inlineStr">
        <is>
          <t>Supported</t>
        </is>
      </c>
      <c r="S112" s="2" t="inlineStr">
        <is>
          <t>High</t>
        </is>
      </c>
      <c r="T112" s="2" t="n"/>
      <c r="U112" s="2" t="inlineStr">
        <is>
          <t>Landfill &amp; treatment</t>
        </is>
      </c>
      <c r="V112" s="2" t="inlineStr">
        <is>
          <t>2026-06-03</t>
        </is>
      </c>
      <c r="W112" s="2" t="inlineStr">
        <is>
          <t>1.0</t>
        </is>
      </c>
      <c r="X112" s="2" t="inlineStr">
        <is>
          <t>2026-10-05</t>
        </is>
      </c>
      <c r="Y112" s="2" t="inlineStr">
        <is>
          <t>A</t>
        </is>
      </c>
      <c r="Z112" s="2" t="inlineStr">
        <is>
          <t>1</t>
        </is>
      </c>
      <c r="AA112" s="2" t="inlineStr">
        <is>
          <t>2026-10-05</t>
        </is>
      </c>
      <c r="AB112" s="2" t="inlineStr"/>
      <c r="AC112" s="5" t="inlineStr">
        <is>
          <t>https://leandergrech.github.io/Mizien/claims/CC-111/</t>
        </is>
      </c>
    </row>
    <row r="113">
      <c r="A113" s="2" t="inlineStr">
        <is>
          <t>CC-112</t>
        </is>
      </c>
      <c r="B113" s="2" t="inlineStr">
        <is>
          <t>Tourism &amp; Population</t>
        </is>
      </c>
      <c r="C113" s="2" t="inlineStr">
        <is>
          <t>IMF: population up 25% in a decade</t>
        </is>
      </c>
      <c r="D113" s="2" t="inlineStr">
        <is>
          <t>International Monetary Fund staff (Selected Issues, Feb 2026): Malta's population rose by 25 percent over a decade, largely due to immigration.</t>
        </is>
      </c>
      <c r="E113" s="2" t="inlineStr">
        <is>
          <t>Eurostat demo_gind: growth was 24.4-24.6% over the decades ending 1 Jan 2020, 2021 and 2022, but 30.9% over 1 Jan 2015-2025 (the latest decade available in Feb 2026) and 30.8% over 2016-2026. The paper gives no years. Net migration was 93-97% of growth in every decade since 2010-2020. EU-27 grew 1.9% over 2015-2025.</t>
        </is>
      </c>
      <c r="F113" s="2" t="inlineStr">
        <is>
          <t>Eurostat demo_gind for Malta and the EU-27; growth over every ten-year window to 2026 and the migration share (tools/cc-112-report/calc.py).</t>
        </is>
      </c>
      <c r="G113" s="2" t="inlineStr">
        <is>
          <t>Done: Claim Check 112 report and flyer.</t>
        </is>
      </c>
      <c r="H113" s="2" t="inlineStr"/>
      <c r="I113" s="2" t="inlineStr">
        <is>
          <t>International Monetary Fund</t>
        </is>
      </c>
      <c r="J113" s="2" t="inlineStr">
        <is>
          <t>Verbatim found</t>
        </is>
      </c>
      <c r="K113" s="2" t="inlineStr">
        <is>
          <t>High</t>
        </is>
      </c>
      <c r="L113" s="2" t="inlineStr">
        <is>
          <t>Done (v1.0)</t>
        </is>
      </c>
      <c r="M113" s="2" t="inlineStr">
        <is>
          <t>Largely supported: no right of reply needed. The paper names no decade; 25% is accurate for 2010-2022 windows and low for the latest. Attributed to IMF staff. The paper was read from an Internet Archive copy.</t>
        </is>
      </c>
      <c r="N113" s="2" t="inlineStr">
        <is>
          <t>Drafted</t>
        </is>
      </c>
      <c r="O113" s="2" t="n"/>
      <c r="P113" s="2" t="n">
        <v>3</v>
      </c>
      <c r="Q113" s="2" t="inlineStr">
        <is>
          <t>Report v1.0; verdict Largely supported (high); no right of reply needed.</t>
        </is>
      </c>
      <c r="R113" s="2" t="inlineStr">
        <is>
          <t>Largely supported</t>
        </is>
      </c>
      <c r="S113" s="2" t="inlineStr">
        <is>
          <t>High</t>
        </is>
      </c>
      <c r="T113" s="2" t="n"/>
      <c r="U113" s="2" t="inlineStr">
        <is>
          <t>Population &amp; labour</t>
        </is>
      </c>
      <c r="V113" s="2" t="inlineStr">
        <is>
          <t>2026-02</t>
        </is>
      </c>
      <c r="W113" s="2" t="inlineStr">
        <is>
          <t>1.0</t>
        </is>
      </c>
      <c r="X113" s="2" t="inlineStr">
        <is>
          <t>2026-10-05</t>
        </is>
      </c>
      <c r="Y113" s="2" t="inlineStr">
        <is>
          <t>C</t>
        </is>
      </c>
      <c r="Z113" s="2" t="inlineStr">
        <is>
          <t>1</t>
        </is>
      </c>
      <c r="AA113" s="2" t="inlineStr">
        <is>
          <t>2026-10-05</t>
        </is>
      </c>
      <c r="AB113" s="2" t="inlineStr"/>
      <c r="AC113" s="5" t="inlineStr">
        <is>
          <t>https://leandergrech.github.io/Mizien/claims/CC-112/</t>
        </is>
      </c>
    </row>
    <row r="114">
      <c r="A114" s="2" t="inlineStr">
        <is>
          <t>CC-113</t>
        </is>
      </c>
      <c r="B114" s="2" t="inlineStr">
        <is>
          <t>Climate &amp; Energy</t>
        </is>
      </c>
      <c r="C114" s="2" t="inlineStr">
        <is>
          <t>EEA: Malta among highest fossil-fuel subsidies relative to GDP</t>
        </is>
      </c>
      <c r="D114" s="2" t="inlineStr">
        <is>
          <t>European Environment Agency (indicator page, 29 Jan 2025): in 2023 fossil-fuel subsidies represented the highest shares of GDP in Malta, Poland and Slovakia, all at or above 1.5%.</t>
        </is>
      </c>
      <c r="E114" s="2" t="inlineStr">
        <is>
          <t>The ranking reproduces exactly from the Commission's subsidy database (2024 edition) that the EEA used, and holds with Eurostat GDP (as of 6 Oct 2026, which the EEA could not have had) and, as a lower bound, with the unconfirmed items set to zero; but Slovakia's "at or above 1.5%" holds only on the EEA's basis (1.507%; 1.49% with Eurostat GDP; 1.39% with the unconfirmed items set to zero). Malta's 2023 figure (EUR 605m, or 633m with a stand-in) is 96% one line, compensation to Enemalta for frozen energy prices, booked as actual costs and wholly to natural gas; it is 2.1 times the IMF Article IV energy-subsidy cost for 2023 (1.4% of GDP, CR 26/29) and 1.7 times the Government's expected cost (1.7% of GDP, DBP 2024, other basic commodities included), a gap we could not reconcile. For 2022 the database was lower (1.71% of GDP, the line EUR 246.6m) than the Government (2.5%, about EUR 451m) and the IMF (1.8%, about EUR 325m); over 2022-23 the line (EUR 826.5m) is close to the Government's expected cost (about EUR 806m), which points to timing or basis; the 2024 gap (about 1.8% against 0.87%) persists. The IMF's price-gap database records no explicit subsidy for Malta; the OECD/IISD tracker has no OECD or IEA estimate for Malta. Malta was 0.08-0.10% of GDP in 2015-2020 (24th-27th of 27) and is first again for 2024 in COM(2026) 472. In euros Malta's EUR 0.63bn is 19th of 27.</t>
        </is>
      </c>
      <c r="F114" s="2" t="inlineStr">
        <is>
          <t>Commission subsidy inventory 2024 edition (CIRCABC) rebuilt measure by measure (locally); EEA chart data; COM(2025) 17 Figure 16 (read by pixel); Eurostat nama_10_gdp, gov_10a_main and nrg_cb_e; Malta Draft Budgetary Plans 2024 and 2025; IMF CR 26/29 Table 2 (read for CC-018/CC-022); IMF Fossil Fuel Subsidies Data 2023 update; OECD/IISD Fossil Fuel Subsidy Tracker; COM(2026) 472; ECFIN Discussion Paper 214 for definitions (tools/cc-113-report/calc.py).</t>
        </is>
      </c>
      <c r="G114" s="2" t="inlineStr">
        <is>
          <t>Done: Claim Check 113 report and flyer.</t>
        </is>
      </c>
      <c r="H114" s="2" t="inlineStr"/>
      <c r="I114" s="2" t="inlineStr">
        <is>
          <t>European Environment Agency</t>
        </is>
      </c>
      <c r="J114" s="2" t="inlineStr">
        <is>
          <t>Verbatim found</t>
        </is>
      </c>
      <c r="K114" s="2" t="inlineStr">
        <is>
          <t>High: EEA and Eurostat reachable.</t>
        </is>
      </c>
      <c r="L114" s="2" t="inlineStr">
        <is>
          <t>Done (v1.0)</t>
        </is>
      </c>
      <c r="M114" s="2" t="inlineStr">
        <is>
          <t>Statement by an EU agency about EU data; the EEA states its definition (WTO categories, EU inventory method). The claim is about shares of GDP (in euros Malta is 19th of 27). 2023 values are provisional for the items still to be confirmed (about 7-8% of the EU total; in Malta only the EUR 28.2m excise cut); Malta's EUR 580m line is booked as actual costs and is not reconciled with other sources. Versions C and D (unconfirmed items set to zero) are a lower bound, not equally valid versions; B and D use Eurostat GDP as of 6 Oct 2026, which the EEA could not have had. COM(2025) 17 (28 Jan 2025) was read from the EU Publications Office: its Figure 16 gives the same top four as the CIRCABC file, which was modified on 9 Apr 2025. The Commission workbook is (c) Enerdata (reproduction prohibited without written permission): measure rows are not committed. The original 29 Jan 2025 page could not be opened; the earliest copy read is 3 Feb 2025. IMF CR 26/29 figures are from the CC-018/CC-022 record (read in full 5 Oct 2026). Largely supported verdict: no right of reply needed.</t>
        </is>
      </c>
      <c r="N114" s="2" t="inlineStr">
        <is>
          <t>Drafted</t>
        </is>
      </c>
      <c r="O114" s="2" t="n"/>
      <c r="P114" s="2" t="n">
        <v>2</v>
      </c>
      <c r="Q114" s="2" t="inlineStr">
        <is>
          <t>Report v1.0; verdict Largely supported (moderate); no right of reply needed.</t>
        </is>
      </c>
      <c r="R114" s="2" t="inlineStr">
        <is>
          <t>Largely supported</t>
        </is>
      </c>
      <c r="S114" s="2" t="inlineStr">
        <is>
          <t>Moderate</t>
        </is>
      </c>
      <c r="T114" s="2" t="n"/>
      <c r="U114" s="2" t="inlineStr">
        <is>
          <t>Electricity &amp; grid</t>
        </is>
      </c>
      <c r="V114" s="2" t="inlineStr">
        <is>
          <t>2025-01-29</t>
        </is>
      </c>
      <c r="W114" s="2" t="inlineStr">
        <is>
          <t>1.0</t>
        </is>
      </c>
      <c r="X114" s="2" t="inlineStr">
        <is>
          <t>2026-10-06</t>
        </is>
      </c>
      <c r="Y114" s="2" t="inlineStr">
        <is>
          <t>A</t>
        </is>
      </c>
      <c r="Z114" s="2" t="inlineStr">
        <is>
          <t>0</t>
        </is>
      </c>
      <c r="AA114" s="2" t="inlineStr">
        <is>
          <t>2026-10-06</t>
        </is>
      </c>
      <c r="AB114" s="2" t="inlineStr"/>
      <c r="AC114" s="5" t="inlineStr">
        <is>
          <t>https://leandergrech.github.io/Mizien/claims/CC-113/</t>
        </is>
      </c>
    </row>
    <row r="115">
      <c r="A115" s="2" t="inlineStr">
        <is>
          <t>CC-114</t>
        </is>
      </c>
      <c r="B115" s="2" t="inlineStr">
        <is>
          <t>Climate &amp; Energy</t>
        </is>
      </c>
      <c r="C115" s="2" t="inlineStr">
        <is>
          <t>PN: only EU state with rising emissions intensity</t>
        </is>
      </c>
      <c r="D115" s="2" t="inlineStr">
        <is>
          <t>Nationalist Party press release signed by Shadow Minister Eve Borg Bonello (26 Jan 2026; in Maltese, our translation), citing Eurostat: "Malta is the only EU Member State which, instead of reducing, increased the intensity of greenhouse gas emissions from 2013 to date. Malta in fact increased these emissions by 17%, when the average intensity of these emissions in all EU Member States fell by 34%"; "In simple words, it is not simply that we are polluting more because the economy grew, but today, for every euro we put into our economy, we are polluting more than we were polluting in 2013"; and "This is the direct result of a lack of ambition on the part of the Maltese Government on several fronts. Among them, the clear lack of ambition to seriously increase the use of renewable energy." The release also says Estonia "reduced emissions by 64%", Ireland "by 50%" and Finland "by 44%", and that Malta generated "only 10.7%" of its energy from renewables in 2024 when the European average is "a little over 25%", "third from last".</t>
        </is>
      </c>
      <c r="E115" s="2" t="inlineStr">
        <is>
          <t>Eurostat's figure is quoted correctly (January release +16.6%, EU -34.0%; August 2026 data +14.3%, still the only rise; Malta 27th of 27 from every base year 2008-2023; EU-27 values flagged i), but it is a residence-based measure. Malta's resident production units emitted 2.78 Mt CO2e in 2013 and 6.59 Mt in 2024; air transport rose from 0.30 to 4.73 Mt (71.8% of 2024; 2024 estimate, Eurostat flag i), 116% of the net rise in resident-unit emissions (+3.81 Mt; a share of that rise, not of the intensity indicator); in intensity terms air transport alone went from about 36 g/EUR in 2013 to about 266 g/EUR in 2024 (estimate). All of the rise is fuel bought abroad by resident air transport firms (Eurostat bridging table: 299 of 304 kt in 2013, 100% of the 2024 estimate). The NSO attributes the 2023 jump to airlines that started operating that year. Without air-transport emissions the indicator fell from every base year 2008-2023 (-8.5% to -72%): -64.0% since 2013 (2nd-largest fall in the EU; EU -35.2%) but -29.5% since 2016 (17th of 27; EU -30.1%). The territorial inventory per euro of GDP also fell from every base year (-6.6% to -69%): -61.3% since 2013 (2nd after Estonia; EU -35.5%), -27.1% since 2016 (21st; EU -29.8%). Most of the fall came in 2014-2016, when electricity-sector emissions fell from 1,703 to 581 kt (743 kt in 2024, +28% since 2016), so these counter-figures depend on the base year too; in the PN's favour, from base years 2014-2019 Malta's rise is +19.5% to +97%. More renewable electricity, on its own, could not have removed the rise: electricity-sector emissions fell about 56% (1,703 to 743 kt), and with zero electricity-sector emissions in 2024 the indicator would still be 1.4% above 2013 (329.8 against 325.2 g/EUR); this bound tests electricity (NACE D) only. Renewable shares rose over the period (electricity 1.6% to 10.7%, overall 3.8% to 17.2%). The release's next paragraph also cites traffic; households' own car use is outside the indicator. With 2013 as base Malta is the only riser only for end year 2024, a Eurostat estimate; 2013-2023 it fell 8.3% and no state rose. Estonia, Ireland and Finland cut intensity, not emissions: residence accounts / territorial inventory 2013-2024, Estonia -55.4% / -53.1% (2024 flagged i), Finland -37.9% / -37.6% (i), Ireland +13.7% / -6.9% (flagged e; its air transport, 9.90 to 16.32 Mt, is 87% of its residence-based rise). On the residence basis the PN used, emissions per person rose 69.2% 2013-2024 (27th of 27; EU -21.2%). 10.7% is Malta's renewable share of electricity (EU 47.5%); its overall share is 17.2%, fourth from last (EU 25.2%); Eurostat's release of 18 Dec 2025 named Belgium, Luxembourg and Ireland as the lowest three. In the PN's favour: the statistic is real and Eurostat's own news item gives no explanation either; Malta's renewable shares are among the EU's lowest.</t>
        </is>
      </c>
      <c r="F115" s="2" t="inlineStr">
        <is>
          <t>Eurostat env_ac_aeint_r2 for all EU-27 (2013-2024, both vintages, start- and end-year sensitivity, and our own counter-figures from every base year 2008-2023); env_ac_ainah_r2 by activity and env_ac_aibrid_r2 for Malta's drivers; env_air_gge with nama_10_gdp for the territorial inventory per euro of GDP (and CC-025's 2005 base); nama_10_pe per person; nrg_ind_ren for the renewables figures. Recomputed in tools/cc-114-report/calc.py (data/cc-114/checks.csv, ranking_2013_2024.csv, sensitivity.csv, sensitivity_base_years.csv).</t>
        </is>
      </c>
      <c r="G115" s="2" t="inlineStr">
        <is>
          <t>Done: Claim Check 114 report and flyer.</t>
        </is>
      </c>
      <c r="H115" s="2" t="inlineStr">
        <is>
          <t>Selective metric</t>
        </is>
      </c>
      <c r="I115" s="2" t="inlineStr">
        <is>
          <t>Nationalist Party (PN)</t>
        </is>
      </c>
      <c r="J115" s="2" t="inlineStr">
        <is>
          <t>Verbatim found</t>
        </is>
      </c>
      <c r="K115" s="2" t="inlineStr">
        <is>
          <t>High: Eurostat and Crossref reachable; Newsbook and pn.org.mt readable.</t>
        </is>
      </c>
      <c r="L115" s="2" t="inlineStr">
        <is>
          <t>Done (v1.1)</t>
        </is>
      </c>
      <c r="M115" s="2" t="inlineStr">
        <is>
          <t>An opposition claim, held to the same standard and data as the Government's (CC-025): our own counter-figures are tested from every base year, as the PN's is. Translation of the Maltese release is ours. Malta's 2024 values in the air emissions accounts are Eurostat estimates (flag i); the rise since 2013 depends on them. The airlines behind Malta's air-transport series are not identified (Eurostat and the NSO name none; no company filings read). The release page was modified on 24 Apr 2026 and no January copy was found; Newsbook's quotes of 26 Jan match its text. MaltaToday's report was not readable (403). Newsbook's own additions (the 81.6% per unit of GDP since 2005, a 142% overshoot of the 2030 effort-sharing target, 24.5% renewables by 2030) are not the PN's and are not checked here; the 10.7% and "third from last" are the PN's own. "A lack of ambition on several fronts" is a political judgement and is not rated; only the renewables link is. The "Selective metric" tag means a metric favourable to the speaker's argument, not to Malta or any party. Version 1.1 (6 Oct 2026): confidence lowered from High to Moderate because the deciding sub-claims D and F rest on the same Eurostat air emissions accounts, including the imputed (flag i) 2024 air-transport value; the renewables bound tests electricity-sector emissions only; the 2024 estimates are labelled. Misleading: pending right of reply from the Nationalist Party; must not be circulated beyond the site before the reply deadline.</t>
        </is>
      </c>
      <c r="N115" s="2" t="inlineStr">
        <is>
          <t>Drafted</t>
        </is>
      </c>
      <c r="O115" s="2" t="n"/>
      <c r="P115" s="2" t="n">
        <v>4</v>
      </c>
      <c r="Q115" s="2" t="inlineStr">
        <is>
          <t>Report v1.1; verdict Misleading (moderate); right of reply to send (draft; not for circulation before the deadline).</t>
        </is>
      </c>
      <c r="R115" s="2" t="inlineStr">
        <is>
          <t>Misleading</t>
        </is>
      </c>
      <c r="S115" s="2" t="inlineStr">
        <is>
          <t>Moderate</t>
        </is>
      </c>
      <c r="T115" s="2" t="n"/>
      <c r="U115" s="2" t="inlineStr">
        <is>
          <t>Emissions &amp; targets</t>
        </is>
      </c>
      <c r="V115" s="2" t="inlineStr">
        <is>
          <t>2026-01-26</t>
        </is>
      </c>
      <c r="W115" s="2" t="inlineStr">
        <is>
          <t>1.1</t>
        </is>
      </c>
      <c r="X115" s="2" t="inlineStr">
        <is>
          <t>2026-10-06</t>
        </is>
      </c>
      <c r="Y115" s="2" t="inlineStr">
        <is>
          <t>B</t>
        </is>
      </c>
      <c r="Z115" s="2" t="inlineStr">
        <is>
          <t>0</t>
        </is>
      </c>
      <c r="AA115" s="2" t="inlineStr">
        <is>
          <t>2026-10-06</t>
        </is>
      </c>
      <c r="AB115" s="2" t="inlineStr"/>
      <c r="AC115" s="5" t="inlineStr">
        <is>
          <t>https://leandergrech.github.io/Mizien/claims/CC-114/</t>
        </is>
      </c>
    </row>
    <row r="116">
      <c r="A116" s="2" t="inlineStr">
        <is>
          <t>CC-115</t>
        </is>
      </c>
      <c r="B116" s="2" t="inlineStr">
        <is>
          <t>Transport</t>
        </is>
      </c>
      <c r="C116" s="2" t="inlineStr">
        <is>
          <t>Chamber: congestion cost EUR 770m, 3.4% of GDP</t>
        </is>
      </c>
      <c r="D116" s="2" t="inlineStr">
        <is>
          <t>The Malta Chamber of Commerce, Enterprise and Industry (LEAD proposals for the 2026-2031 legislature, 14 May 2026): traffic congestion cost the economy an estimated EUR 770 million in 2025, equivalent to 3.4% of GDP.</t>
        </is>
      </c>
      <c r="E116" s="2" t="inlineStr">
        <is>
          <t>The EUR 770m is quoted accurately from the National Transport Master Plan 2030 (p. 124), which projects EUR 917m by 2030 and excludes EUR 195.4m of environmental costs, but the plan publishes no derivation for 2025 (its appraisal annex models 2030 and 2060 only). EUR 770m is 3.12% of 2025 GDP at current prices (Eurostat EUR 24,664m); 3.34% of 2024 GDP; 3.8-3.9% of real GDP. 3.4% would need GDP of EUR 22.6bn. Marco Cremona's EUR 1.13bn estimate (MNA, 3 Jun 2026) is second-hand.</t>
        </is>
      </c>
      <c r="F116" s="2" t="inlineStr">
        <is>
          <t>Chamber's LEAD document and the National Transport Master Plan 2030; Eurostat nama_10_gdp (tools/cc-115-report/calc.py).</t>
        </is>
      </c>
      <c r="G116" s="2" t="inlineStr">
        <is>
          <t>Done: Claim Check 115 report and flyer.</t>
        </is>
      </c>
      <c r="H116" s="2" t="inlineStr"/>
      <c r="I116" s="2" t="inlineStr">
        <is>
          <t>The Malta Chamber of Commerce, Enterprise and Industry</t>
        </is>
      </c>
      <c r="J116" s="2" t="inlineStr">
        <is>
          <t>Verbatim found</t>
        </is>
      </c>
      <c r="K116" s="2" t="inlineStr">
        <is>
          <t>Medium</t>
        </is>
      </c>
      <c r="L116" s="2" t="inlineStr">
        <is>
          <t>Done (v1.0)</t>
        </is>
      </c>
      <c r="M116" s="2" t="inlineStr">
        <is>
          <t>Not substantiated: pending right of reply (to be sought by the maintainer from the Malta Chamber). The Chamber cited the government's figure accurately; the method sits with the Ministry for Transport. The plan was read from an Internet Archive copy.</t>
        </is>
      </c>
      <c r="N116" s="2" t="inlineStr">
        <is>
          <t>Drafted</t>
        </is>
      </c>
      <c r="O116" s="2" t="n"/>
      <c r="P116" s="2" t="n">
        <v>3</v>
      </c>
      <c r="Q116" s="2" t="inlineStr">
        <is>
          <t>Report v1.0; verdict Not substantiated (moderate); right of reply to send (draft; not for circulation before the deadline).</t>
        </is>
      </c>
      <c r="R116" s="2" t="inlineStr">
        <is>
          <t>Not substantiated</t>
        </is>
      </c>
      <c r="S116" s="2" t="inlineStr">
        <is>
          <t>Moderate</t>
        </is>
      </c>
      <c r="T116" s="2" t="n"/>
      <c r="U116" s="2" t="inlineStr">
        <is>
          <t>Cars &amp; traffic</t>
        </is>
      </c>
      <c r="V116" s="2" t="inlineStr">
        <is>
          <t>2026-05-14</t>
        </is>
      </c>
      <c r="W116" s="2" t="inlineStr">
        <is>
          <t>1.0</t>
        </is>
      </c>
      <c r="X116" s="2" t="inlineStr">
        <is>
          <t>2026-10-05</t>
        </is>
      </c>
      <c r="Y116" s="2" t="inlineStr">
        <is>
          <t>C</t>
        </is>
      </c>
      <c r="Z116" s="2" t="inlineStr">
        <is>
          <t>1</t>
        </is>
      </c>
      <c r="AA116" s="2" t="inlineStr">
        <is>
          <t>2026-10-05</t>
        </is>
      </c>
      <c r="AB116" s="2" t="inlineStr"/>
      <c r="AC116" s="5" t="inlineStr">
        <is>
          <t>https://leandergrech.github.io/Mizien/claims/CC-115/</t>
        </is>
      </c>
    </row>
    <row r="117">
      <c r="A117" s="2" t="inlineStr">
        <is>
          <t>CC-116</t>
        </is>
      </c>
      <c r="B117" s="2" t="inlineStr">
        <is>
          <t>Planning &amp; Housing</t>
        </is>
      </c>
      <c r="C117" s="2" t="inlineStr">
        <is>
          <t>UNESCO: Valletta setting not safeguarded</t>
        </is>
      </c>
      <c r="D117" s="2" t="inlineStr">
        <is>
          <t>UNESCO World Heritage Committee (2025 state-of-conservation decision, as reported): Malta's current planning policies and regulations do not sufficiently safeguard Valletta's setting; the Committee asked for effective height controls within and around the property, a further-developed buffer zone, and an updated conservation report by 1 December 2026.</t>
        </is>
      </c>
      <c r="E117" s="2" t="inlineStr">
        <is>
          <t>The Government treated the later deadline as a sign of confidence in its heritage management and rejected the Opposition's 'alarmism' (Lovin Malta, reported); the PN asked for a local-plan revision (MaltaToday). The Planning Authority's Floor Area Ratio policy and height rules are the policies at issue.</t>
        </is>
      </c>
      <c r="F117" s="2" t="inlineStr">
        <is>
          <t>UNESCO decision text and State of Conservation report; Malta's Floor Area Ratio policy, North Harbour and Grand Harbour Local Plans, the Views and Vistas Analysis; Heritage Impact Assessments for Manoel Island and other major schemes; actual permitted heights near Valletta (PA permits).</t>
        </is>
      </c>
      <c r="G117" s="2" t="inlineStr">
        <is>
          <t>An international body's statement about specific planning instruments, which the policy texts and permits can test.</t>
        </is>
      </c>
      <c r="H117" s="2" t="inlineStr"/>
      <c r="I117" s="2" t="inlineStr">
        <is>
          <t>UNESCO World Heritage Committee</t>
        </is>
      </c>
      <c r="J117" s="2" t="inlineStr">
        <is>
          <t>Paraphrase: locate quote</t>
        </is>
      </c>
      <c r="K117" s="2" t="inlineStr">
        <is>
          <t>Low to medium: whc.unesco.org returned 403 to scripts; the Shift page is readable. A maintainer may need to paste the decision text into literature/CC-116/primary-source.md.</t>
        </is>
      </c>
      <c r="L117" s="2" t="inlineStr">
        <is>
          <t>Queue</t>
        </is>
      </c>
      <c r="M117" s="2" t="inlineStr">
        <is>
          <t>Candidate from the weekly intake of 5 Oct 2026. Wording is from a locator source; the decision number and exact text must be read in a browser. The 1 December 2026 report deadline falls after this intake: do not mark any follow-up before it passes. Overlaps in subject, not in claimant, with CC-065 and CC-066.</t>
        </is>
      </c>
      <c r="N117" s="2" t="inlineStr">
        <is>
          <t>Not started</t>
        </is>
      </c>
      <c r="O117" s="2" t="n"/>
      <c r="P117" s="2" t="n">
        <v>2</v>
      </c>
      <c r="Q117" s="2" t="inlineStr">
        <is>
          <t>Queued for worker A.</t>
        </is>
      </c>
      <c r="R117" s="2" t="n"/>
      <c r="S117" s="2" t="n"/>
      <c r="T117" s="2" t="n"/>
      <c r="U117" s="2" t="inlineStr">
        <is>
          <t>Heritage &amp; character</t>
        </is>
      </c>
      <c r="V117" s="2" t="inlineStr">
        <is>
          <t>n/d</t>
        </is>
      </c>
      <c r="W117" s="2" t="n"/>
      <c r="X117" s="2" t="inlineStr"/>
      <c r="Y117" s="2" t="inlineStr">
        <is>
          <t>A</t>
        </is>
      </c>
      <c r="Z117" s="2" t="inlineStr">
        <is>
          <t>0</t>
        </is>
      </c>
      <c r="AA117" s="2" t="inlineStr"/>
      <c r="AB117" s="2" t="inlineStr"/>
      <c r="AC117" s="5" t="inlineStr">
        <is>
          <t>https://leandergrech.github.io/Mizien/claims/CC-116/</t>
        </is>
      </c>
    </row>
  </sheetData>
  <autoFilter ref="A1:AC117"/>
  <conditionalFormatting sqref="J2:J117">
    <cfRule type="cellIs" priority="1" operator="equal" dxfId="0">
      <formula>"Verbatim found"</formula>
    </cfRule>
    <cfRule type="cellIs" priority="2" operator="equal" dxfId="1">
      <formula>"Paraphrase: locate quote"</formula>
    </cfRule>
  </conditionalFormatting>
  <conditionalFormatting sqref="N2:N117">
    <cfRule type="cellIs" priority="3" operator="equal" dxfId="0">
      <formula>"Drafted"</formula>
    </cfRule>
    <cfRule type="cellIs" priority="4" operator="equal" dxfId="2">
      <formula>"In progress"</formula>
    </cfRule>
  </conditionalFormatting>
  <dataValidations count="3">
    <dataValidation sqref="N2:N117" showDropDown="0" showInputMessage="0" showErrorMessage="0" allowBlank="1" type="list">
      <formula1>"Not started,In progress,Drafted,Right of reply,Published"</formula1>
    </dataValidation>
    <dataValidation sqref="J2:J117" showDropDown="0" showInputMessage="0" showErrorMessage="0" allowBlank="1" type="list">
      <formula1>"Verbatim found,Paraphrase: locate quote"</formula1>
    </dataValidation>
    <dataValidation sqref="K2:K117" showDropDown="0" showInputMessage="0" showErrorMessage="0" allowBlank="1" type="list">
      <formula1>"High,Medium,Low"</formula1>
    </dataValidation>
  </dataValidations>
  <hyperlinks>
    <hyperlink xmlns:r="http://schemas.openxmlformats.org/officeDocument/2006/relationships" ref="AC2" r:id="rId1"/>
    <hyperlink xmlns:r="http://schemas.openxmlformats.org/officeDocument/2006/relationships" ref="AC3" r:id="rId2"/>
    <hyperlink xmlns:r="http://schemas.openxmlformats.org/officeDocument/2006/relationships" ref="AC4" r:id="rId3"/>
    <hyperlink xmlns:r="http://schemas.openxmlformats.org/officeDocument/2006/relationships" ref="AC5" r:id="rId4"/>
    <hyperlink xmlns:r="http://schemas.openxmlformats.org/officeDocument/2006/relationships" ref="AC6" r:id="rId5"/>
    <hyperlink xmlns:r="http://schemas.openxmlformats.org/officeDocument/2006/relationships" ref="AC7" r:id="rId6"/>
    <hyperlink xmlns:r="http://schemas.openxmlformats.org/officeDocument/2006/relationships" ref="AC8" r:id="rId7"/>
    <hyperlink xmlns:r="http://schemas.openxmlformats.org/officeDocument/2006/relationships" ref="AC9" r:id="rId8"/>
    <hyperlink xmlns:r="http://schemas.openxmlformats.org/officeDocument/2006/relationships" ref="AC10" r:id="rId9"/>
    <hyperlink xmlns:r="http://schemas.openxmlformats.org/officeDocument/2006/relationships" ref="AC11" r:id="rId10"/>
    <hyperlink xmlns:r="http://schemas.openxmlformats.org/officeDocument/2006/relationships" ref="AC12" r:id="rId11"/>
    <hyperlink xmlns:r="http://schemas.openxmlformats.org/officeDocument/2006/relationships" ref="AC13" r:id="rId12"/>
    <hyperlink xmlns:r="http://schemas.openxmlformats.org/officeDocument/2006/relationships" ref="AC14" r:id="rId13"/>
    <hyperlink xmlns:r="http://schemas.openxmlformats.org/officeDocument/2006/relationships" ref="AC15" r:id="rId14"/>
    <hyperlink xmlns:r="http://schemas.openxmlformats.org/officeDocument/2006/relationships" ref="AC16" r:id="rId15"/>
    <hyperlink xmlns:r="http://schemas.openxmlformats.org/officeDocument/2006/relationships" ref="AC17" r:id="rId16"/>
    <hyperlink xmlns:r="http://schemas.openxmlformats.org/officeDocument/2006/relationships" ref="AC18" r:id="rId17"/>
    <hyperlink xmlns:r="http://schemas.openxmlformats.org/officeDocument/2006/relationships" ref="AC19" r:id="rId18"/>
    <hyperlink xmlns:r="http://schemas.openxmlformats.org/officeDocument/2006/relationships" ref="AC20" r:id="rId19"/>
    <hyperlink xmlns:r="http://schemas.openxmlformats.org/officeDocument/2006/relationships" ref="AC21" r:id="rId20"/>
    <hyperlink xmlns:r="http://schemas.openxmlformats.org/officeDocument/2006/relationships" ref="AC22" r:id="rId21"/>
    <hyperlink xmlns:r="http://schemas.openxmlformats.org/officeDocument/2006/relationships" ref="AC23" r:id="rId22"/>
    <hyperlink xmlns:r="http://schemas.openxmlformats.org/officeDocument/2006/relationships" ref="AC24" r:id="rId23"/>
    <hyperlink xmlns:r="http://schemas.openxmlformats.org/officeDocument/2006/relationships" ref="AC25" r:id="rId24"/>
    <hyperlink xmlns:r="http://schemas.openxmlformats.org/officeDocument/2006/relationships" ref="AC26" r:id="rId25"/>
    <hyperlink xmlns:r="http://schemas.openxmlformats.org/officeDocument/2006/relationships" ref="AC27" r:id="rId26"/>
    <hyperlink xmlns:r="http://schemas.openxmlformats.org/officeDocument/2006/relationships" ref="AC28" r:id="rId27"/>
    <hyperlink xmlns:r="http://schemas.openxmlformats.org/officeDocument/2006/relationships" ref="AC29" r:id="rId28"/>
    <hyperlink xmlns:r="http://schemas.openxmlformats.org/officeDocument/2006/relationships" ref="AC30" r:id="rId29"/>
    <hyperlink xmlns:r="http://schemas.openxmlformats.org/officeDocument/2006/relationships" ref="AC31" r:id="rId30"/>
    <hyperlink xmlns:r="http://schemas.openxmlformats.org/officeDocument/2006/relationships" ref="AC32" r:id="rId31"/>
    <hyperlink xmlns:r="http://schemas.openxmlformats.org/officeDocument/2006/relationships" ref="AC33" r:id="rId32"/>
    <hyperlink xmlns:r="http://schemas.openxmlformats.org/officeDocument/2006/relationships" ref="AC34" r:id="rId33"/>
    <hyperlink xmlns:r="http://schemas.openxmlformats.org/officeDocument/2006/relationships" ref="AC35" r:id="rId34"/>
    <hyperlink xmlns:r="http://schemas.openxmlformats.org/officeDocument/2006/relationships" ref="AC36" r:id="rId35"/>
    <hyperlink xmlns:r="http://schemas.openxmlformats.org/officeDocument/2006/relationships" ref="AC37" r:id="rId36"/>
    <hyperlink xmlns:r="http://schemas.openxmlformats.org/officeDocument/2006/relationships" ref="AC38" r:id="rId37"/>
    <hyperlink xmlns:r="http://schemas.openxmlformats.org/officeDocument/2006/relationships" ref="AC39" r:id="rId38"/>
    <hyperlink xmlns:r="http://schemas.openxmlformats.org/officeDocument/2006/relationships" ref="AC40" r:id="rId39"/>
    <hyperlink xmlns:r="http://schemas.openxmlformats.org/officeDocument/2006/relationships" ref="AC41" r:id="rId40"/>
    <hyperlink xmlns:r="http://schemas.openxmlformats.org/officeDocument/2006/relationships" ref="AC42" r:id="rId41"/>
    <hyperlink xmlns:r="http://schemas.openxmlformats.org/officeDocument/2006/relationships" ref="AC43" r:id="rId42"/>
    <hyperlink xmlns:r="http://schemas.openxmlformats.org/officeDocument/2006/relationships" ref="AC44" r:id="rId43"/>
    <hyperlink xmlns:r="http://schemas.openxmlformats.org/officeDocument/2006/relationships" ref="AC45" r:id="rId44"/>
    <hyperlink xmlns:r="http://schemas.openxmlformats.org/officeDocument/2006/relationships" ref="AC46" r:id="rId45"/>
    <hyperlink xmlns:r="http://schemas.openxmlformats.org/officeDocument/2006/relationships" ref="AC47" r:id="rId46"/>
    <hyperlink xmlns:r="http://schemas.openxmlformats.org/officeDocument/2006/relationships" ref="AC48" r:id="rId47"/>
    <hyperlink xmlns:r="http://schemas.openxmlformats.org/officeDocument/2006/relationships" ref="AC49" r:id="rId48"/>
    <hyperlink xmlns:r="http://schemas.openxmlformats.org/officeDocument/2006/relationships" ref="AC50" r:id="rId49"/>
    <hyperlink xmlns:r="http://schemas.openxmlformats.org/officeDocument/2006/relationships" ref="AC51" r:id="rId50"/>
    <hyperlink xmlns:r="http://schemas.openxmlformats.org/officeDocument/2006/relationships" ref="AC52" r:id="rId51"/>
    <hyperlink xmlns:r="http://schemas.openxmlformats.org/officeDocument/2006/relationships" ref="AC53" r:id="rId52"/>
    <hyperlink xmlns:r="http://schemas.openxmlformats.org/officeDocument/2006/relationships" ref="AC54" r:id="rId53"/>
    <hyperlink xmlns:r="http://schemas.openxmlformats.org/officeDocument/2006/relationships" ref="AC55" r:id="rId54"/>
    <hyperlink xmlns:r="http://schemas.openxmlformats.org/officeDocument/2006/relationships" ref="AC56" r:id="rId55"/>
    <hyperlink xmlns:r="http://schemas.openxmlformats.org/officeDocument/2006/relationships" ref="AC57" r:id="rId56"/>
    <hyperlink xmlns:r="http://schemas.openxmlformats.org/officeDocument/2006/relationships" ref="AC58" r:id="rId57"/>
    <hyperlink xmlns:r="http://schemas.openxmlformats.org/officeDocument/2006/relationships" ref="AC59" r:id="rId58"/>
    <hyperlink xmlns:r="http://schemas.openxmlformats.org/officeDocument/2006/relationships" ref="AC60" r:id="rId59"/>
    <hyperlink xmlns:r="http://schemas.openxmlformats.org/officeDocument/2006/relationships" ref="AC61" r:id="rId60"/>
    <hyperlink xmlns:r="http://schemas.openxmlformats.org/officeDocument/2006/relationships" ref="AC62" r:id="rId61"/>
    <hyperlink xmlns:r="http://schemas.openxmlformats.org/officeDocument/2006/relationships" ref="AC63" r:id="rId62"/>
    <hyperlink xmlns:r="http://schemas.openxmlformats.org/officeDocument/2006/relationships" ref="AC64" r:id="rId63"/>
    <hyperlink xmlns:r="http://schemas.openxmlformats.org/officeDocument/2006/relationships" ref="AC65" r:id="rId64"/>
    <hyperlink xmlns:r="http://schemas.openxmlformats.org/officeDocument/2006/relationships" ref="AC66" r:id="rId65"/>
    <hyperlink xmlns:r="http://schemas.openxmlformats.org/officeDocument/2006/relationships" ref="AC67" r:id="rId66"/>
    <hyperlink xmlns:r="http://schemas.openxmlformats.org/officeDocument/2006/relationships" ref="AC68" r:id="rId67"/>
    <hyperlink xmlns:r="http://schemas.openxmlformats.org/officeDocument/2006/relationships" ref="AC69" r:id="rId68"/>
    <hyperlink xmlns:r="http://schemas.openxmlformats.org/officeDocument/2006/relationships" ref="AC70" r:id="rId69"/>
    <hyperlink xmlns:r="http://schemas.openxmlformats.org/officeDocument/2006/relationships" ref="AC71" r:id="rId70"/>
    <hyperlink xmlns:r="http://schemas.openxmlformats.org/officeDocument/2006/relationships" ref="AC72" r:id="rId71"/>
    <hyperlink xmlns:r="http://schemas.openxmlformats.org/officeDocument/2006/relationships" ref="AC73" r:id="rId72"/>
    <hyperlink xmlns:r="http://schemas.openxmlformats.org/officeDocument/2006/relationships" ref="AC74" r:id="rId73"/>
    <hyperlink xmlns:r="http://schemas.openxmlformats.org/officeDocument/2006/relationships" ref="AC75" r:id="rId74"/>
    <hyperlink xmlns:r="http://schemas.openxmlformats.org/officeDocument/2006/relationships" ref="AC76" r:id="rId75"/>
    <hyperlink xmlns:r="http://schemas.openxmlformats.org/officeDocument/2006/relationships" ref="AC77" r:id="rId76"/>
    <hyperlink xmlns:r="http://schemas.openxmlformats.org/officeDocument/2006/relationships" ref="AC78" r:id="rId77"/>
    <hyperlink xmlns:r="http://schemas.openxmlformats.org/officeDocument/2006/relationships" ref="AC79" r:id="rId78"/>
    <hyperlink xmlns:r="http://schemas.openxmlformats.org/officeDocument/2006/relationships" ref="AC80" r:id="rId79"/>
    <hyperlink xmlns:r="http://schemas.openxmlformats.org/officeDocument/2006/relationships" ref="AC81" r:id="rId80"/>
    <hyperlink xmlns:r="http://schemas.openxmlformats.org/officeDocument/2006/relationships" ref="AC82" r:id="rId81"/>
    <hyperlink xmlns:r="http://schemas.openxmlformats.org/officeDocument/2006/relationships" ref="AC83" r:id="rId82"/>
    <hyperlink xmlns:r="http://schemas.openxmlformats.org/officeDocument/2006/relationships" ref="AC84" r:id="rId83"/>
    <hyperlink xmlns:r="http://schemas.openxmlformats.org/officeDocument/2006/relationships" ref="AC85" r:id="rId84"/>
    <hyperlink xmlns:r="http://schemas.openxmlformats.org/officeDocument/2006/relationships" ref="AC86" r:id="rId85"/>
    <hyperlink xmlns:r="http://schemas.openxmlformats.org/officeDocument/2006/relationships" ref="AC87" r:id="rId86"/>
    <hyperlink xmlns:r="http://schemas.openxmlformats.org/officeDocument/2006/relationships" ref="AC88" r:id="rId87"/>
    <hyperlink xmlns:r="http://schemas.openxmlformats.org/officeDocument/2006/relationships" ref="AC89" r:id="rId88"/>
    <hyperlink xmlns:r="http://schemas.openxmlformats.org/officeDocument/2006/relationships" ref="AC90" r:id="rId89"/>
    <hyperlink xmlns:r="http://schemas.openxmlformats.org/officeDocument/2006/relationships" ref="AC91" r:id="rId90"/>
    <hyperlink xmlns:r="http://schemas.openxmlformats.org/officeDocument/2006/relationships" ref="AC92" r:id="rId91"/>
    <hyperlink xmlns:r="http://schemas.openxmlformats.org/officeDocument/2006/relationships" ref="AC93" r:id="rId92"/>
    <hyperlink xmlns:r="http://schemas.openxmlformats.org/officeDocument/2006/relationships" ref="AC94" r:id="rId93"/>
    <hyperlink xmlns:r="http://schemas.openxmlformats.org/officeDocument/2006/relationships" ref="AC95" r:id="rId94"/>
    <hyperlink xmlns:r="http://schemas.openxmlformats.org/officeDocument/2006/relationships" ref="AC96" r:id="rId95"/>
    <hyperlink xmlns:r="http://schemas.openxmlformats.org/officeDocument/2006/relationships" ref="AC97" r:id="rId96"/>
    <hyperlink xmlns:r="http://schemas.openxmlformats.org/officeDocument/2006/relationships" ref="AC98" r:id="rId97"/>
    <hyperlink xmlns:r="http://schemas.openxmlformats.org/officeDocument/2006/relationships" ref="AC99" r:id="rId98"/>
    <hyperlink xmlns:r="http://schemas.openxmlformats.org/officeDocument/2006/relationships" ref="AC100" r:id="rId99"/>
    <hyperlink xmlns:r="http://schemas.openxmlformats.org/officeDocument/2006/relationships" ref="AC101" r:id="rId100"/>
    <hyperlink xmlns:r="http://schemas.openxmlformats.org/officeDocument/2006/relationships" ref="AC102" r:id="rId101"/>
    <hyperlink xmlns:r="http://schemas.openxmlformats.org/officeDocument/2006/relationships" ref="AC103" r:id="rId102"/>
    <hyperlink xmlns:r="http://schemas.openxmlformats.org/officeDocument/2006/relationships" ref="AC104" r:id="rId103"/>
    <hyperlink xmlns:r="http://schemas.openxmlformats.org/officeDocument/2006/relationships" ref="AC105" r:id="rId104"/>
    <hyperlink xmlns:r="http://schemas.openxmlformats.org/officeDocument/2006/relationships" ref="AC106" r:id="rId105"/>
    <hyperlink xmlns:r="http://schemas.openxmlformats.org/officeDocument/2006/relationships" ref="AC107" r:id="rId106"/>
    <hyperlink xmlns:r="http://schemas.openxmlformats.org/officeDocument/2006/relationships" ref="AC108" r:id="rId107"/>
    <hyperlink xmlns:r="http://schemas.openxmlformats.org/officeDocument/2006/relationships" ref="AC109" r:id="rId108"/>
    <hyperlink xmlns:r="http://schemas.openxmlformats.org/officeDocument/2006/relationships" ref="AC110" r:id="rId109"/>
    <hyperlink xmlns:r="http://schemas.openxmlformats.org/officeDocument/2006/relationships" ref="AC111" r:id="rId110"/>
    <hyperlink xmlns:r="http://schemas.openxmlformats.org/officeDocument/2006/relationships" ref="AC112" r:id="rId111"/>
    <hyperlink xmlns:r="http://schemas.openxmlformats.org/officeDocument/2006/relationships" ref="AC113" r:id="rId112"/>
    <hyperlink xmlns:r="http://schemas.openxmlformats.org/officeDocument/2006/relationships" ref="AC114" r:id="rId113"/>
    <hyperlink xmlns:r="http://schemas.openxmlformats.org/officeDocument/2006/relationships" ref="AC115" r:id="rId114"/>
    <hyperlink xmlns:r="http://schemas.openxmlformats.org/officeDocument/2006/relationships" ref="AC116" r:id="rId115"/>
    <hyperlink xmlns:r="http://schemas.openxmlformats.org/officeDocument/2006/relationships" ref="AC117" r:id="rId11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2" customWidth="1" min="2" max="2"/>
    <col width="60" customWidth="1" min="3" max="3"/>
    <col width="14" customWidth="1" min="4" max="4"/>
    <col width="12" customWidth="1" min="5" max="5"/>
    <col width="40" customWidth="1" min="6" max="6"/>
    <col width="40" customWidth="1" min="7" max="7"/>
    <col width="40" customWidth="1" min="8" max="8"/>
  </cols>
  <sheetData>
    <row r="1">
      <c r="A1" s="4" t="inlineStr">
        <is>
          <t>ID</t>
        </is>
      </c>
      <c r="B1" s="4" t="inlineStr">
        <is>
          <t>Row</t>
        </is>
      </c>
      <c r="C1" s="4" t="inlineStr">
        <is>
          <t>Check</t>
        </is>
      </c>
      <c r="D1" s="4" t="inlineStr">
        <is>
          <t>Value</t>
        </is>
      </c>
      <c r="E1" s="4" t="inlineStr">
        <is>
          <t>Unit</t>
        </is>
      </c>
      <c r="F1" s="4" t="inlineStr">
        <is>
          <t>Source</t>
        </is>
      </c>
      <c r="G1" s="4" t="inlineStr">
        <is>
          <t>Note</t>
        </is>
      </c>
      <c r="H1" s="4" t="inlineStr">
        <is>
          <t>Other fields</t>
        </is>
      </c>
    </row>
    <row r="2">
      <c r="A2" s="5" t="inlineStr">
        <is>
          <t>CC-002</t>
        </is>
      </c>
      <c r="B2" s="2" t="inlineStr">
        <is>
          <t>CC-002:2</t>
        </is>
      </c>
      <c r="C2" s="2" t="inlineStr">
        <is>
          <t>Removal total: 624 non-protected + 54 protected</t>
        </is>
      </c>
      <c r="D2" s="2" t="inlineStr">
        <is>
          <t>678</t>
        </is>
      </c>
      <c r="E2" s="2" t="inlineStr">
        <is>
          <t>specimens</t>
        </is>
      </c>
      <c r="F2" s="2" t="inlineStr">
        <is>
          <t>ERA Comino clarification, 11 Aug 2026; retrieved 3 Oct 2026</t>
        </is>
      </c>
      <c r="G2" s="2" t="inlineStr">
        <is>
          <t>Matches ERA's stated 678 total.</t>
        </is>
      </c>
      <c r="H2" s="2" t="inlineStr"/>
    </row>
    <row r="3">
      <c r="A3" s="5" t="inlineStr">
        <is>
          <t>CC-002</t>
        </is>
      </c>
      <c r="B3" s="2" t="inlineStr">
        <is>
          <t>CC-002:3</t>
        </is>
      </c>
      <c r="C3" s="2" t="inlineStr">
        <is>
          <t>Non-protected share of removals</t>
        </is>
      </c>
      <c r="D3" s="2" t="inlineStr">
        <is>
          <t>92.04</t>
        </is>
      </c>
      <c r="E3" s="2" t="inlineStr">
        <is>
          <t>%</t>
        </is>
      </c>
      <c r="F3" s="2" t="inlineStr">
        <is>
          <t>ERA Comino clarification, 11 Aug 2026; retrieved 3 Oct 2026</t>
        </is>
      </c>
      <c r="G3" s="2" t="inlineStr">
        <is>
          <t>92.04%, rounded by ERA to 92%.</t>
        </is>
      </c>
      <c r="H3" s="2" t="inlineStr"/>
    </row>
    <row r="4">
      <c r="A4" s="5" t="inlineStr">
        <is>
          <t>CC-002</t>
        </is>
      </c>
      <c r="B4" s="2" t="inlineStr">
        <is>
          <t>CC-002:4</t>
        </is>
      </c>
      <c r="C4" s="2" t="inlineStr">
        <is>
          <t>New indigenous trees per protected tree removed</t>
        </is>
      </c>
      <c r="D4" s="2" t="inlineStr">
        <is>
          <t>10.00</t>
        </is>
      </c>
      <c r="E4" s="2" t="inlineStr">
        <is>
          <t>trees per tree</t>
        </is>
      </c>
      <c r="F4" s="2" t="inlineStr">
        <is>
          <t>ERA Comino clarification, 11 Aug 2026; retrieved 3 Oct 2026</t>
        </is>
      </c>
      <c r="G4" s="2" t="inlineStr">
        <is>
          <t>540 / 54 = 10.</t>
        </is>
      </c>
      <c r="H4" s="2" t="inlineStr"/>
    </row>
    <row r="5">
      <c r="A5" s="5" t="inlineStr">
        <is>
          <t>CC-002</t>
        </is>
      </c>
      <c r="B5" s="2" t="inlineStr">
        <is>
          <t>CC-002:5</t>
        </is>
      </c>
      <c r="C5" s="2" t="inlineStr">
        <is>
          <t>Protected share of planned transplants</t>
        </is>
      </c>
      <c r="D5" s="2" t="inlineStr">
        <is>
          <t>97.99</t>
        </is>
      </c>
      <c r="E5" s="2" t="inlineStr">
        <is>
          <t>%</t>
        </is>
      </c>
      <c r="F5" s="2" t="inlineStr">
        <is>
          <t>ERA Clarification on Comino, 7 Aug 2026; retrieved 3 Oct 2026</t>
        </is>
      </c>
      <c r="G5" s="2" t="inlineStr">
        <is>
          <t>341 of 348, i.e. 97.99%; seven are non-protected.</t>
        </is>
      </c>
      <c r="H5" s="2" t="inlineStr"/>
    </row>
    <row r="6">
      <c r="A6" s="5" t="inlineStr">
        <is>
          <t>CC-003</t>
        </is>
      </c>
      <c r="B6" s="2" t="inlineStr">
        <is>
          <t>CC-003:2</t>
        </is>
      </c>
      <c r="C6" s="2" t="inlineStr">
        <is>
          <t>Malta: per-capita GHG change 2005-2023</t>
        </is>
      </c>
      <c r="D6" s="2" t="inlineStr">
        <is>
          <t>-46.1</t>
        </is>
      </c>
      <c r="E6" s="2" t="inlineStr">
        <is>
          <t>%</t>
        </is>
      </c>
      <c r="F6" s="2" t="inlineStr">
        <is>
          <t>Eurostat env_air_gge (2026 inventory) and nama_10_pe, retrieved 2 Oct 2026</t>
        </is>
      </c>
      <c r="G6" s="2" t="inlineStr">
        <is>
          <t>7.40 t -&gt; 3.99 t per person (excl. LULUCF and international transport)</t>
        </is>
      </c>
      <c r="H6" s="2" t="inlineStr"/>
    </row>
    <row r="7">
      <c r="A7" s="5" t="inlineStr">
        <is>
          <t>CC-003</t>
        </is>
      </c>
      <c r="B7" s="2" t="inlineStr">
        <is>
          <t>CC-003:3</t>
        </is>
      </c>
      <c r="C7" s="2" t="inlineStr">
        <is>
          <t>Malta: absolute GHG change 2005-2023</t>
        </is>
      </c>
      <c r="D7" s="2" t="inlineStr">
        <is>
          <t>-26.1</t>
        </is>
      </c>
      <c r="E7" s="2" t="inlineStr">
        <is>
          <t>%</t>
        </is>
      </c>
      <c r="F7" s="2" t="inlineStr">
        <is>
          <t>Eurostat env_air_gge (2026 inventory) and nama_10_pe, retrieved 2 Oct 2026</t>
        </is>
      </c>
      <c r="G7" s="2" t="inlineStr">
        <is>
          <t>2.987 -&gt; 2.207 Mt CO2e</t>
        </is>
      </c>
      <c r="H7" s="2" t="inlineStr"/>
    </row>
    <row r="8">
      <c r="A8" s="5" t="inlineStr">
        <is>
          <t>CC-003</t>
        </is>
      </c>
      <c r="B8" s="2" t="inlineStr">
        <is>
          <t>CC-003:4</t>
        </is>
      </c>
      <c r="C8" s="2" t="inlineStr">
        <is>
          <t>Malta: per-capita GHG change 2005-2024</t>
        </is>
      </c>
      <c r="D8" s="2" t="inlineStr">
        <is>
          <t>-48.5</t>
        </is>
      </c>
      <c r="E8" s="2" t="inlineStr">
        <is>
          <t>%</t>
        </is>
      </c>
      <c r="F8" s="2" t="inlineStr">
        <is>
          <t>Eurostat env_air_gge (2026 inventory) and nama_10_pe, retrieved 2 Oct 2026</t>
        </is>
      </c>
      <c r="G8" s="2" t="inlineStr">
        <is>
          <t>7.40 t -&gt; 3.81 t per person (excl. LULUCF and international transport)</t>
        </is>
      </c>
      <c r="H8" s="2" t="inlineStr"/>
    </row>
    <row r="9">
      <c r="A9" s="5" t="inlineStr">
        <is>
          <t>CC-003</t>
        </is>
      </c>
      <c r="B9" s="2" t="inlineStr">
        <is>
          <t>CC-003:5</t>
        </is>
      </c>
      <c r="C9" s="2" t="inlineStr">
        <is>
          <t>Malta: absolute GHG change 2005-2024</t>
        </is>
      </c>
      <c r="D9" s="2" t="inlineStr">
        <is>
          <t>-27.4</t>
        </is>
      </c>
      <c r="E9" s="2" t="inlineStr">
        <is>
          <t>%</t>
        </is>
      </c>
      <c r="F9" s="2" t="inlineStr">
        <is>
          <t>Eurostat env_air_gge (2026 inventory) and nama_10_pe, retrieved 2 Oct 2026</t>
        </is>
      </c>
      <c r="G9" s="2" t="inlineStr">
        <is>
          <t>2.987 -&gt; 2.170 Mt CO2e</t>
        </is>
      </c>
      <c r="H9" s="2" t="inlineStr"/>
    </row>
    <row r="10">
      <c r="A10" s="5" t="inlineStr">
        <is>
          <t>CC-003</t>
        </is>
      </c>
      <c r="B10" s="2" t="inlineStr">
        <is>
          <t>CC-003:6</t>
        </is>
      </c>
      <c r="C10" s="2" t="inlineStr">
        <is>
          <t>Malta: population change 2005-2024</t>
        </is>
      </c>
      <c r="D10" s="2" t="inlineStr">
        <is>
          <t>40.9</t>
        </is>
      </c>
      <c r="E10" s="2" t="inlineStr">
        <is>
          <t>%</t>
        </is>
      </c>
      <c r="F10" s="2" t="inlineStr">
        <is>
          <t>Eurostat env_air_gge (2026 inventory) and nama_10_pe, retrieved 2 Oct 2026</t>
        </is>
      </c>
      <c r="G10" s="2" t="inlineStr">
        <is>
          <t>403.9 -&gt; 569.2 thousand</t>
        </is>
      </c>
      <c r="H10" s="2" t="inlineStr"/>
    </row>
    <row r="11">
      <c r="A11" s="5" t="inlineStr">
        <is>
          <t>CC-003</t>
        </is>
      </c>
      <c r="B11" s="2" t="inlineStr">
        <is>
          <t>CC-003:7</t>
        </is>
      </c>
      <c r="C11" s="2" t="inlineStr">
        <is>
          <t>EU-27: per-capita GHG change 2005-2023</t>
        </is>
      </c>
      <c r="D11" s="2" t="inlineStr">
        <is>
          <t>-34.3</t>
        </is>
      </c>
      <c r="E11" s="2" t="inlineStr">
        <is>
          <t>%</t>
        </is>
      </c>
      <c r="F11" s="2" t="inlineStr">
        <is>
          <t>Eurostat env_air_gge (2026 inventory) and nama_10_pe, retrieved 2 Oct 2026</t>
        </is>
      </c>
      <c r="G11" s="2" t="inlineStr">
        <is>
          <t>10.45 t -&gt; 6.87 t per person (excl. LULUCF and international transport)</t>
        </is>
      </c>
      <c r="H11" s="2" t="inlineStr"/>
    </row>
    <row r="12">
      <c r="A12" s="5" t="inlineStr">
        <is>
          <t>CC-003</t>
        </is>
      </c>
      <c r="B12" s="2" t="inlineStr">
        <is>
          <t>CC-003:8</t>
        </is>
      </c>
      <c r="C12" s="2" t="inlineStr">
        <is>
          <t>EU-27: absolute GHG change 2005-2023</t>
        </is>
      </c>
      <c r="D12" s="2" t="inlineStr">
        <is>
          <t>-31.9</t>
        </is>
      </c>
      <c r="E12" s="2" t="inlineStr">
        <is>
          <t>%</t>
        </is>
      </c>
      <c r="F12" s="2" t="inlineStr">
        <is>
          <t>Eurostat env_air_gge (2026 inventory) and nama_10_pe, retrieved 2 Oct 2026</t>
        </is>
      </c>
      <c r="G12" s="2" t="inlineStr">
        <is>
          <t>4537.092 -&gt; 3088.347 Mt CO2e</t>
        </is>
      </c>
      <c r="H12" s="2" t="inlineStr"/>
    </row>
    <row r="13">
      <c r="A13" s="5" t="inlineStr">
        <is>
          <t>CC-003</t>
        </is>
      </c>
      <c r="B13" s="2" t="inlineStr">
        <is>
          <t>CC-003:9</t>
        </is>
      </c>
      <c r="C13" s="2" t="inlineStr">
        <is>
          <t>EU-27: per-capita GHG change 2005-2024</t>
        </is>
      </c>
      <c r="D13" s="2" t="inlineStr">
        <is>
          <t>-36.0</t>
        </is>
      </c>
      <c r="E13" s="2" t="inlineStr">
        <is>
          <t>%</t>
        </is>
      </c>
      <c r="F13" s="2" t="inlineStr">
        <is>
          <t>Eurostat env_air_gge (2026 inventory) and nama_10_pe, retrieved 2 Oct 2026</t>
        </is>
      </c>
      <c r="G13" s="2" t="inlineStr">
        <is>
          <t>10.45 t -&gt; 6.69 t per person (excl. LULUCF and international transport)</t>
        </is>
      </c>
      <c r="H13" s="2" t="inlineStr"/>
    </row>
    <row r="14">
      <c r="A14" s="5" t="inlineStr">
        <is>
          <t>CC-003</t>
        </is>
      </c>
      <c r="B14" s="2" t="inlineStr">
        <is>
          <t>CC-003:10</t>
        </is>
      </c>
      <c r="C14" s="2" t="inlineStr">
        <is>
          <t>EU-27: absolute GHG change 2005-2024</t>
        </is>
      </c>
      <c r="D14" s="2" t="inlineStr">
        <is>
          <t>-33.5</t>
        </is>
      </c>
      <c r="E14" s="2" t="inlineStr">
        <is>
          <t>%</t>
        </is>
      </c>
      <c r="F14" s="2" t="inlineStr">
        <is>
          <t>Eurostat env_air_gge (2026 inventory) and nama_10_pe, retrieved 2 Oct 2026</t>
        </is>
      </c>
      <c r="G14" s="2" t="inlineStr">
        <is>
          <t>4537.092 -&gt; 3017.188 Mt CO2e</t>
        </is>
      </c>
      <c r="H14" s="2" t="inlineStr"/>
    </row>
    <row r="15">
      <c r="A15" s="5" t="inlineStr">
        <is>
          <t>CC-003</t>
        </is>
      </c>
      <c r="B15" s="2" t="inlineStr">
        <is>
          <t>CC-003:11</t>
        </is>
      </c>
      <c r="C15" s="2" t="inlineStr">
        <is>
          <t>EU-27: population change 2005-2024</t>
        </is>
      </c>
      <c r="D15" s="2" t="inlineStr">
        <is>
          <t>3.9</t>
        </is>
      </c>
      <c r="E15" s="2" t="inlineStr">
        <is>
          <t>%</t>
        </is>
      </c>
      <c r="F15" s="2" t="inlineStr">
        <is>
          <t>Eurostat env_air_gge (2026 inventory) and nama_10_pe, retrieved 2 Oct 2026</t>
        </is>
      </c>
      <c r="G15" s="2" t="inlineStr">
        <is>
          <t>434266.3 -&gt; 451249.4 thousand</t>
        </is>
      </c>
      <c r="H15" s="2" t="inlineStr"/>
    </row>
    <row r="16">
      <c r="A16" s="5" t="inlineStr">
        <is>
          <t>CC-003</t>
        </is>
      </c>
      <c r="B16" s="2" t="inlineStr">
        <is>
          <t>CC-003:12</t>
        </is>
      </c>
      <c r="C16" s="2" t="inlineStr">
        <is>
          <t>Malta: share of per-capita fall 2005-2024 due to population growth</t>
        </is>
      </c>
      <c r="D16" s="2" t="inlineStr">
        <is>
          <t>52.0</t>
        </is>
      </c>
      <c r="E16" s="2" t="inlineStr">
        <is>
          <t>%</t>
        </is>
      </c>
      <c r="F16" s="2" t="inlineStr">
        <is>
          <t>Eurostat env_air_gge (2026 inventory) and nama_10_pe, retrieved 2 Oct 2026</t>
        </is>
      </c>
      <c r="G16" s="2" t="inlineStr">
        <is>
          <t>log decomposition: ln(pc ratio) = ln(emissions ratio) - ln(population ratio)</t>
        </is>
      </c>
      <c r="H16" s="2" t="inlineStr"/>
    </row>
    <row r="17">
      <c r="A17" s="5" t="inlineStr">
        <is>
          <t>CC-003</t>
        </is>
      </c>
      <c r="B17" s="2" t="inlineStr">
        <is>
          <t>CC-003:13</t>
        </is>
      </c>
      <c r="C17" s="2" t="inlineStr">
        <is>
          <t>Malta: per-capita change if population had stayed at 2005 level</t>
        </is>
      </c>
      <c r="D17" s="2" t="inlineStr">
        <is>
          <t>-27.4</t>
        </is>
      </c>
      <c r="E17" s="2" t="inlineStr">
        <is>
          <t>%</t>
        </is>
      </c>
      <c r="F17" s="2" t="inlineStr">
        <is>
          <t>Eurostat env_air_gge (2026 inventory) and nama_10_pe, retrieved 2 Oct 2026</t>
        </is>
      </c>
      <c r="G17" s="2" t="inlineStr">
        <is>
          <t>equals the absolute change</t>
        </is>
      </c>
      <c r="H17" s="2" t="inlineStr"/>
    </row>
    <row r="18">
      <c r="A18" s="5" t="inlineStr">
        <is>
          <t>CC-003</t>
        </is>
      </c>
      <c r="B18" s="2" t="inlineStr">
        <is>
          <t>CC-003:14</t>
        </is>
      </c>
      <c r="C18" s="2" t="inlineStr">
        <is>
          <t>Malta: energy industries (power) change 2005-2024</t>
        </is>
      </c>
      <c r="D18" s="2" t="inlineStr">
        <is>
          <t>-62.7</t>
        </is>
      </c>
      <c r="E18" s="2" t="inlineStr">
        <is>
          <t>%</t>
        </is>
      </c>
      <c r="F18" s="2" t="inlineStr">
        <is>
          <t>Eurostat env_air_gge (2026 inventory) and nama_10_pe, retrieved 2 Oct 2026</t>
        </is>
      </c>
      <c r="G18" s="2" t="inlineStr">
        <is>
          <t>1.978 -&gt; 0.737 Mt CO2e</t>
        </is>
      </c>
      <c r="H18" s="2" t="inlineStr"/>
    </row>
    <row r="19">
      <c r="A19" s="5" t="inlineStr">
        <is>
          <t>CC-003</t>
        </is>
      </c>
      <c r="B19" s="2" t="inlineStr">
        <is>
          <t>CC-003:15</t>
        </is>
      </c>
      <c r="C19" s="2" t="inlineStr">
        <is>
          <t>Malta: domestic transport change 2005-2024</t>
        </is>
      </c>
      <c r="D19" s="2" t="inlineStr">
        <is>
          <t>48.6</t>
        </is>
      </c>
      <c r="E19" s="2" t="inlineStr">
        <is>
          <t>%</t>
        </is>
      </c>
      <c r="F19" s="2" t="inlineStr">
        <is>
          <t>Eurostat env_air_gge (2026 inventory) and nama_10_pe, retrieved 2 Oct 2026</t>
        </is>
      </c>
      <c r="G19" s="2" t="inlineStr">
        <is>
          <t>0.530 -&gt; 0.788 Mt CO2e</t>
        </is>
      </c>
      <c r="H19" s="2" t="inlineStr"/>
    </row>
    <row r="20">
      <c r="A20" s="5" t="inlineStr">
        <is>
          <t>CC-003</t>
        </is>
      </c>
      <c r="B20" s="2" t="inlineStr">
        <is>
          <t>CC-003:16</t>
        </is>
      </c>
      <c r="C20" s="2" t="inlineStr">
        <is>
          <t>Malta: F-gases (refrigeration, air conditioning) change 2005-2024</t>
        </is>
      </c>
      <c r="D20" s="2" t="inlineStr">
        <is>
          <t>490.2</t>
        </is>
      </c>
      <c r="E20" s="2" t="inlineStr">
        <is>
          <t>%</t>
        </is>
      </c>
      <c r="F20" s="2" t="inlineStr">
        <is>
          <t>Eurostat env_air_gge (2026 inventory) and nama_10_pe, retrieved 2 Oct 2026</t>
        </is>
      </c>
      <c r="G20" s="2" t="inlineStr">
        <is>
          <t>0.034 -&gt; 0.202 Mt CO2e</t>
        </is>
      </c>
      <c r="H20" s="2" t="inlineStr"/>
    </row>
    <row r="21">
      <c r="A21" s="5" t="inlineStr">
        <is>
          <t>CC-003</t>
        </is>
      </c>
      <c r="B21" s="2" t="inlineStr">
        <is>
          <t>CC-003:17</t>
        </is>
      </c>
      <c r="C21" s="2" t="inlineStr">
        <is>
          <t>Malta: buildings and other combustion change 2005-2024</t>
        </is>
      </c>
      <c r="D21" s="2" t="inlineStr">
        <is>
          <t>9.3</t>
        </is>
      </c>
      <c r="E21" s="2" t="inlineStr">
        <is>
          <t>%</t>
        </is>
      </c>
      <c r="F21" s="2" t="inlineStr">
        <is>
          <t>Eurostat env_air_gge (2026 inventory) and nama_10_pe, retrieved 2 Oct 2026</t>
        </is>
      </c>
      <c r="G21" s="2" t="inlineStr">
        <is>
          <t>0.123 -&gt; 0.135 Mt CO2e</t>
        </is>
      </c>
      <c r="H21" s="2" t="inlineStr"/>
    </row>
    <row r="22">
      <c r="A22" s="5" t="inlineStr">
        <is>
          <t>CC-003</t>
        </is>
      </c>
      <c r="B22" s="2" t="inlineStr">
        <is>
          <t>CC-003:18</t>
        </is>
      </c>
      <c r="C22" s="2" t="inlineStr">
        <is>
          <t>Malta: waste change 2005-2024</t>
        </is>
      </c>
      <c r="D22" s="2" t="inlineStr">
        <is>
          <t>-4.7</t>
        </is>
      </c>
      <c r="E22" s="2" t="inlineStr">
        <is>
          <t>%</t>
        </is>
      </c>
      <c r="F22" s="2" t="inlineStr">
        <is>
          <t>Eurostat env_air_gge (2026 inventory) and nama_10_pe, retrieved 2 Oct 2026</t>
        </is>
      </c>
      <c r="G22" s="2" t="inlineStr">
        <is>
          <t>0.197 -&gt; 0.187 Mt CO2e</t>
        </is>
      </c>
      <c r="H22" s="2" t="inlineStr"/>
    </row>
    <row r="23">
      <c r="A23" s="5" t="inlineStr">
        <is>
          <t>CC-003</t>
        </is>
      </c>
      <c r="B23" s="2" t="inlineStr">
        <is>
          <t>CC-003:19</t>
        </is>
      </c>
      <c r="C23" s="2" t="inlineStr">
        <is>
          <t>Malta: international bunkers (memo, outside targets) change 2005-2024</t>
        </is>
      </c>
      <c r="D23" s="2" t="inlineStr">
        <is>
          <t>205.6</t>
        </is>
      </c>
      <c r="E23" s="2" t="inlineStr">
        <is>
          <t>%</t>
        </is>
      </c>
      <c r="F23" s="2" t="inlineStr">
        <is>
          <t>Eurostat env_air_gge (2026 inventory) and nama_10_pe, retrieved 2 Oct 2026</t>
        </is>
      </c>
      <c r="G23" s="2" t="inlineStr">
        <is>
          <t>2.401 -&gt; 7.337 Mt CO2e</t>
        </is>
      </c>
      <c r="H23" s="2" t="inlineStr"/>
    </row>
    <row r="24">
      <c r="A24" s="5" t="inlineStr">
        <is>
          <t>CC-003</t>
        </is>
      </c>
      <c r="B24" s="2" t="inlineStr">
        <is>
          <t>CC-003:20</t>
        </is>
      </c>
      <c r="C24" s="2" t="inlineStr">
        <is>
          <t>EU-27: energy industries (power) change 2005-2024</t>
        </is>
      </c>
      <c r="D24" s="2" t="inlineStr">
        <is>
          <t>-53.6</t>
        </is>
      </c>
      <c r="E24" s="2" t="inlineStr">
        <is>
          <t>%</t>
        </is>
      </c>
      <c r="F24" s="2" t="inlineStr">
        <is>
          <t>Eurostat env_air_gge (2026 inventory) and nama_10_pe, retrieved 2 Oct 2026</t>
        </is>
      </c>
      <c r="G24" s="2" t="inlineStr">
        <is>
          <t>1385.497 -&gt; 642.415 Mt CO2e</t>
        </is>
      </c>
      <c r="H24" s="2" t="inlineStr"/>
    </row>
    <row r="25">
      <c r="A25" s="5" t="inlineStr">
        <is>
          <t>CC-003</t>
        </is>
      </c>
      <c r="B25" s="2" t="inlineStr">
        <is>
          <t>CC-003:21</t>
        </is>
      </c>
      <c r="C25" s="2" t="inlineStr">
        <is>
          <t>EU-27: domestic transport change 2005-2024</t>
        </is>
      </c>
      <c r="D25" s="2" t="inlineStr">
        <is>
          <t>-5.3</t>
        </is>
      </c>
      <c r="E25" s="2" t="inlineStr">
        <is>
          <t>%</t>
        </is>
      </c>
      <c r="F25" s="2" t="inlineStr">
        <is>
          <t>Eurostat env_air_gge (2026 inventory) and nama_10_pe, retrieved 2 Oct 2026</t>
        </is>
      </c>
      <c r="G25" s="2" t="inlineStr">
        <is>
          <t>849.894 -&gt; 804.764 Mt CO2e</t>
        </is>
      </c>
      <c r="H25" s="2" t="inlineStr"/>
    </row>
    <row r="26">
      <c r="A26" s="5" t="inlineStr">
        <is>
          <t>CC-003</t>
        </is>
      </c>
      <c r="B26" s="2" t="inlineStr">
        <is>
          <t>CC-003:22</t>
        </is>
      </c>
      <c r="C26" s="2" t="inlineStr">
        <is>
          <t>Malta: industrial emissions change 2005-2023</t>
        </is>
      </c>
      <c r="D26" s="2" t="inlineStr">
        <is>
          <t>293</t>
        </is>
      </c>
      <c r="E26" s="2" t="inlineStr">
        <is>
          <t>%</t>
        </is>
      </c>
      <c r="F26" s="2" t="inlineStr">
        <is>
          <t>European Commission, Climate Action Progress Report 2025, SWD (capr2025_swd_en.pdf) p.44</t>
        </is>
      </c>
      <c r="G26" s="2" t="inlineStr">
        <is>
          <t>mainly refrigeration and air-conditioning gases</t>
        </is>
      </c>
      <c r="H26" s="2" t="inlineStr"/>
    </row>
    <row r="27">
      <c r="A27" s="5" t="inlineStr">
        <is>
          <t>CC-003</t>
        </is>
      </c>
      <c r="B27" s="2" t="inlineStr">
        <is>
          <t>CC-003:23</t>
        </is>
      </c>
      <c r="C27" s="2" t="inlineStr">
        <is>
          <t>EU-27: industrial emissions change 2005-2023</t>
        </is>
      </c>
      <c r="D27" s="2" t="inlineStr">
        <is>
          <t>-36</t>
        </is>
      </c>
      <c r="E27" s="2" t="inlineStr">
        <is>
          <t>%</t>
        </is>
      </c>
      <c r="F27" s="2" t="inlineStr">
        <is>
          <t>European Commission, Climate Action Progress Report 2025, SWD (capr2025_swd_en.pdf) p.44</t>
        </is>
      </c>
      <c r="G27" s="2" t="inlineStr">
        <is>
          <t>total industrial emissions</t>
        </is>
      </c>
      <c r="H27" s="2" t="inlineStr"/>
    </row>
    <row r="28">
      <c r="A28" s="5" t="inlineStr">
        <is>
          <t>CC-003</t>
        </is>
      </c>
      <c r="B28" s="2" t="inlineStr">
        <is>
          <t>CC-003:24</t>
        </is>
      </c>
      <c r="C28" s="2" t="inlineStr">
        <is>
          <t>Malta: buildings emissions change since 2005</t>
        </is>
      </c>
      <c r="D28" s="2" t="inlineStr">
        <is>
          <t>12</t>
        </is>
      </c>
      <c r="E28" s="2" t="inlineStr">
        <is>
          <t>%</t>
        </is>
      </c>
      <c r="F28" s="2" t="inlineStr">
        <is>
          <t>European Commission, Climate Action Progress Report 2025, SWD (capr2025_swd_en.pdf) p.59</t>
        </is>
      </c>
      <c r="G28" s="2" t="inlineStr">
        <is>
          <t>all other Member States fell except Romania (+6%)</t>
        </is>
      </c>
      <c r="H28" s="2" t="inlineStr"/>
    </row>
    <row r="29">
      <c r="A29" s="5" t="inlineStr">
        <is>
          <t>CC-003</t>
        </is>
      </c>
      <c r="B29" s="2" t="inlineStr">
        <is>
          <t>CC-003:25</t>
        </is>
      </c>
      <c r="C29" s="2" t="inlineStr">
        <is>
          <t>Malta: ESR target 2030 vs 2005</t>
        </is>
      </c>
      <c r="D29" s="2" t="inlineStr">
        <is>
          <t>-19</t>
        </is>
      </c>
      <c r="E29" s="2" t="inlineStr">
        <is>
          <t>%</t>
        </is>
      </c>
      <c r="F29" s="2" t="inlineStr">
        <is>
          <t>European Commission, Climate Action Progress Report 2025, SWD (capr2025_swd_en.pdf) p.114 (Table 25)</t>
        </is>
      </c>
      <c r="G29" s="2" t="inlineStr">
        <is>
          <t>Effort Sharing Regulation</t>
        </is>
      </c>
      <c r="H29" s="2" t="inlineStr"/>
    </row>
    <row r="30">
      <c r="A30" s="5" t="inlineStr">
        <is>
          <t>CC-003</t>
        </is>
      </c>
      <c r="B30" s="2" t="inlineStr">
        <is>
          <t>CC-003:26</t>
        </is>
      </c>
      <c r="C30" s="2" t="inlineStr">
        <is>
          <t>Malta: ESR emissions 2024 vs 2005</t>
        </is>
      </c>
      <c r="D30" s="2" t="inlineStr">
        <is>
          <t>41</t>
        </is>
      </c>
      <c r="E30" s="2" t="inlineStr">
        <is>
          <t>%</t>
        </is>
      </c>
      <c r="F30" s="2" t="inlineStr">
        <is>
          <t>European Commission, Climate Action Progress Report 2025, SWD (capr2025_swd_en.pdf) p.114 (Table 25)</t>
        </is>
      </c>
      <c r="G30" s="2" t="inlineStr"/>
      <c r="H30" s="2" t="inlineStr"/>
    </row>
    <row r="31">
      <c r="A31" s="5" t="inlineStr">
        <is>
          <t>CC-003</t>
        </is>
      </c>
      <c r="B31" s="2" t="inlineStr">
        <is>
          <t>CC-003:27</t>
        </is>
      </c>
      <c r="C31" s="2" t="inlineStr">
        <is>
          <t>Malta: ESR projection 2030, existing measures (WEM)</t>
        </is>
      </c>
      <c r="D31" s="2" t="inlineStr">
        <is>
          <t>42</t>
        </is>
      </c>
      <c r="E31" s="2" t="inlineStr">
        <is>
          <t>%</t>
        </is>
      </c>
      <c r="F31" s="2" t="inlineStr">
        <is>
          <t>European Commission, Climate Action Progress Report 2025, SWD (capr2025_swd_en.pdf) p.114 (Table 25)</t>
        </is>
      </c>
      <c r="G31" s="2" t="inlineStr">
        <is>
          <t>gap -61 pp</t>
        </is>
      </c>
      <c r="H31" s="2" t="inlineStr"/>
    </row>
    <row r="32">
      <c r="A32" s="5" t="inlineStr">
        <is>
          <t>CC-003</t>
        </is>
      </c>
      <c r="B32" s="2" t="inlineStr">
        <is>
          <t>CC-003:28</t>
        </is>
      </c>
      <c r="C32" s="2" t="inlineStr">
        <is>
          <t>Malta: ESR projection 2030, additional measures (WAM)</t>
        </is>
      </c>
      <c r="D32" s="2" t="inlineStr">
        <is>
          <t>30</t>
        </is>
      </c>
      <c r="E32" s="2" t="inlineStr">
        <is>
          <t>%</t>
        </is>
      </c>
      <c r="F32" s="2" t="inlineStr">
        <is>
          <t>European Commission, Climate Action Progress Report 2025, SWD (capr2025_swd_en.pdf) p.114 (Table 25)</t>
        </is>
      </c>
      <c r="G32" s="2" t="inlineStr">
        <is>
          <t>gap -49 pp</t>
        </is>
      </c>
      <c r="H32" s="2" t="inlineStr"/>
    </row>
    <row r="33">
      <c r="A33" s="5" t="inlineStr">
        <is>
          <t>CC-003</t>
        </is>
      </c>
      <c r="B33" s="2" t="inlineStr">
        <is>
          <t>CC-003:29</t>
        </is>
      </c>
      <c r="C33" s="2" t="inlineStr">
        <is>
          <t>Malta: ESR gap WAM, percentage points</t>
        </is>
      </c>
      <c r="D33" s="2" t="inlineStr">
        <is>
          <t>49</t>
        </is>
      </c>
      <c r="E33" s="2" t="inlineStr">
        <is>
          <t>pp</t>
        </is>
      </c>
      <c r="F33" s="2" t="inlineStr">
        <is>
          <t>calculated</t>
        </is>
      </c>
      <c r="G33" s="2" t="inlineStr">
        <is>
          <t>projection minus target</t>
        </is>
      </c>
      <c r="H33" s="2" t="inlineStr"/>
    </row>
    <row r="34">
      <c r="A34" s="5" t="inlineStr">
        <is>
          <t>CC-003</t>
        </is>
      </c>
      <c r="B34" s="2" t="inlineStr">
        <is>
          <t>CC-003:30</t>
        </is>
      </c>
      <c r="C34" s="2" t="inlineStr">
        <is>
          <t>Next largest WAM gap among EU-27 (Ireland)</t>
        </is>
      </c>
      <c r="D34" s="2" t="inlineStr">
        <is>
          <t>-20</t>
        </is>
      </c>
      <c r="E34" s="2" t="inlineStr">
        <is>
          <t>pp</t>
        </is>
      </c>
      <c r="F34" s="2" t="inlineStr">
        <is>
          <t>European Commission, Climate Action Progress Report 2025, SWD (capr2025_swd_en.pdf) p.113 (Table 25)</t>
        </is>
      </c>
      <c r="G34" s="2" t="inlineStr">
        <is>
          <t>Malta -49 pp is the largest in pp terms; Ireland WEM gap -33 pp</t>
        </is>
      </c>
      <c r="H34" s="2" t="inlineStr"/>
    </row>
    <row r="35">
      <c r="A35" s="5" t="inlineStr">
        <is>
          <t>CC-003</t>
        </is>
      </c>
      <c r="B35" s="2" t="inlineStr">
        <is>
          <t>CC-003:31</t>
        </is>
      </c>
      <c r="C35" s="2" t="inlineStr">
        <is>
          <t>EU-27: ESR target 2030 vs 2005</t>
        </is>
      </c>
      <c r="D35" s="2" t="inlineStr">
        <is>
          <t>-40</t>
        </is>
      </c>
      <c r="E35" s="2" t="inlineStr">
        <is>
          <t>%</t>
        </is>
      </c>
      <c r="F35" s="2" t="inlineStr">
        <is>
          <t>European Commission, Climate Action Progress Report 2025, SWD (capr2025_swd_en.pdf) p.115 (Table 25)</t>
        </is>
      </c>
      <c r="G35" s="2" t="inlineStr"/>
      <c r="H35" s="2" t="inlineStr"/>
    </row>
    <row r="36">
      <c r="A36" s="5" t="inlineStr">
        <is>
          <t>CC-003</t>
        </is>
      </c>
      <c r="B36" s="2" t="inlineStr">
        <is>
          <t>CC-003:32</t>
        </is>
      </c>
      <c r="C36" s="2" t="inlineStr">
        <is>
          <t>EU-27: ESR emissions 2024 vs 2005</t>
        </is>
      </c>
      <c r="D36" s="2" t="inlineStr">
        <is>
          <t>-20</t>
        </is>
      </c>
      <c r="E36" s="2" t="inlineStr">
        <is>
          <t>%</t>
        </is>
      </c>
      <c r="F36" s="2" t="inlineStr">
        <is>
          <t>European Commission, Climate Action Progress Report 2025, SWD (capr2025_swd_en.pdf) p.115 (Table 25)</t>
        </is>
      </c>
      <c r="G36" s="2" t="inlineStr"/>
      <c r="H36" s="2" t="inlineStr"/>
    </row>
    <row r="37">
      <c r="A37" s="5" t="inlineStr">
        <is>
          <t>CC-003</t>
        </is>
      </c>
      <c r="B37" s="2" t="inlineStr">
        <is>
          <t>CC-003:33</t>
        </is>
      </c>
      <c r="C37" s="2" t="inlineStr">
        <is>
          <t>EU-27: ESR projection 2030, existing measures (WEM)</t>
        </is>
      </c>
      <c r="D37" s="2" t="inlineStr">
        <is>
          <t>-31</t>
        </is>
      </c>
      <c r="E37" s="2" t="inlineStr">
        <is>
          <t>%</t>
        </is>
      </c>
      <c r="F37" s="2" t="inlineStr">
        <is>
          <t>European Commission, Climate Action Progress Report 2025, SWD (capr2025_swd_en.pdf) p.115 (Table 25)</t>
        </is>
      </c>
      <c r="G37" s="2" t="inlineStr">
        <is>
          <t>gap -8 pp</t>
        </is>
      </c>
      <c r="H37" s="2" t="inlineStr"/>
    </row>
    <row r="38">
      <c r="A38" s="5" t="inlineStr">
        <is>
          <t>CC-003</t>
        </is>
      </c>
      <c r="B38" s="2" t="inlineStr">
        <is>
          <t>CC-003:34</t>
        </is>
      </c>
      <c r="C38" s="2" t="inlineStr">
        <is>
          <t>EU-27: ESR projection 2030, additional measures (WAM)</t>
        </is>
      </c>
      <c r="D38" s="2" t="inlineStr">
        <is>
          <t>-38</t>
        </is>
      </c>
      <c r="E38" s="2" t="inlineStr">
        <is>
          <t>%</t>
        </is>
      </c>
      <c r="F38" s="2" t="inlineStr">
        <is>
          <t>European Commission, Climate Action Progress Report 2025, SWD (capr2025_swd_en.pdf) p.115 (Table 25)</t>
        </is>
      </c>
      <c r="G38" s="2" t="inlineStr">
        <is>
          <t>gap -2 pp</t>
        </is>
      </c>
      <c r="H38" s="2" t="inlineStr"/>
    </row>
    <row r="39">
      <c r="A39" s="5" t="inlineStr">
        <is>
          <t>CC-003</t>
        </is>
      </c>
      <c r="B39" s="2" t="inlineStr">
        <is>
          <t>CC-003:35</t>
        </is>
      </c>
      <c r="C39" s="2" t="inlineStr">
        <is>
          <t>Malta: cumulative AEA balance 2030</t>
        </is>
      </c>
      <c r="D39" s="2" t="inlineStr">
        <is>
          <t>-2.1</t>
        </is>
      </c>
      <c r="E39" s="2" t="inlineStr">
        <is>
          <t>Mt CO2e</t>
        </is>
      </c>
      <c r="F39" s="2" t="inlineStr">
        <is>
          <t>European Commission, Climate Action Progress Report 2025, SWD (capr2025_swd_en.pdf) p.125</t>
        </is>
      </c>
      <c r="G39" s="2" t="inlineStr">
        <is>
          <t>negative = shortfall before flexibilities</t>
        </is>
      </c>
      <c r="H39" s="2" t="inlineStr"/>
    </row>
    <row r="40">
      <c r="A40" s="5" t="inlineStr">
        <is>
          <t>CC-003</t>
        </is>
      </c>
      <c r="B40" s="2" t="inlineStr">
        <is>
          <t>CC-003:36</t>
        </is>
      </c>
      <c r="C40" s="2" t="inlineStr">
        <is>
          <t>Malta: ESR distance to target 2030</t>
        </is>
      </c>
      <c r="D40" s="2" t="inlineStr">
        <is>
          <t>-0.5</t>
        </is>
      </c>
      <c r="E40" s="2" t="inlineStr">
        <is>
          <t>Mt CO2e</t>
        </is>
      </c>
      <c r="F40" s="2" t="inlineStr">
        <is>
          <t>European Commission, Climate Action Progress Report 2025, SWD (capr2025_swd_en.pdf) p.125 (Table 26)</t>
        </is>
      </c>
      <c r="G40" s="2" t="inlineStr">
        <is>
          <t>baseline 2005: 1.0 Mt</t>
        </is>
      </c>
      <c r="H40" s="2" t="inlineStr"/>
    </row>
    <row r="41">
      <c r="A41" s="5" t="inlineStr">
        <is>
          <t>CC-003</t>
        </is>
      </c>
      <c r="B41" s="2" t="inlineStr">
        <is>
          <t>CC-003:37</t>
        </is>
      </c>
      <c r="C41" s="2" t="inlineStr">
        <is>
          <t>Germany: ESR distance to target 2030</t>
        </is>
      </c>
      <c r="D41" s="2" t="inlineStr">
        <is>
          <t>-64.0</t>
        </is>
      </c>
      <c r="E41" s="2" t="inlineStr">
        <is>
          <t>Mt CO2e</t>
        </is>
      </c>
      <c r="F41" s="2" t="inlineStr">
        <is>
          <t>European Commission, Climate Action Progress Report 2025, SWD (capr2025_swd_en.pdf) p.118 (Table 26)</t>
        </is>
      </c>
      <c r="G41" s="2" t="inlineStr">
        <is>
          <t>baseline 2005: 484.7 Mt; gap -14 pp (WEM) / -13 pp (WAM): smaller than Malta's in pp, larger in tonnes</t>
        </is>
      </c>
      <c r="H41" s="2" t="inlineStr"/>
    </row>
    <row r="42">
      <c r="A42" s="5" t="inlineStr">
        <is>
          <t>CC-003</t>
        </is>
      </c>
      <c r="B42" s="2" t="inlineStr">
        <is>
          <t>CC-003:38</t>
        </is>
      </c>
      <c r="C42" s="2" t="inlineStr">
        <is>
          <t>Malta: EU-27 rank on per-person GHG cut 2005-2024 (1 = largest cut)</t>
        </is>
      </c>
      <c r="D42" s="2" t="inlineStr">
        <is>
          <t>3</t>
        </is>
      </c>
      <c r="E42" s="2" t="inlineStr">
        <is>
          <t>of 27</t>
        </is>
      </c>
      <c r="F42" s="2" t="inlineStr">
        <is>
          <t>Eurostat env_air_gge (TOTX4_MEMO) and nama_10_pe (POP_NC), all EU-27, retrieved 5 Oct 2026</t>
        </is>
      </c>
      <c r="G42" s="2" t="inlineStr">
        <is>
          <t>Malta -48.5%; ahead: LU -60.4%, DK -51.3%</t>
        </is>
      </c>
      <c r="H42" s="2" t="inlineStr"/>
    </row>
    <row r="43">
      <c r="A43" s="5" t="inlineStr">
        <is>
          <t>CC-003</t>
        </is>
      </c>
      <c r="B43" s="2" t="inlineStr">
        <is>
          <t>CC-003:39</t>
        </is>
      </c>
      <c r="C43" s="2" t="inlineStr">
        <is>
          <t>Malta: EU-27 rank on total GHG cut 2005-2024 (1 = largest cut)</t>
        </is>
      </c>
      <c r="D43" s="2" t="inlineStr">
        <is>
          <t>20</t>
        </is>
      </c>
      <c r="E43" s="2" t="inlineStr">
        <is>
          <t>of 27</t>
        </is>
      </c>
      <c r="F43" s="2" t="inlineStr">
        <is>
          <t>Eurostat env_air_gge (TOTX4_MEMO) and nama_10_pe (POP_NC), all EU-27, retrieved 5 Oct 2026</t>
        </is>
      </c>
      <c r="G43" s="2" t="inlineStr">
        <is>
          <t>Malta -27.4%; largest: EE -46.6%, EL -46.4%, DK -46.3%</t>
        </is>
      </c>
      <c r="H43" s="2" t="inlineStr"/>
    </row>
    <row r="44">
      <c r="A44" s="5" t="inlineStr">
        <is>
          <t>CC-003</t>
        </is>
      </c>
      <c r="B44" s="2" t="inlineStr">
        <is>
          <t>CC-003:40</t>
        </is>
      </c>
      <c r="C44" s="2" t="inlineStr">
        <is>
          <t>Malta: EU-27 rank on population growth 2005-2024</t>
        </is>
      </c>
      <c r="D44" s="2" t="inlineStr">
        <is>
          <t>2</t>
        </is>
      </c>
      <c r="E44" s="2" t="inlineStr">
        <is>
          <t>of 27</t>
        </is>
      </c>
      <c r="F44" s="2" t="inlineStr">
        <is>
          <t>Eurostat env_air_gge (TOTX4_MEMO) and nama_10_pe (POP_NC), all EU-27, retrieved 5 Oct 2026</t>
        </is>
      </c>
      <c r="G44" s="2" t="inlineStr">
        <is>
          <t>Malta +40.9%; first: LU +45.7%; 2024 population provisional (flag p) for BE, CY, DE, EL, ES, FR, HR, NL</t>
        </is>
      </c>
      <c r="H44" s="2" t="inlineStr"/>
    </row>
    <row r="45">
      <c r="A45" s="5" t="inlineStr">
        <is>
          <t>CC-003</t>
        </is>
      </c>
      <c r="B45" s="2" t="inlineStr">
        <is>
          <t>CC-003:41</t>
        </is>
      </c>
      <c r="C45" s="2" t="inlineStr">
        <is>
          <t>Largest falls in EU-27 rank from per-person cut to total cut, 2005-2024</t>
        </is>
      </c>
      <c r="D45" s="2" t="inlineStr">
        <is>
          <t>MT 17, IE 12, CY 7</t>
        </is>
      </c>
      <c r="E45" s="2" t="inlineStr">
        <is>
          <t>places</t>
        </is>
      </c>
      <c r="F45" s="2" t="inlineStr">
        <is>
          <t>Eurostat env_air_gge (TOTX4_MEMO) and nama_10_pe (POP_NC), all EU-27, retrieved 5 Oct 2026</t>
        </is>
      </c>
      <c r="G45" s="2" t="inlineStr"/>
      <c r="H45" s="2" t="inlineStr"/>
    </row>
    <row r="46">
      <c r="A46" s="5" t="inlineStr">
        <is>
          <t>CC-003</t>
        </is>
      </c>
      <c r="B46" s="2" t="inlineStr">
        <is>
          <t>CC-003:42</t>
        </is>
      </c>
      <c r="C46" s="2" t="inlineStr">
        <is>
          <t>LU: per-person and total GHG change 2005-2024, rank</t>
        </is>
      </c>
      <c r="D46" s="2" t="inlineStr">
        <is>
          <t>-60.4 / -42.4</t>
        </is>
      </c>
      <c r="E46" s="2" t="inlineStr">
        <is>
          <t>%</t>
        </is>
      </c>
      <c r="F46" s="2" t="inlineStr">
        <is>
          <t>Eurostat env_air_gge (TOTX4_MEMO) and nama_10_pe (POP_NC), all EU-27, retrieved 5 Oct 2026</t>
        </is>
      </c>
      <c r="G46" s="2" t="inlineStr">
        <is>
          <t>ranks 1 and 5 of 27; population +45.7%</t>
        </is>
      </c>
      <c r="H46" s="2" t="inlineStr"/>
    </row>
    <row r="47">
      <c r="A47" s="5" t="inlineStr">
        <is>
          <t>CC-003</t>
        </is>
      </c>
      <c r="B47" s="2" t="inlineStr">
        <is>
          <t>CC-003:43</t>
        </is>
      </c>
      <c r="C47" s="2" t="inlineStr">
        <is>
          <t>IE: per-person and total GHG change 2005-2024, rank</t>
        </is>
      </c>
      <c r="D47" s="2" t="inlineStr">
        <is>
          <t>-40.6 / -23.1</t>
        </is>
      </c>
      <c r="E47" s="2" t="inlineStr">
        <is>
          <t>%</t>
        </is>
      </c>
      <c r="F47" s="2" t="inlineStr">
        <is>
          <t>Eurostat env_air_gge (TOTX4_MEMO) and nama_10_pe (POP_NC), all EU-27, retrieved 5 Oct 2026</t>
        </is>
      </c>
      <c r="G47" s="2" t="inlineStr">
        <is>
          <t>ranks 10 and 22 of 27; population +29.4%</t>
        </is>
      </c>
      <c r="H47" s="2" t="inlineStr"/>
    </row>
    <row r="48">
      <c r="A48" s="5" t="inlineStr">
        <is>
          <t>CC-003</t>
        </is>
      </c>
      <c r="B48" s="2" t="inlineStr">
        <is>
          <t>CC-003:44</t>
        </is>
      </c>
      <c r="C48" s="2" t="inlineStr">
        <is>
          <t>CY: per-person and total GHG change 2005-2024, rank</t>
        </is>
      </c>
      <c r="D48" s="2" t="inlineStr">
        <is>
          <t>-27.5 / -4.3</t>
        </is>
      </c>
      <c r="E48" s="2" t="inlineStr">
        <is>
          <t>%</t>
        </is>
      </c>
      <c r="F48" s="2" t="inlineStr">
        <is>
          <t>Eurostat env_air_gge (TOTX4_MEMO) and nama_10_pe (POP_NC), all EU-27, retrieved 5 Oct 2026</t>
        </is>
      </c>
      <c r="G48" s="2" t="inlineStr">
        <is>
          <t>ranks 20 and 27 of 27; population +32.0%</t>
        </is>
      </c>
      <c r="H48" s="2" t="inlineStr"/>
    </row>
    <row r="49">
      <c r="A49" s="5" t="inlineStr">
        <is>
          <t>CC-003</t>
        </is>
      </c>
      <c r="B49" s="2" t="inlineStr">
        <is>
          <t>CC-003:45</t>
        </is>
      </c>
      <c r="C49" s="2" t="inlineStr">
        <is>
          <t>Malta: ESR emissions vs yearly limit 2021</t>
        </is>
      </c>
      <c r="D49" s="2" t="inlineStr">
        <is>
          <t>+30 vs +102</t>
        </is>
      </c>
      <c r="E49" s="2" t="inlineStr">
        <is>
          <t>% vs 2005</t>
        </is>
      </c>
      <c r="F49" s="2" t="inlineStr">
        <is>
          <t>European Commission, Climate Action Progress Report 2025, SWD (capr2025_swd_en.pdf) p.114 (Table 25)</t>
        </is>
      </c>
      <c r="G49" s="2" t="inlineStr">
        <is>
          <t>73 points under the limit (Table 25)</t>
        </is>
      </c>
      <c r="H49" s="2" t="inlineStr"/>
    </row>
    <row r="50">
      <c r="A50" s="5" t="inlineStr">
        <is>
          <t>CC-003</t>
        </is>
      </c>
      <c r="B50" s="2" t="inlineStr">
        <is>
          <t>CC-003:46</t>
        </is>
      </c>
      <c r="C50" s="2" t="inlineStr">
        <is>
          <t>Malta: ESR emissions vs yearly limit 2022</t>
        </is>
      </c>
      <c r="D50" s="2" t="inlineStr">
        <is>
          <t>+43 vs +21</t>
        </is>
      </c>
      <c r="E50" s="2" t="inlineStr">
        <is>
          <t>% vs 2005</t>
        </is>
      </c>
      <c r="F50" s="2" t="inlineStr">
        <is>
          <t>European Commission, Climate Action Progress Report 2025, SWD (capr2025_swd_en.pdf) p.114 (Table 25)</t>
        </is>
      </c>
      <c r="G50" s="2" t="inlineStr">
        <is>
          <t>22 points over the limit (Table 25)</t>
        </is>
      </c>
      <c r="H50" s="2" t="inlineStr"/>
    </row>
    <row r="51">
      <c r="A51" s="5" t="inlineStr">
        <is>
          <t>CC-003</t>
        </is>
      </c>
      <c r="B51" s="2" t="inlineStr">
        <is>
          <t>CC-003:47</t>
        </is>
      </c>
      <c r="C51" s="2" t="inlineStr">
        <is>
          <t>Malta: ESR emissions vs yearly limit 2023</t>
        </is>
      </c>
      <c r="D51" s="2" t="inlineStr">
        <is>
          <t>+42 vs +16</t>
        </is>
      </c>
      <c r="E51" s="2" t="inlineStr">
        <is>
          <t>% vs 2005</t>
        </is>
      </c>
      <c r="F51" s="2" t="inlineStr">
        <is>
          <t>European Commission, Climate Action Progress Report 2025, SWD (capr2025_swd_en.pdf) p.114 (Table 25)</t>
        </is>
      </c>
      <c r="G51" s="2" t="inlineStr">
        <is>
          <t>25 points over the limit (Table 25)</t>
        </is>
      </c>
      <c r="H51" s="2" t="inlineStr"/>
    </row>
    <row r="52">
      <c r="A52" s="5" t="inlineStr">
        <is>
          <t>CC-003</t>
        </is>
      </c>
      <c r="B52" s="2" t="inlineStr">
        <is>
          <t>CC-003:48</t>
        </is>
      </c>
      <c r="C52" s="2" t="inlineStr">
        <is>
          <t>Malta: ESR emissions vs yearly limit 2024</t>
        </is>
      </c>
      <c r="D52" s="2" t="inlineStr">
        <is>
          <t>+41 vs +11</t>
        </is>
      </c>
      <c r="E52" s="2" t="inlineStr">
        <is>
          <t>% vs 2005</t>
        </is>
      </c>
      <c r="F52" s="2" t="inlineStr">
        <is>
          <t>European Commission, Climate Action Progress Report 2025, SWD (capr2025_swd_en.pdf) p.114 (Table 25)</t>
        </is>
      </c>
      <c r="G52" s="2" t="inlineStr">
        <is>
          <t>30 points over the limit (Table 25)</t>
        </is>
      </c>
      <c r="H52" s="2" t="inlineStr"/>
    </row>
    <row r="53">
      <c r="A53" s="5" t="inlineStr">
        <is>
          <t>CC-003</t>
        </is>
      </c>
      <c r="B53" s="2" t="inlineStr">
        <is>
          <t>CC-003:49</t>
        </is>
      </c>
      <c r="C53" s="2" t="inlineStr">
        <is>
          <t>Malta: cumulative AEA balance 2021 -&gt; 2024</t>
        </is>
      </c>
      <c r="D53" s="2" t="inlineStr">
        <is>
          <t>0.7 -&gt; 0.0</t>
        </is>
      </c>
      <c r="E53" s="2" t="inlineStr">
        <is>
          <t>Mt CO2e</t>
        </is>
      </c>
      <c r="F53" s="2" t="inlineStr">
        <is>
          <t>European Commission, Climate Action Progress Report 2025, SWD (capr2025_swd_en.pdf) p.125 (Table 26)</t>
        </is>
      </c>
      <c r="G53" s="2" t="inlineStr">
        <is>
          <t>2021 surplus (allocation 2.1 Mt vs emissions 1.3 Mt) carried forward; cancellations and transfers not counted</t>
        </is>
      </c>
      <c r="H53" s="2" t="inlineStr"/>
    </row>
    <row r="54">
      <c r="A54" s="5" t="inlineStr">
        <is>
          <t>CC-003</t>
        </is>
      </c>
      <c r="B54" s="2" t="inlineStr">
        <is>
          <t>CC-003:50</t>
        </is>
      </c>
      <c r="C54" s="2" t="inlineStr">
        <is>
          <t>Malta: cumulative AEA balance 2025 (projected)</t>
        </is>
      </c>
      <c r="D54" s="2" t="inlineStr">
        <is>
          <t>-0.4</t>
        </is>
      </c>
      <c r="E54" s="2" t="inlineStr">
        <is>
          <t>Mt CO2e</t>
        </is>
      </c>
      <c r="F54" s="2" t="inlineStr">
        <is>
          <t>European Commission, Climate Action Progress Report 2025, SWD (capr2025_swd_en.pdf) p.125 (Table 26)</t>
        </is>
      </c>
      <c r="G54" s="2" t="inlineStr">
        <is>
          <t>first compliance check in 2027 for 2021-2025 (p.111); ETS flexibility 0.5 Mt for 2021-2030</t>
        </is>
      </c>
      <c r="H54" s="2" t="inlineStr"/>
    </row>
    <row r="55">
      <c r="A55" s="5" t="inlineStr">
        <is>
          <t>CC-003</t>
        </is>
      </c>
      <c r="B55" s="2" t="inlineStr">
        <is>
          <t>CC-003:51</t>
        </is>
      </c>
      <c r="C55" s="2" t="inlineStr">
        <is>
          <t>Malta: ESR proxy 2005 (total minus power generation)</t>
        </is>
      </c>
      <c r="D55" s="2" t="inlineStr">
        <is>
          <t>1.01</t>
        </is>
      </c>
      <c r="E55" s="2" t="inlineStr">
        <is>
          <t>Mt CO2e</t>
        </is>
      </c>
      <c r="F55" s="2" t="inlineStr">
        <is>
          <t>Eurostat env_air_gge (TOTX4_MEMO minus CRF1A1) and nama_10_pe, retrieved 2 Oct 2026; proxy for ESR scope</t>
        </is>
      </c>
      <c r="G55" s="2" t="inlineStr">
        <is>
          <t>Commission 2005 ESR base: 1.0 Mt (Table 26, rounded)</t>
        </is>
      </c>
      <c r="H55" s="2" t="inlineStr"/>
    </row>
    <row r="56">
      <c r="A56" s="5" t="inlineStr">
        <is>
          <t>CC-003</t>
        </is>
      </c>
      <c r="B56" s="2" t="inlineStr">
        <is>
          <t>CC-003:52</t>
        </is>
      </c>
      <c r="C56" s="2" t="inlineStr">
        <is>
          <t>Malta: ESR proxy change 2005-2021</t>
        </is>
      </c>
      <c r="D56" s="2" t="inlineStr">
        <is>
          <t>30.9</t>
        </is>
      </c>
      <c r="E56" s="2" t="inlineStr">
        <is>
          <t>%</t>
        </is>
      </c>
      <c r="F56" s="2" t="inlineStr">
        <is>
          <t>Eurostat env_air_gge (TOTX4_MEMO minus CRF1A1) and nama_10_pe, retrieved 2 Oct 2026; proxy for ESR scope</t>
        </is>
      </c>
      <c r="G56" s="2" t="inlineStr">
        <is>
          <t>Commission Table 25: +30%</t>
        </is>
      </c>
      <c r="H56" s="2" t="inlineStr"/>
    </row>
    <row r="57">
      <c r="A57" s="5" t="inlineStr">
        <is>
          <t>CC-003</t>
        </is>
      </c>
      <c r="B57" s="2" t="inlineStr">
        <is>
          <t>CC-003:53</t>
        </is>
      </c>
      <c r="C57" s="2" t="inlineStr">
        <is>
          <t>Malta: ESR proxy change 2005-2022</t>
        </is>
      </c>
      <c r="D57" s="2" t="inlineStr">
        <is>
          <t>44.4</t>
        </is>
      </c>
      <c r="E57" s="2" t="inlineStr">
        <is>
          <t>%</t>
        </is>
      </c>
      <c r="F57" s="2" t="inlineStr">
        <is>
          <t>Eurostat env_air_gge (TOTX4_MEMO minus CRF1A1) and nama_10_pe, retrieved 2 Oct 2026; proxy for ESR scope</t>
        </is>
      </c>
      <c r="G57" s="2" t="inlineStr">
        <is>
          <t>Commission Table 25: +43%</t>
        </is>
      </c>
      <c r="H57" s="2" t="inlineStr"/>
    </row>
    <row r="58">
      <c r="A58" s="5" t="inlineStr">
        <is>
          <t>CC-003</t>
        </is>
      </c>
      <c r="B58" s="2" t="inlineStr">
        <is>
          <t>CC-003:54</t>
        </is>
      </c>
      <c r="C58" s="2" t="inlineStr">
        <is>
          <t>Malta: ESR proxy change 2005-2023</t>
        </is>
      </c>
      <c r="D58" s="2" t="inlineStr">
        <is>
          <t>39.4</t>
        </is>
      </c>
      <c r="E58" s="2" t="inlineStr">
        <is>
          <t>%</t>
        </is>
      </c>
      <c r="F58" s="2" t="inlineStr">
        <is>
          <t>Eurostat env_air_gge (TOTX4_MEMO minus CRF1A1) and nama_10_pe, retrieved 2 Oct 2026; proxy for ESR scope</t>
        </is>
      </c>
      <c r="G58" s="2" t="inlineStr">
        <is>
          <t>Commission Table 25: +42%</t>
        </is>
      </c>
      <c r="H58" s="2" t="inlineStr"/>
    </row>
    <row r="59">
      <c r="A59" s="5" t="inlineStr">
        <is>
          <t>CC-003</t>
        </is>
      </c>
      <c r="B59" s="2" t="inlineStr">
        <is>
          <t>CC-003:55</t>
        </is>
      </c>
      <c r="C59" s="2" t="inlineStr">
        <is>
          <t>Malta: ESR proxy change 2005-2024</t>
        </is>
      </c>
      <c r="D59" s="2" t="inlineStr">
        <is>
          <t>41.9</t>
        </is>
      </c>
      <c r="E59" s="2" t="inlineStr">
        <is>
          <t>%</t>
        </is>
      </c>
      <c r="F59" s="2" t="inlineStr">
        <is>
          <t>Eurostat env_air_gge (TOTX4_MEMO minus CRF1A1) and nama_10_pe, retrieved 2 Oct 2026; proxy for ESR scope</t>
        </is>
      </c>
      <c r="G59" s="2" t="inlineStr">
        <is>
          <t>Commission Table 25: +41%</t>
        </is>
      </c>
      <c r="H59" s="2" t="inlineStr"/>
    </row>
    <row r="60">
      <c r="A60" s="5" t="inlineStr">
        <is>
          <t>CC-003</t>
        </is>
      </c>
      <c r="B60" s="2" t="inlineStr">
        <is>
          <t>CC-003:56</t>
        </is>
      </c>
      <c r="C60" s="2" t="inlineStr">
        <is>
          <t>Malta: ESR proxy per person 2005</t>
        </is>
      </c>
      <c r="D60" s="2" t="inlineStr">
        <is>
          <t>2.50</t>
        </is>
      </c>
      <c r="E60" s="2" t="inlineStr">
        <is>
          <t>t CO2e</t>
        </is>
      </c>
      <c r="F60" s="2" t="inlineStr">
        <is>
          <t>Eurostat env_air_gge (TOTX4_MEMO minus CRF1A1) and nama_10_pe, retrieved 2 Oct 2026; proxy for ESR scope</t>
        </is>
      </c>
      <c r="G60" s="2" t="inlineStr">
        <is>
          <t>1.010 Mt / 403.9 thousand people</t>
        </is>
      </c>
      <c r="H60" s="2" t="inlineStr"/>
    </row>
    <row r="61">
      <c r="A61" s="5" t="inlineStr">
        <is>
          <t>CC-003</t>
        </is>
      </c>
      <c r="B61" s="2" t="inlineStr">
        <is>
          <t>CC-003:57</t>
        </is>
      </c>
      <c r="C61" s="2" t="inlineStr">
        <is>
          <t>Malta: ESR proxy per person 2024</t>
        </is>
      </c>
      <c r="D61" s="2" t="inlineStr">
        <is>
          <t>2.52</t>
        </is>
      </c>
      <c r="E61" s="2" t="inlineStr">
        <is>
          <t>t CO2e</t>
        </is>
      </c>
      <c r="F61" s="2" t="inlineStr">
        <is>
          <t>Eurostat env_air_gge (TOTX4_MEMO minus CRF1A1) and nama_10_pe, retrieved 2 Oct 2026; proxy for ESR scope</t>
        </is>
      </c>
      <c r="G61" s="2" t="inlineStr">
        <is>
          <t>1.433 Mt / 569.2 thousand people</t>
        </is>
      </c>
      <c r="H61" s="2" t="inlineStr"/>
    </row>
    <row r="62">
      <c r="A62" s="5" t="inlineStr">
        <is>
          <t>CC-003</t>
        </is>
      </c>
      <c r="B62" s="2" t="inlineStr">
        <is>
          <t>CC-003:58</t>
        </is>
      </c>
      <c r="C62" s="2" t="inlineStr">
        <is>
          <t>EU-27: ESR emissions per person, change 2005-2024</t>
        </is>
      </c>
      <c r="D62" s="2" t="inlineStr">
        <is>
          <t>-23.0</t>
        </is>
      </c>
      <c r="E62" s="2" t="inlineStr">
        <is>
          <t>%</t>
        </is>
      </c>
      <c r="F62" s="2" t="inlineStr">
        <is>
          <t>European Commission, Climate Action Progress Report 2025, SWD (capr2025_swd_en.pdf) p.115 (Table 25) and Eurostat nama_10_pe</t>
        </is>
      </c>
      <c r="G62" s="2" t="inlineStr">
        <is>
          <t>Commission EU-27 ESR -20% divided by population growth</t>
        </is>
      </c>
      <c r="H62" s="2" t="inlineStr"/>
    </row>
    <row r="63">
      <c r="A63" s="5" t="inlineStr">
        <is>
          <t>CC-003</t>
        </is>
      </c>
      <c r="B63" s="2" t="inlineStr">
        <is>
          <t>CC-003:59</t>
        </is>
      </c>
      <c r="C63" s="2" t="inlineStr">
        <is>
          <t>Malta: renewables, gross final energy 2024</t>
        </is>
      </c>
      <c r="D63" s="2" t="inlineStr">
        <is>
          <t>17.21</t>
        </is>
      </c>
      <c r="E63" s="2" t="inlineStr">
        <is>
          <t>%</t>
        </is>
      </c>
      <c r="F63" s="2" t="inlineStr">
        <is>
          <t>Eurostat nrg_ind_ren, retrieved 2 Oct 2026</t>
        </is>
      </c>
      <c r="G63" s="2" t="inlineStr">
        <is>
          <t>EU-27: 25.241%</t>
        </is>
      </c>
      <c r="H63" s="2" t="inlineStr"/>
    </row>
    <row r="64">
      <c r="A64" s="5" t="inlineStr">
        <is>
          <t>CC-003</t>
        </is>
      </c>
      <c r="B64" s="2" t="inlineStr">
        <is>
          <t>CC-003:60</t>
        </is>
      </c>
      <c r="C64" s="2" t="inlineStr">
        <is>
          <t>Malta: renewables, electricity 2024</t>
        </is>
      </c>
      <c r="D64" s="2" t="inlineStr">
        <is>
          <t>10.655</t>
        </is>
      </c>
      <c r="E64" s="2" t="inlineStr">
        <is>
          <t>%</t>
        </is>
      </c>
      <c r="F64" s="2" t="inlineStr">
        <is>
          <t>Eurostat nrg_ind_ren, retrieved 2 Oct 2026</t>
        </is>
      </c>
      <c r="G64" s="2" t="inlineStr">
        <is>
          <t>EU-27: 47.503%</t>
        </is>
      </c>
      <c r="H64" s="2" t="inlineStr"/>
    </row>
    <row r="65">
      <c r="A65" s="5" t="inlineStr">
        <is>
          <t>CC-004</t>
        </is>
      </c>
      <c r="B65" s="2" t="inlineStr">
        <is>
          <t>CC-004:2</t>
        </is>
      </c>
      <c r="C65" s="2" t="inlineStr">
        <is>
          <t>Malta municipal recycling rate 2019</t>
        </is>
      </c>
      <c r="D65" s="2" t="inlineStr">
        <is>
          <t>9.1</t>
        </is>
      </c>
      <c r="E65" s="2" t="inlineStr">
        <is>
          <t>%</t>
        </is>
      </c>
      <c r="F65" s="2" t="inlineStr">
        <is>
          <t>Eurostat, retrieved 2 Oct 2026 cei_wm011</t>
        </is>
      </c>
      <c r="G65" s="2" t="inlineStr">
        <is>
          <t>EU-27: 47.2%</t>
        </is>
      </c>
      <c r="H65" s="2" t="inlineStr"/>
    </row>
    <row r="66">
      <c r="A66" s="5" t="inlineStr">
        <is>
          <t>CC-004</t>
        </is>
      </c>
      <c r="B66" s="2" t="inlineStr">
        <is>
          <t>CC-004:3</t>
        </is>
      </c>
      <c r="C66" s="2" t="inlineStr">
        <is>
          <t>Malta municipal recycling rate 2020</t>
        </is>
      </c>
      <c r="D66" s="2" t="inlineStr">
        <is>
          <t>10.9</t>
        </is>
      </c>
      <c r="E66" s="2" t="inlineStr">
        <is>
          <t>%</t>
        </is>
      </c>
      <c r="F66" s="2" t="inlineStr">
        <is>
          <t>Eurostat, retrieved 2 Oct 2026 cei_wm011</t>
        </is>
      </c>
      <c r="G66" s="2" t="inlineStr">
        <is>
          <t>EU-27: 48.5%</t>
        </is>
      </c>
      <c r="H66" s="2" t="inlineStr"/>
    </row>
    <row r="67">
      <c r="A67" s="5" t="inlineStr">
        <is>
          <t>CC-004</t>
        </is>
      </c>
      <c r="B67" s="2" t="inlineStr">
        <is>
          <t>CC-004:4</t>
        </is>
      </c>
      <c r="C67" s="2" t="inlineStr">
        <is>
          <t>Malta municipal recycling rate 2024</t>
        </is>
      </c>
      <c r="D67" s="2" t="inlineStr">
        <is>
          <t>16.7</t>
        </is>
      </c>
      <c r="E67" s="2" t="inlineStr">
        <is>
          <t>%</t>
        </is>
      </c>
      <c r="F67" s="2" t="inlineStr">
        <is>
          <t>Eurostat, retrieved 2 Oct 2026 cei_wm011</t>
        </is>
      </c>
      <c r="G67" s="2" t="inlineStr">
        <is>
          <t>EU-27: 48.1%</t>
        </is>
      </c>
      <c r="H67" s="2" t="inlineStr"/>
    </row>
    <row r="68">
      <c r="A68" s="5" t="inlineStr">
        <is>
          <t>CC-004</t>
        </is>
      </c>
      <c r="B68" s="2" t="inlineStr">
        <is>
          <t>CC-004:5</t>
        </is>
      </c>
      <c r="C68" s="2" t="inlineStr">
        <is>
          <t>Gap to 2020 target (50%) in 2020</t>
        </is>
      </c>
      <c r="D68" s="2" t="inlineStr">
        <is>
          <t>-39.1</t>
        </is>
      </c>
      <c r="E68" s="2" t="inlineStr">
        <is>
          <t>pp</t>
        </is>
      </c>
      <c r="F68" s="2" t="inlineStr">
        <is>
          <t>calculated; Directive 2008/98/EC Art 11(2)(a)</t>
        </is>
      </c>
      <c r="G68" s="2" t="inlineStr"/>
      <c r="H68" s="2" t="inlineStr"/>
    </row>
    <row r="69">
      <c r="A69" s="5" t="inlineStr">
        <is>
          <t>CC-004</t>
        </is>
      </c>
      <c r="B69" s="2" t="inlineStr">
        <is>
          <t>CC-004:6</t>
        </is>
      </c>
      <c r="C69" s="2" t="inlineStr">
        <is>
          <t>Gap to 2025 target (55%) in 2024</t>
        </is>
      </c>
      <c r="D69" s="2" t="inlineStr">
        <is>
          <t>-38.3</t>
        </is>
      </c>
      <c r="E69" s="2" t="inlineStr">
        <is>
          <t>pp</t>
        </is>
      </c>
      <c r="F69" s="2" t="inlineStr">
        <is>
          <t>calculated; Directive (EU) 2018/851 Art 11(2)(c)</t>
        </is>
      </c>
      <c r="G69" s="2" t="inlineStr"/>
      <c r="H69" s="2" t="inlineStr"/>
    </row>
    <row r="70">
      <c r="A70" s="5" t="inlineStr">
        <is>
          <t>CC-004</t>
        </is>
      </c>
      <c r="B70" s="2" t="inlineStr">
        <is>
          <t>CC-004:7</t>
        </is>
      </c>
      <c r="C70" s="2" t="inlineStr">
        <is>
          <t>Average gain in recycling rate per year, 2019-2024</t>
        </is>
      </c>
      <c r="D70" s="2" t="inlineStr">
        <is>
          <t>1.52</t>
        </is>
      </c>
      <c r="E70" s="2" t="inlineStr">
        <is>
          <t>pp/yr</t>
        </is>
      </c>
      <c r="F70" s="2" t="inlineStr">
        <is>
          <t>calculated</t>
        </is>
      </c>
      <c r="G70" s="2" t="inlineStr"/>
      <c r="H70" s="2" t="inlineStr"/>
    </row>
    <row r="71">
      <c r="A71" s="5" t="inlineStr">
        <is>
          <t>CC-004</t>
        </is>
      </c>
      <c r="B71" s="2" t="inlineStr">
        <is>
          <t>CC-004:8</t>
        </is>
      </c>
      <c r="C71" s="2" t="inlineStr">
        <is>
          <t>Years to reach 55% at 2019-2024 pace</t>
        </is>
      </c>
      <c r="D71" s="2" t="inlineStr">
        <is>
          <t>25.0</t>
        </is>
      </c>
      <c r="E71" s="2" t="inlineStr">
        <is>
          <t>years</t>
        </is>
      </c>
      <c r="F71" s="2" t="inlineStr">
        <is>
          <t>calculated</t>
        </is>
      </c>
      <c r="G71" s="2" t="inlineStr">
        <is>
          <t>linear extrapolation, illustrative only</t>
        </is>
      </c>
      <c r="H71" s="2" t="inlineStr"/>
    </row>
    <row r="72">
      <c r="A72" s="5" t="inlineStr">
        <is>
          <t>CC-004</t>
        </is>
      </c>
      <c r="B72" s="2" t="inlineStr">
        <is>
          <t>CC-004:9</t>
        </is>
      </c>
      <c r="C72" s="2" t="inlineStr">
        <is>
          <t>Share of treated municipal waste landfilled 2024</t>
        </is>
      </c>
      <c r="D72" s="2" t="inlineStr">
        <is>
          <t>79.2</t>
        </is>
      </c>
      <c r="E72" s="2" t="inlineStr">
        <is>
          <t>%</t>
        </is>
      </c>
      <c r="F72" s="2" t="inlineStr">
        <is>
          <t>Eurostat, retrieved 2 Oct 2026 env_wasmun</t>
        </is>
      </c>
      <c r="G72" s="2" t="inlineStr">
        <is>
          <t>NSO reports 79.2% for 2024</t>
        </is>
      </c>
      <c r="H72" s="2" t="inlineStr"/>
    </row>
    <row r="73">
      <c r="A73" s="5" t="inlineStr">
        <is>
          <t>CC-004</t>
        </is>
      </c>
      <c r="B73" s="2" t="inlineStr">
        <is>
          <t>CC-004:10</t>
        </is>
      </c>
      <c r="C73" s="2" t="inlineStr">
        <is>
          <t>Municipal waste landfilled change 2019-2024</t>
        </is>
      </c>
      <c r="D73" s="2" t="inlineStr">
        <is>
          <t>-20.6</t>
        </is>
      </c>
      <c r="E73" s="2" t="inlineStr">
        <is>
          <t>%</t>
        </is>
      </c>
      <c r="F73" s="2" t="inlineStr">
        <is>
          <t>Eurostat, retrieved 2 Oct 2026</t>
        </is>
      </c>
      <c r="G73" s="2" t="inlineStr">
        <is>
          <t>321 -&gt; 255 thousand t</t>
        </is>
      </c>
      <c r="H73" s="2" t="inlineStr"/>
    </row>
    <row r="74">
      <c r="A74" s="5" t="inlineStr">
        <is>
          <t>CC-004</t>
        </is>
      </c>
      <c r="B74" s="2" t="inlineStr">
        <is>
          <t>CC-004:11</t>
        </is>
      </c>
      <c r="C74" s="2" t="inlineStr">
        <is>
          <t>Municipal waste generated change 2019-2024</t>
        </is>
      </c>
      <c r="D74" s="2" t="inlineStr">
        <is>
          <t>0.9</t>
        </is>
      </c>
      <c r="E74" s="2" t="inlineStr">
        <is>
          <t>%</t>
        </is>
      </c>
      <c r="F74" s="2" t="inlineStr">
        <is>
          <t>Eurostat, retrieved 2 Oct 2026</t>
        </is>
      </c>
      <c r="G74" s="2" t="inlineStr">
        <is>
          <t>351 -&gt; 354 thousand t</t>
        </is>
      </c>
      <c r="H74" s="2" t="inlineStr"/>
    </row>
    <row r="75">
      <c r="A75" s="5" t="inlineStr">
        <is>
          <t>CC-004</t>
        </is>
      </c>
      <c r="B75" s="2" t="inlineStr">
        <is>
          <t>CC-004:12</t>
        </is>
      </c>
      <c r="C75" s="2" t="inlineStr">
        <is>
          <t>Municipal waste recycled 2020-2024 (sum)</t>
        </is>
      </c>
      <c r="D75" s="2" t="inlineStr">
        <is>
          <t>237.0</t>
        </is>
      </c>
      <c r="E75" s="2" t="inlineStr">
        <is>
          <t>thousand t</t>
        </is>
      </c>
      <c r="F75" s="2" t="inlineStr">
        <is>
          <t>Eurostat, retrieved 2 Oct 2026</t>
        </is>
      </c>
      <c r="G75" s="2" t="inlineStr"/>
      <c r="H75" s="2" t="inlineStr"/>
    </row>
    <row r="76">
      <c r="A76" s="5" t="inlineStr">
        <is>
          <t>CC-004</t>
        </is>
      </c>
      <c r="B76" s="2" t="inlineStr">
        <is>
          <t>CC-004:13</t>
        </is>
      </c>
      <c r="C76" s="2" t="inlineStr">
        <is>
          <t>Municipal waste energy-recovered 2020-2024 (sum)</t>
        </is>
      </c>
      <c r="D76" s="2" t="inlineStr">
        <is>
          <t>34.0</t>
        </is>
      </c>
      <c r="E76" s="2" t="inlineStr">
        <is>
          <t>thousand t</t>
        </is>
      </c>
      <c r="F76" s="2" t="inlineStr">
        <is>
          <t>Eurostat, retrieved 2 Oct 2026</t>
        </is>
      </c>
      <c r="G76" s="2" t="inlineStr"/>
      <c r="H76" s="2" t="inlineStr"/>
    </row>
    <row r="77">
      <c r="A77" s="5" t="inlineStr">
        <is>
          <t>CC-004</t>
        </is>
      </c>
      <c r="B77" s="2" t="inlineStr">
        <is>
          <t>CC-004:14</t>
        </is>
      </c>
      <c r="C77" s="2" t="inlineStr">
        <is>
          <t>Ministry: waste diverted from landfill over five years</t>
        </is>
      </c>
      <c r="D77" s="2" t="inlineStr">
        <is>
          <t>412</t>
        </is>
      </c>
      <c r="E77" s="2" t="inlineStr">
        <is>
          <t>thousand t</t>
        </is>
      </c>
      <c r="F77" s="2" t="inlineStr">
        <is>
          <t>Ministry press release PR260072en, 19 Jan 2026</t>
        </is>
      </c>
      <c r="G77" s="2" t="inlineStr">
        <is>
          <t>412 million kg</t>
        </is>
      </c>
      <c r="H77" s="2" t="inlineStr"/>
    </row>
    <row r="78">
      <c r="A78" s="5" t="inlineStr">
        <is>
          <t>CC-004</t>
        </is>
      </c>
      <c r="B78" s="2" t="inlineStr">
        <is>
          <t>CC-004:15</t>
        </is>
      </c>
      <c r="C78" s="2" t="inlineStr">
        <is>
          <t>Ministry figure minus Eurostat recycled + recovered</t>
        </is>
      </c>
      <c r="D78" s="2" t="inlineStr">
        <is>
          <t>141.0</t>
        </is>
      </c>
      <c r="E78" s="2" t="inlineStr">
        <is>
          <t>thousand t</t>
        </is>
      </c>
      <c r="F78" s="2" t="inlineStr">
        <is>
          <t>calculated</t>
        </is>
      </c>
      <c r="G78" s="2" t="inlineStr">
        <is>
          <t>unexplained difference; scope of the 412 figure not stated</t>
        </is>
      </c>
      <c r="H78" s="2" t="inlineStr"/>
    </row>
    <row r="79">
      <c r="A79" s="5" t="inlineStr">
        <is>
          <t>CC-004</t>
        </is>
      </c>
      <c r="B79" s="2" t="inlineStr">
        <is>
          <t>CC-004:16</t>
        </is>
      </c>
      <c r="C79" s="2" t="inlineStr">
        <is>
          <t>Ministry: mixed waste change</t>
        </is>
      </c>
      <c r="D79" s="2" t="inlineStr">
        <is>
          <t>-32.3</t>
        </is>
      </c>
      <c r="E79" s="2" t="inlineStr">
        <is>
          <t>%</t>
        </is>
      </c>
      <c r="F79" s="2" t="inlineStr">
        <is>
          <t>Ministry press release PR260072en, 19 Jan 2026</t>
        </is>
      </c>
      <c r="G79" s="2" t="inlineStr">
        <is>
          <t>141 -&gt; 95.5 million kg; start year not stated</t>
        </is>
      </c>
      <c r="H79" s="2" t="inlineStr"/>
    </row>
    <row r="80">
      <c r="A80" s="5" t="inlineStr">
        <is>
          <t>CC-004</t>
        </is>
      </c>
      <c r="B80" s="2" t="inlineStr">
        <is>
          <t>CC-004:17</t>
        </is>
      </c>
      <c r="C80" s="2" t="inlineStr">
        <is>
          <t>Ministry: organic waste 2025 as share of 2024 municipal generation</t>
        </is>
      </c>
      <c r="D80" s="2" t="inlineStr">
        <is>
          <t>8.5</t>
        </is>
      </c>
      <c r="E80" s="2" t="inlineStr">
        <is>
          <t>%</t>
        </is>
      </c>
      <c r="F80" s="2" t="inlineStr">
        <is>
          <t>calculated</t>
        </is>
      </c>
      <c r="G80" s="2" t="inlineStr">
        <is>
          <t>30 million kg vs Eurostat 2024 generation; years differ, indicative only</t>
        </is>
      </c>
      <c r="H80" s="2" t="inlineStr"/>
    </row>
    <row r="81">
      <c r="A81" s="5" t="inlineStr">
        <is>
          <t>CC-004</t>
        </is>
      </c>
      <c r="B81" s="2" t="inlineStr">
        <is>
          <t>CC-004:18</t>
        </is>
      </c>
      <c r="C81" s="2" t="inlineStr">
        <is>
          <t>Malta packaging recycling rate 2023</t>
        </is>
      </c>
      <c r="D81" s="2" t="inlineStr">
        <is>
          <t>43.4</t>
        </is>
      </c>
      <c r="E81" s="2" t="inlineStr">
        <is>
          <t>%</t>
        </is>
      </c>
      <c r="F81" s="2" t="inlineStr">
        <is>
          <t>Eurostat, retrieved 2 Oct 2026 cei_wm020</t>
        </is>
      </c>
      <c r="G81" s="2" t="inlineStr">
        <is>
          <t>2025 target 65%</t>
        </is>
      </c>
      <c r="H81" s="2" t="inlineStr"/>
    </row>
    <row r="82">
      <c r="A82" s="5" t="inlineStr">
        <is>
          <t>CC-004</t>
        </is>
      </c>
      <c r="B82" s="2" t="inlineStr">
        <is>
          <t>CC-004:19</t>
        </is>
      </c>
      <c r="C82" s="2" t="inlineStr">
        <is>
          <t>Malta recycling-rate change 2019-2024</t>
        </is>
      </c>
      <c r="D82" s="2" t="inlineStr">
        <is>
          <t>7.6</t>
        </is>
      </c>
      <c r="E82" s="2" t="inlineStr">
        <is>
          <t>pp</t>
        </is>
      </c>
      <c r="F82" s="2" t="inlineStr">
        <is>
          <t>Eurostat cei_wm011, retrieved 5 Oct 2026</t>
        </is>
      </c>
      <c r="G82" s="2" t="inlineStr">
        <is>
          <t>9.1% -&gt; 16.7%</t>
        </is>
      </c>
      <c r="H82" s="2" t="inlineStr"/>
    </row>
    <row r="83">
      <c r="A83" s="5" t="inlineStr">
        <is>
          <t>CC-004</t>
        </is>
      </c>
      <c r="B83" s="2" t="inlineStr">
        <is>
          <t>CC-004:20</t>
        </is>
      </c>
      <c r="C83" s="2" t="inlineStr">
        <is>
          <t>Rank of Malta's change among states with 2019 and 2024 data</t>
        </is>
      </c>
      <c r="D83" s="2" t="inlineStr">
        <is>
          <t>4</t>
        </is>
      </c>
      <c r="E83" s="2" t="inlineStr">
        <is>
          <t>of 20</t>
        </is>
      </c>
      <c r="F83" s="2" t="inlineStr">
        <is>
          <t>Eurostat cei_wm011, retrieved 5 Oct 2026</t>
        </is>
      </c>
      <c r="G83" s="2" t="inlineStr">
        <is>
          <t>larger rises: SK +12.2, LV +11.7, LU +8.4; no 2024 value for AT, BG, CZ, EL, IE, IT, RO</t>
        </is>
      </c>
      <c r="H83" s="2" t="inlineStr"/>
    </row>
    <row r="84">
      <c r="A84" s="5" t="inlineStr">
        <is>
          <t>CC-004</t>
        </is>
      </c>
      <c r="B84" s="2" t="inlineStr">
        <is>
          <t>CC-004:21</t>
        </is>
      </c>
      <c r="C84" s="2" t="inlineStr">
        <is>
          <t>Rank of Malta's 2024 rate, lowest first, among states with 2024 data</t>
        </is>
      </c>
      <c r="D84" s="2" t="inlineStr">
        <is>
          <t>2</t>
        </is>
      </c>
      <c r="E84" s="2" t="inlineStr">
        <is>
          <t>of 20</t>
        </is>
      </c>
      <c r="F84" s="2" t="inlineStr">
        <is>
          <t>Eurostat cei_wm011, retrieved 5 Oct 2026</t>
        </is>
      </c>
      <c r="G84" s="2" t="inlineStr">
        <is>
          <t>lowest: CY 15.8%</t>
        </is>
      </c>
      <c r="H84" s="2" t="inlineStr"/>
    </row>
    <row r="85">
      <c r="A85" s="5" t="inlineStr">
        <is>
          <t>CC-004</t>
        </is>
      </c>
      <c r="B85" s="2" t="inlineStr">
        <is>
          <t>CC-004:22</t>
        </is>
      </c>
      <c r="C85" s="2" t="inlineStr">
        <is>
          <t>States at or below Malta's rate on latest available data (2023 or 2024)</t>
        </is>
      </c>
      <c r="D85" s="2" t="inlineStr">
        <is>
          <t>3</t>
        </is>
      </c>
      <c r="E85" s="2" t="inlineStr">
        <is>
          <t>states</t>
        </is>
      </c>
      <c r="F85" s="2" t="inlineStr">
        <is>
          <t>Eurostat cei_wm011, retrieved 5 Oct 2026</t>
        </is>
      </c>
      <c r="G85" s="2" t="inlineStr">
        <is>
          <t>RO 12.4% (2023); CY 15.8% (2024); BG 16.7% (2023)</t>
        </is>
      </c>
      <c r="H85" s="2" t="inlineStr"/>
    </row>
    <row r="86">
      <c r="A86" s="5" t="inlineStr">
        <is>
          <t>CC-004</t>
        </is>
      </c>
      <c r="B86" s="2" t="inlineStr">
        <is>
          <t>CC-004:23</t>
        </is>
      </c>
      <c r="C86" s="2" t="inlineStr">
        <is>
          <t>Malta recycling rate, all packaging, 2022 -&gt; 2023</t>
        </is>
      </c>
      <c r="D86" s="2" t="inlineStr">
        <is>
          <t>12.6</t>
        </is>
      </c>
      <c r="E86" s="2" t="inlineStr">
        <is>
          <t>pp</t>
        </is>
      </c>
      <c r="F86" s="2" t="inlineStr">
        <is>
          <t>Eurostat, retrieved 2 Oct 2026 cei_wm020</t>
        </is>
      </c>
      <c r="G86" s="2" t="inlineStr">
        <is>
          <t>30.8% -&gt; 43.4%; link to the deposit refund scheme is our inference</t>
        </is>
      </c>
      <c r="H86" s="2" t="inlineStr"/>
    </row>
    <row r="87">
      <c r="A87" s="5" t="inlineStr">
        <is>
          <t>CC-004</t>
        </is>
      </c>
      <c r="B87" s="2" t="inlineStr">
        <is>
          <t>CC-004:24</t>
        </is>
      </c>
      <c r="C87" s="2" t="inlineStr">
        <is>
          <t>Malta recycling rate, plastic packaging, 2022 -&gt; 2023</t>
        </is>
      </c>
      <c r="D87" s="2" t="inlineStr">
        <is>
          <t>18.1</t>
        </is>
      </c>
      <c r="E87" s="2" t="inlineStr">
        <is>
          <t>pp</t>
        </is>
      </c>
      <c r="F87" s="2" t="inlineStr">
        <is>
          <t>Eurostat, retrieved 2 Oct 2026 cei_wm020</t>
        </is>
      </c>
      <c r="G87" s="2" t="inlineStr">
        <is>
          <t>13.8% -&gt; 31.9%; link to the deposit refund scheme is our inference</t>
        </is>
      </c>
      <c r="H87" s="2" t="inlineStr"/>
    </row>
    <row r="88">
      <c r="A88" s="5" t="inlineStr">
        <is>
          <t>CC-004</t>
        </is>
      </c>
      <c r="B88" s="2" t="inlineStr">
        <is>
          <t>CC-004:25</t>
        </is>
      </c>
      <c r="C88" s="2" t="inlineStr">
        <is>
          <t>Malta recycling rate, glass packaging, 2022 -&gt; 2023</t>
        </is>
      </c>
      <c r="D88" s="2" t="inlineStr">
        <is>
          <t>21.9</t>
        </is>
      </c>
      <c r="E88" s="2" t="inlineStr">
        <is>
          <t>pp</t>
        </is>
      </c>
      <c r="F88" s="2" t="inlineStr">
        <is>
          <t>Eurostat, retrieved 2 Oct 2026 cei_wm020</t>
        </is>
      </c>
      <c r="G88" s="2" t="inlineStr">
        <is>
          <t>43.3% -&gt; 65.2%; link to the deposit refund scheme is our inference</t>
        </is>
      </c>
      <c r="H88" s="2" t="inlineStr"/>
    </row>
    <row r="89">
      <c r="A89" s="5" t="inlineStr">
        <is>
          <t>CC-004</t>
        </is>
      </c>
      <c r="B89" s="2" t="inlineStr">
        <is>
          <t>CC-004:26</t>
        </is>
      </c>
      <c r="C89" s="2" t="inlineStr">
        <is>
          <t>Gap to the 2025 packaging target (65%) in 2023</t>
        </is>
      </c>
      <c r="D89" s="2" t="inlineStr">
        <is>
          <t>-21.6</t>
        </is>
      </c>
      <c r="E89" s="2" t="inlineStr">
        <is>
          <t>pp</t>
        </is>
      </c>
      <c r="F89" s="2" t="inlineStr">
        <is>
          <t>calculated; Directive 94/62/EC Art 6(1)(f)</t>
        </is>
      </c>
      <c r="G89" s="2" t="inlineStr"/>
      <c r="H89" s="2" t="inlineStr"/>
    </row>
    <row r="90">
      <c r="A90" s="5" t="inlineStr">
        <is>
          <t>CC-004</t>
        </is>
      </c>
      <c r="B90" s="2" t="inlineStr">
        <is>
          <t>CC-004:27</t>
        </is>
      </c>
      <c r="C90" s="2" t="inlineStr">
        <is>
          <t>Deposit refund scheme: containers collected, 2023</t>
        </is>
      </c>
      <c r="D90" s="2" t="inlineStr">
        <is>
          <t>78</t>
        </is>
      </c>
      <c r="E90" s="2" t="inlineStr">
        <is>
          <t>% of containers placed on the market</t>
        </is>
      </c>
      <c r="F90" s="2" t="inlineStr">
        <is>
          <t>Commission SWD(2025) 318 p. 11 (citing ERA 2024)</t>
        </is>
      </c>
      <c r="G90" s="2" t="inlineStr">
        <is>
          <t>reported, not recomputed</t>
        </is>
      </c>
      <c r="H90" s="2" t="inlineStr"/>
    </row>
    <row r="91">
      <c r="A91" s="5" t="inlineStr">
        <is>
          <t>CC-004</t>
        </is>
      </c>
      <c r="B91" s="2" t="inlineStr">
        <is>
          <t>CC-004:28</t>
        </is>
      </c>
      <c r="C91" s="2" t="inlineStr">
        <is>
          <t>Deposit refund scheme: containers recycled, 2023</t>
        </is>
      </c>
      <c r="D91" s="2" t="inlineStr">
        <is>
          <t>74</t>
        </is>
      </c>
      <c r="E91" s="2" t="inlineStr">
        <is>
          <t>% of containers placed on the market</t>
        </is>
      </c>
      <c r="F91" s="2" t="inlineStr">
        <is>
          <t>Commission SWD(2025) 318 p. 11 (citing ERA 2024)</t>
        </is>
      </c>
      <c r="G91" s="2" t="inlineStr">
        <is>
          <t>reported, not recomputed</t>
        </is>
      </c>
      <c r="H91" s="2" t="inlineStr"/>
    </row>
    <row r="92">
      <c r="A92" s="5" t="inlineStr">
        <is>
          <t>CC-004</t>
        </is>
      </c>
      <c r="B92" s="2" t="inlineStr">
        <is>
          <t>CC-004:29</t>
        </is>
      </c>
      <c r="C92" s="2" t="inlineStr">
        <is>
          <t>Recycling rate if 30 million kg of organic waste were all counted as recycled</t>
        </is>
      </c>
      <c r="D92" s="2" t="inlineStr">
        <is>
          <t>25.1</t>
        </is>
      </c>
      <c r="E92" s="2" t="inlineStr">
        <is>
          <t>%</t>
        </is>
      </c>
      <c r="F92" s="2" t="inlineStr">
        <is>
          <t>calculated</t>
        </is>
      </c>
      <c r="G92" s="2" t="inlineStr">
        <is>
          <t>upper bound, indicative: ministry's 2025 organic tonnage added to Eurostat's 2024 recycled tonnage</t>
        </is>
      </c>
      <c r="H92" s="2" t="inlineStr"/>
    </row>
    <row r="93">
      <c r="A93" s="5" t="inlineStr">
        <is>
          <t>CC-006</t>
        </is>
      </c>
      <c r="B93" s="2" t="inlineStr">
        <is>
          <t>CC-006:2</t>
        </is>
      </c>
      <c r="C93" s="2" t="inlineStr">
        <is>
          <t>species: Common Quail</t>
        </is>
      </c>
      <c r="D93" s="2" t="inlineStr"/>
      <c r="E93" s="2" t="inlineStr"/>
      <c r="F93" s="2" t="inlineStr">
        <is>
          <t>L.N. 80/2026, reg. 4 (retrieved 2026-10-02)</t>
        </is>
      </c>
      <c r="G93" s="2" t="inlineStr"/>
      <c r="H93" s="2" t="inlineStr">
        <is>
          <t>annual_mortality: 241638; statutory_1pct_benchmark: 2416; quota: 2400; quota_pct_mortality: 0.993221; quota_pct_benchmark: 99.337748; formula: quota / annual_mortality * 100; quota / statutory_1pct_benchmark * 100</t>
        </is>
      </c>
    </row>
    <row r="94">
      <c r="A94" s="5" t="inlineStr">
        <is>
          <t>CC-006</t>
        </is>
      </c>
      <c r="B94" s="2" t="inlineStr">
        <is>
          <t>CC-006:3</t>
        </is>
      </c>
      <c r="C94" s="2" t="inlineStr">
        <is>
          <t>species: European Turtle-dove</t>
        </is>
      </c>
      <c r="D94" s="2" t="inlineStr"/>
      <c r="E94" s="2" t="inlineStr"/>
      <c r="F94" s="2" t="inlineStr">
        <is>
          <t>L.N. 81/2026, reg. 4 (retrieved 2026-10-02)</t>
        </is>
      </c>
      <c r="G94" s="2" t="inlineStr"/>
      <c r="H94" s="2" t="inlineStr">
        <is>
          <t>annual_mortality: 251032; statutory_1pct_benchmark: 2510; quota: 1500; quota_pct_mortality: 0.597533; quota_pct_benchmark: 59.760956; formula: quota / annual_mortality * 100; quota / statutory_1pct_benchmark * 100</t>
        </is>
      </c>
    </row>
    <row r="95">
      <c r="A95" s="5" t="inlineStr">
        <is>
          <t>CC-007</t>
        </is>
      </c>
      <c r="B95" s="2" t="inlineStr">
        <is>
          <t>CC-007:2</t>
        </is>
      </c>
      <c r="C95" s="2" t="inlineStr">
        <is>
          <t>Available station-years</t>
        </is>
      </c>
      <c r="D95" s="2" t="inlineStr">
        <is>
          <t>23</t>
        </is>
      </c>
      <c r="E95" s="2" t="inlineStr"/>
      <c r="F95" s="2" t="inlineStr">
        <is>
          <t>Parliamentary Question 29696 annex (retrieved 2026-10-02)</t>
        </is>
      </c>
      <c r="G95" s="2" t="inlineStr"/>
      <c r="H95" s="2" t="inlineStr">
        <is>
          <t>formula_or_method: count of reported numeric observations</t>
        </is>
      </c>
    </row>
    <row r="96">
      <c r="A96" s="5" t="inlineStr">
        <is>
          <t>CC-007</t>
        </is>
      </c>
      <c r="B96" s="2" t="inlineStr">
        <is>
          <t>CC-007:3</t>
        </is>
      </c>
      <c r="C96" s="2" t="inlineStr">
        <is>
          <t>Missing station-years</t>
        </is>
      </c>
      <c r="D96" s="2" t="inlineStr">
        <is>
          <t>2</t>
        </is>
      </c>
      <c r="E96" s="2" t="inlineStr"/>
      <c r="F96" s="2" t="inlineStr">
        <is>
          <t>Parliamentary Question 29696 annex (retrieved 2026-10-02)</t>
        </is>
      </c>
      <c r="G96" s="2" t="inlineStr"/>
      <c r="H96" s="2" t="inlineStr">
        <is>
          <t>formula_or_method: count of n/a observations</t>
        </is>
      </c>
    </row>
    <row r="97">
      <c r="A97" s="5" t="inlineStr">
        <is>
          <t>CC-007</t>
        </is>
      </c>
      <c r="B97" s="2" t="inlineStr">
        <is>
          <t>CC-007:4</t>
        </is>
      </c>
      <c r="C97" s="2" t="inlineStr">
        <is>
          <t>Above WHO annual guideline</t>
        </is>
      </c>
      <c r="D97" s="2" t="inlineStr">
        <is>
          <t>23</t>
        </is>
      </c>
      <c r="E97" s="2" t="inlineStr"/>
      <c r="F97" s="2" t="inlineStr">
        <is>
          <t>WHO 2021 annual guideline 5 µg/m³; PQ 29696 values (retrieved 2026-10-02)</t>
        </is>
      </c>
      <c r="G97" s="2" t="inlineStr"/>
      <c r="H97" s="2" t="inlineStr">
        <is>
          <t>formula_or_method: count(value &gt; 5 µg/m³)</t>
        </is>
      </c>
    </row>
    <row r="98">
      <c r="A98" s="5" t="inlineStr">
        <is>
          <t>CC-007</t>
        </is>
      </c>
      <c r="B98" s="2" t="inlineStr">
        <is>
          <t>CC-007:5</t>
        </is>
      </c>
      <c r="C98" s="2" t="inlineStr">
        <is>
          <t>At or below historical EU annual limit</t>
        </is>
      </c>
      <c r="D98" s="2" t="inlineStr">
        <is>
          <t>23</t>
        </is>
      </c>
      <c r="E98" s="2" t="inlineStr"/>
      <c r="F98" s="2" t="inlineStr">
        <is>
          <t>Directive 2024/2881 Annex I Table 2; PQ 29696 values (retrieved 2026-10-02)</t>
        </is>
      </c>
      <c r="G98" s="2" t="inlineStr"/>
      <c r="H98" s="2" t="inlineStr">
        <is>
          <t>formula_or_method: count(value &lt;= 25 µg/m³)</t>
        </is>
      </c>
    </row>
    <row r="99">
      <c r="A99" s="5" t="inlineStr">
        <is>
          <t>CC-007</t>
        </is>
      </c>
      <c r="B99" s="2" t="inlineStr">
        <is>
          <t>CC-007:6</t>
        </is>
      </c>
      <c r="C99" s="2" t="inlineStr">
        <is>
          <t>Above EU 2030 annual limit</t>
        </is>
      </c>
      <c r="D99" s="2" t="inlineStr">
        <is>
          <t>14</t>
        </is>
      </c>
      <c r="E99" s="2" t="inlineStr"/>
      <c r="F99" s="2" t="inlineStr">
        <is>
          <t>Directive 2024/2881 Annex I Table 1; contextual comparison only (retrieved 2026-10-02)</t>
        </is>
      </c>
      <c r="G99" s="2" t="inlineStr"/>
      <c r="H99" s="2" t="inlineStr">
        <is>
          <t>formula_or_method: count(value &gt; 10 µg/m³)</t>
        </is>
      </c>
    </row>
    <row r="100">
      <c r="A100" s="5" t="inlineStr">
        <is>
          <t>CC-007</t>
        </is>
      </c>
      <c r="B100" s="2" t="inlineStr">
        <is>
          <t>CC-007:7</t>
        </is>
      </c>
      <c r="C100" s="2" t="inlineStr">
        <is>
          <t>Minimum annual station value</t>
        </is>
      </c>
      <c r="D100" s="2" t="inlineStr">
        <is>
          <t>7.4</t>
        </is>
      </c>
      <c r="E100" s="2" t="inlineStr"/>
      <c r="F100" s="2" t="inlineStr">
        <is>
          <t>Parliamentary Question 29696 annex (retrieved 2026-10-02)</t>
        </is>
      </c>
      <c r="G100" s="2" t="inlineStr"/>
      <c r="H100" s="2" t="inlineStr">
        <is>
          <t>formula_or_method: min(value)</t>
        </is>
      </c>
    </row>
    <row r="101">
      <c r="A101" s="5" t="inlineStr">
        <is>
          <t>CC-007</t>
        </is>
      </c>
      <c r="B101" s="2" t="inlineStr">
        <is>
          <t>CC-007:8</t>
        </is>
      </c>
      <c r="C101" s="2" t="inlineStr">
        <is>
          <t>Maximum annual station value</t>
        </is>
      </c>
      <c r="D101" s="2" t="inlineStr">
        <is>
          <t>13.9</t>
        </is>
      </c>
      <c r="E101" s="2" t="inlineStr"/>
      <c r="F101" s="2" t="inlineStr">
        <is>
          <t>Parliamentary Question 29696 annex (retrieved 2026-10-02)</t>
        </is>
      </c>
      <c r="G101" s="2" t="inlineStr"/>
      <c r="H101" s="2" t="inlineStr">
        <is>
          <t>formula_or_method: max(value)</t>
        </is>
      </c>
    </row>
    <row r="102">
      <c r="A102" s="5" t="inlineStr">
        <is>
          <t>CC-007</t>
        </is>
      </c>
      <c r="B102" s="2" t="inlineStr">
        <is>
          <t>CC-007:9</t>
        </is>
      </c>
      <c r="C102" s="2" t="inlineStr">
        <is>
          <t>Mean, Attard</t>
        </is>
      </c>
      <c r="D102" s="2" t="inlineStr">
        <is>
          <t>11.16</t>
        </is>
      </c>
      <c r="E102" s="2" t="inlineStr"/>
      <c r="F102" s="2" t="inlineStr">
        <is>
          <t>Parliamentary Question 29696 annex (retrieved 2026-10-02)</t>
        </is>
      </c>
      <c r="G102" s="2" t="inlineStr"/>
      <c r="H102" s="2" t="inlineStr">
        <is>
          <t>formula_or_method: arithmetic mean of reported annual station means; missing years excluded</t>
        </is>
      </c>
    </row>
    <row r="103">
      <c r="A103" s="5" t="inlineStr">
        <is>
          <t>CC-007</t>
        </is>
      </c>
      <c r="B103" s="2" t="inlineStr">
        <is>
          <t>CC-007:10</t>
        </is>
      </c>
      <c r="C103" s="2" t="inlineStr">
        <is>
          <t>Mean, Msida</t>
        </is>
      </c>
      <c r="D103" s="2" t="inlineStr">
        <is>
          <t>12.12</t>
        </is>
      </c>
      <c r="E103" s="2" t="inlineStr"/>
      <c r="F103" s="2" t="inlineStr">
        <is>
          <t>Parliamentary Question 29696 annex (retrieved 2026-10-02)</t>
        </is>
      </c>
      <c r="G103" s="2" t="inlineStr"/>
      <c r="H103" s="2" t="inlineStr">
        <is>
          <t>formula_or_method: arithmetic mean of reported annual station means; missing years excluded</t>
        </is>
      </c>
    </row>
    <row r="104">
      <c r="A104" s="5" t="inlineStr">
        <is>
          <t>CC-007</t>
        </is>
      </c>
      <c r="B104" s="2" t="inlineStr">
        <is>
          <t>CC-007:11</t>
        </is>
      </c>
      <c r="C104" s="2" t="inlineStr">
        <is>
          <t>Mean, St Paul's Bay</t>
        </is>
      </c>
      <c r="D104" s="2" t="inlineStr">
        <is>
          <t>9.866666666666667</t>
        </is>
      </c>
      <c r="E104" s="2" t="inlineStr"/>
      <c r="F104" s="2" t="inlineStr">
        <is>
          <t>Parliamentary Question 29696 annex (retrieved 2026-10-02)</t>
        </is>
      </c>
      <c r="G104" s="2" t="inlineStr"/>
      <c r="H104" s="2" t="inlineStr">
        <is>
          <t>formula_or_method: arithmetic mean of reported annual station means; missing years excluded</t>
        </is>
      </c>
    </row>
    <row r="105">
      <c r="A105" s="5" t="inlineStr">
        <is>
          <t>CC-007</t>
        </is>
      </c>
      <c r="B105" s="2" t="inlineStr">
        <is>
          <t>CC-007:12</t>
        </is>
      </c>
      <c r="C105" s="2" t="inlineStr">
        <is>
          <t>Mean, Żejtun</t>
        </is>
      </c>
      <c r="D105" s="2" t="inlineStr">
        <is>
          <t>10.34</t>
        </is>
      </c>
      <c r="E105" s="2" t="inlineStr"/>
      <c r="F105" s="2" t="inlineStr">
        <is>
          <t>Parliamentary Question 29696 annex (retrieved 2026-10-02)</t>
        </is>
      </c>
      <c r="G105" s="2" t="inlineStr"/>
      <c r="H105" s="2" t="inlineStr">
        <is>
          <t>formula_or_method: arithmetic mean of reported annual station means; missing years excluded</t>
        </is>
      </c>
    </row>
    <row r="106">
      <c r="A106" s="5" t="inlineStr">
        <is>
          <t>CC-007</t>
        </is>
      </c>
      <c r="B106" s="2" t="inlineStr">
        <is>
          <t>CC-007:13</t>
        </is>
      </c>
      <c r="C106" s="2" t="inlineStr">
        <is>
          <t>Mean, Għarb</t>
        </is>
      </c>
      <c r="D106" s="2" t="inlineStr">
        <is>
          <t>8.5</t>
        </is>
      </c>
      <c r="E106" s="2" t="inlineStr"/>
      <c r="F106" s="2" t="inlineStr">
        <is>
          <t>Parliamentary Question 29696 annex (retrieved 2026-10-02)</t>
        </is>
      </c>
      <c r="G106" s="2" t="inlineStr"/>
      <c r="H106" s="2" t="inlineStr">
        <is>
          <t>formula_or_method: arithmetic mean of reported annual station means; missing years excluded</t>
        </is>
      </c>
    </row>
    <row r="107">
      <c r="A107" s="5" t="inlineStr">
        <is>
          <t>CC-008</t>
        </is>
      </c>
      <c r="B107" s="2" t="inlineStr">
        <is>
          <t>CC-008:2</t>
        </is>
      </c>
      <c r="C107" s="2" t="inlineStr">
        <is>
          <t>Distance, old Msida point MT00005 to new point MT00011 (m)</t>
        </is>
      </c>
      <c r="D107" s="2" t="inlineStr">
        <is>
          <t>301</t>
        </is>
      </c>
      <c r="E107" s="2" t="inlineStr"/>
      <c r="F107" s="2" t="inlineStr"/>
      <c r="G107" s="2" t="inlineStr"/>
      <c r="H107" s="2" t="inlineStr"/>
    </row>
    <row r="108">
      <c r="A108" s="5" t="inlineStr">
        <is>
          <t>CC-008</t>
        </is>
      </c>
      <c r="B108" s="2" t="inlineStr">
        <is>
          <t>CC-008:3</t>
        </is>
      </c>
      <c r="C108" s="2" t="inlineStr">
        <is>
          <t>Distance, MT00005 to nearest point of the flyover as mapped (m)</t>
        </is>
      </c>
      <c r="D108" s="2" t="inlineStr">
        <is>
          <t>112</t>
        </is>
      </c>
      <c r="E108" s="2" t="inlineStr"/>
      <c r="F108" s="2" t="inlineStr"/>
      <c r="G108" s="2" t="inlineStr"/>
      <c r="H108" s="2" t="inlineStr"/>
    </row>
    <row r="109">
      <c r="A109" s="5" t="inlineStr">
        <is>
          <t>CC-008</t>
        </is>
      </c>
      <c r="B109" s="2" t="inlineStr">
        <is>
          <t>CC-008:4</t>
        </is>
      </c>
      <c r="C109" s="2" t="inlineStr">
        <is>
          <t>Distance, MT00011 to nearest point of the flyover as mapped (m)</t>
        </is>
      </c>
      <c r="D109" s="2" t="inlineStr">
        <is>
          <t>408</t>
        </is>
      </c>
      <c r="E109" s="2" t="inlineStr"/>
      <c r="F109" s="2" t="inlineStr"/>
      <c r="G109" s="2" t="inlineStr"/>
      <c r="H109" s="2" t="inlineStr"/>
    </row>
    <row r="110">
      <c r="A110" s="5" t="inlineStr">
        <is>
          <t>CC-008</t>
        </is>
      </c>
      <c r="B110" s="2" t="inlineStr">
        <is>
          <t>CC-008:5</t>
        </is>
      </c>
      <c r="C110" s="2" t="inlineStr">
        <is>
          <t>Distance, Marsa junction to Kordin station MT00003 (closed 2016) (m)</t>
        </is>
      </c>
      <c r="D110" s="2" t="inlineStr">
        <is>
          <t>1518</t>
        </is>
      </c>
      <c r="E110" s="2" t="inlineStr"/>
      <c r="F110" s="2" t="inlineStr"/>
      <c r="G110" s="2" t="inlineStr"/>
      <c r="H110" s="2" t="inlineStr"/>
    </row>
    <row r="111">
      <c r="A111" s="5" t="inlineStr">
        <is>
          <t>CC-008</t>
        </is>
      </c>
      <c r="B111" s="2" t="inlineStr">
        <is>
          <t>CC-008:6</t>
        </is>
      </c>
      <c r="C111" s="2" t="inlineStr">
        <is>
          <t>Distance, Marsa junction to nearest station operating in 2026 (m)</t>
        </is>
      </c>
      <c r="D111" s="2" t="inlineStr">
        <is>
          <t>1414</t>
        </is>
      </c>
      <c r="E111" s="2" t="inlineStr"/>
      <c r="F111" s="2" t="inlineStr"/>
      <c r="G111" s="2" t="inlineStr"/>
      <c r="H111" s="2" t="inlineStr"/>
    </row>
    <row r="112">
      <c r="A112" s="5" t="inlineStr">
        <is>
          <t>CC-008</t>
        </is>
      </c>
      <c r="B112" s="2" t="inlineStr">
        <is>
          <t>CC-008:7</t>
        </is>
      </c>
      <c r="C112" s="2" t="inlineStr">
        <is>
          <t>MT00005 annual mean 2013 (ug/m3)</t>
        </is>
      </c>
      <c r="D112" s="2" t="inlineStr">
        <is>
          <t>37.52</t>
        </is>
      </c>
      <c r="E112" s="2" t="inlineStr"/>
      <c r="F112" s="2" t="inlineStr"/>
      <c r="G112" s="2" t="inlineStr"/>
      <c r="H112" s="2" t="inlineStr"/>
    </row>
    <row r="113">
      <c r="A113" s="5" t="inlineStr">
        <is>
          <t>CC-008</t>
        </is>
      </c>
      <c r="B113" s="2" t="inlineStr">
        <is>
          <t>CC-008:8</t>
        </is>
      </c>
      <c r="C113" s="2" t="inlineStr">
        <is>
          <t>MT00005 annual mean 2023 (ug/m3)</t>
        </is>
      </c>
      <c r="D113" s="2" t="inlineStr">
        <is>
          <t>28.28</t>
        </is>
      </c>
      <c r="E113" s="2" t="inlineStr"/>
      <c r="F113" s="2" t="inlineStr"/>
      <c r="G113" s="2" t="inlineStr"/>
      <c r="H113" s="2" t="inlineStr"/>
    </row>
    <row r="114">
      <c r="A114" s="5" t="inlineStr">
        <is>
          <t>CC-008</t>
        </is>
      </c>
      <c r="B114" s="2" t="inlineStr">
        <is>
          <t>CC-008:9</t>
        </is>
      </c>
      <c r="C114" s="2" t="inlineStr">
        <is>
          <t>MT00011 Jan-Sep change 2025 to 2026 (%)</t>
        </is>
      </c>
      <c r="D114" s="2" t="inlineStr">
        <is>
          <t>+14.3</t>
        </is>
      </c>
      <c r="E114" s="2" t="inlineStr"/>
      <c r="F114" s="2" t="inlineStr"/>
      <c r="G114" s="2" t="inlineStr"/>
      <c r="H114" s="2" t="inlineStr"/>
    </row>
    <row r="115">
      <c r="A115" s="5" t="inlineStr">
        <is>
          <t>CC-008</t>
        </is>
      </c>
      <c r="B115" s="2" t="inlineStr">
        <is>
          <t>CC-008:10</t>
        </is>
      </c>
      <c r="C115" s="2" t="inlineStr">
        <is>
          <t>Attard Jan-Sep change 2025 to 2026 (%)</t>
        </is>
      </c>
      <c r="D115" s="2" t="inlineStr">
        <is>
          <t>+4.5</t>
        </is>
      </c>
      <c r="E115" s="2" t="inlineStr"/>
      <c r="F115" s="2" t="inlineStr"/>
      <c r="G115" s="2" t="inlineStr"/>
      <c r="H115" s="2" t="inlineStr"/>
    </row>
    <row r="116">
      <c r="A116" s="5" t="inlineStr">
        <is>
          <t>CC-008</t>
        </is>
      </c>
      <c r="B116" s="2" t="inlineStr">
        <is>
          <t>CC-008:11</t>
        </is>
      </c>
      <c r="C116" s="2" t="inlineStr">
        <is>
          <t>Zejtun Jan-Sep change 2025 to 2026 (%)</t>
        </is>
      </c>
      <c r="D116" s="2" t="inlineStr">
        <is>
          <t>+3.5</t>
        </is>
      </c>
      <c r="E116" s="2" t="inlineStr"/>
      <c r="F116" s="2" t="inlineStr"/>
      <c r="G116" s="2" t="inlineStr"/>
      <c r="H116" s="2" t="inlineStr"/>
    </row>
    <row r="117">
      <c r="A117" s="5" t="inlineStr">
        <is>
          <t>CC-008</t>
        </is>
      </c>
      <c r="B117" s="2" t="inlineStr">
        <is>
          <t>CC-008:12</t>
        </is>
      </c>
      <c r="C117" s="2" t="inlineStr">
        <is>
          <t>St Paul's Bay Jan-Sep change 2025 to 2026 (%)</t>
        </is>
      </c>
      <c r="D117" s="2" t="inlineStr">
        <is>
          <t>-5.6</t>
        </is>
      </c>
      <c r="E117" s="2" t="inlineStr"/>
      <c r="F117" s="2" t="inlineStr"/>
      <c r="G117" s="2" t="inlineStr"/>
      <c r="H117" s="2" t="inlineStr"/>
    </row>
    <row r="118">
      <c r="A118" s="5" t="inlineStr">
        <is>
          <t>CC-008</t>
        </is>
      </c>
      <c r="B118" s="2" t="inlineStr">
        <is>
          <t>CC-008:13</t>
        </is>
      </c>
      <c r="C118" s="2" t="inlineStr">
        <is>
          <t>MT00011 minus background, Jan-Sep 2024/2025/2026 (ug/m3)</t>
        </is>
      </c>
      <c r="D118" s="2" t="inlineStr">
        <is>
          <t>7.3/9.5/12.2</t>
        </is>
      </c>
      <c r="E118" s="2" t="inlineStr"/>
      <c r="F118" s="2" t="inlineStr"/>
      <c r="G118" s="2" t="inlineStr"/>
      <c r="H118" s="2" t="inlineStr"/>
    </row>
    <row r="119">
      <c r="A119" s="5" t="inlineStr">
        <is>
          <t>CC-008</t>
        </is>
      </c>
      <c r="B119" s="2" t="inlineStr">
        <is>
          <t>CC-008:14</t>
        </is>
      </c>
      <c r="C119" s="2" t="inlineStr">
        <is>
          <t>MT00011 minus background, Jan-Aug 2024/2025/2026 (ug/m3)</t>
        </is>
      </c>
      <c r="D119" s="2" t="inlineStr">
        <is>
          <t>7.1/9.3/12.1</t>
        </is>
      </c>
      <c r="E119" s="2" t="inlineStr"/>
      <c r="F119" s="2" t="inlineStr"/>
      <c r="G119" s="2" t="inlineStr"/>
      <c r="H119" s="2" t="inlineStr"/>
    </row>
    <row r="120">
      <c r="A120" s="5" t="inlineStr">
        <is>
          <t>CC-009</t>
        </is>
      </c>
      <c r="B120" s="2" t="inlineStr">
        <is>
          <t>CC-009:2</t>
        </is>
      </c>
      <c r="C120" s="2" t="inlineStr">
        <is>
          <t>2022 RO share of WSC potable production</t>
        </is>
      </c>
      <c r="D120" s="2" t="inlineStr">
        <is>
          <t>64.3232</t>
        </is>
      </c>
      <c r="E120" s="2" t="inlineStr">
        <is>
          <t>%</t>
        </is>
      </c>
      <c r="F120" s="2" t="inlineStr">
        <is>
          <t>WSC Annual Report 2025 Figure 20</t>
        </is>
      </c>
      <c r="G120" s="2" t="inlineStr">
        <is>
          <t>Calculated as RO production / (RO + WSC groundwater production).</t>
        </is>
      </c>
      <c r="H120" s="2" t="inlineStr"/>
    </row>
    <row r="121">
      <c r="A121" s="5" t="inlineStr">
        <is>
          <t>CC-009</t>
        </is>
      </c>
      <c r="B121" s="2" t="inlineStr">
        <is>
          <t>CC-009:3</t>
        </is>
      </c>
      <c r="C121" s="2" t="inlineStr">
        <is>
          <t>2022 total WSC potable production</t>
        </is>
      </c>
      <c r="D121" s="2" t="inlineStr">
        <is>
          <t>35529130</t>
        </is>
      </c>
      <c r="E121" s="2" t="inlineStr">
        <is>
          <t>m3</t>
        </is>
      </c>
      <c r="F121" s="2" t="inlineStr">
        <is>
          <t>WSC Annual Report 2025 Figure 20</t>
        </is>
      </c>
      <c r="G121" s="2" t="inlineStr">
        <is>
          <t>RO plus groundwater production.</t>
        </is>
      </c>
      <c r="H121" s="2" t="inlineStr"/>
    </row>
    <row r="122">
      <c r="A122" s="5" t="inlineStr">
        <is>
          <t>CC-009</t>
        </is>
      </c>
      <c r="B122" s="2" t="inlineStr">
        <is>
          <t>CC-009:4</t>
        </is>
      </c>
      <c r="C122" s="2" t="inlineStr">
        <is>
          <t>2023 RO share of WSC potable production</t>
        </is>
      </c>
      <c r="D122" s="2" t="inlineStr">
        <is>
          <t>64.3041</t>
        </is>
      </c>
      <c r="E122" s="2" t="inlineStr">
        <is>
          <t>%</t>
        </is>
      </c>
      <c r="F122" s="2" t="inlineStr">
        <is>
          <t>WSC Annual Report 2025 Figure 20</t>
        </is>
      </c>
      <c r="G122" s="2" t="inlineStr">
        <is>
          <t>Calculated as RO production / (RO + WSC groundwater production).</t>
        </is>
      </c>
      <c r="H122" s="2" t="inlineStr"/>
    </row>
    <row r="123">
      <c r="A123" s="5" t="inlineStr">
        <is>
          <t>CC-009</t>
        </is>
      </c>
      <c r="B123" s="2" t="inlineStr">
        <is>
          <t>CC-009:5</t>
        </is>
      </c>
      <c r="C123" s="2" t="inlineStr">
        <is>
          <t>2023 total WSC potable production</t>
        </is>
      </c>
      <c r="D123" s="2" t="inlineStr">
        <is>
          <t>36859385</t>
        </is>
      </c>
      <c r="E123" s="2" t="inlineStr">
        <is>
          <t>m3</t>
        </is>
      </c>
      <c r="F123" s="2" t="inlineStr">
        <is>
          <t>WSC Annual Report 2025 Figure 20</t>
        </is>
      </c>
      <c r="G123" s="2" t="inlineStr">
        <is>
          <t>RO plus groundwater production.</t>
        </is>
      </c>
      <c r="H123" s="2" t="inlineStr"/>
    </row>
    <row r="124">
      <c r="A124" s="5" t="inlineStr">
        <is>
          <t>CC-009</t>
        </is>
      </c>
      <c r="B124" s="2" t="inlineStr">
        <is>
          <t>CC-009:6</t>
        </is>
      </c>
      <c r="C124" s="2" t="inlineStr">
        <is>
          <t>2024 RO share of WSC potable production</t>
        </is>
      </c>
      <c r="D124" s="2" t="inlineStr">
        <is>
          <t>66.2777</t>
        </is>
      </c>
      <c r="E124" s="2" t="inlineStr">
        <is>
          <t>%</t>
        </is>
      </c>
      <c r="F124" s="2" t="inlineStr">
        <is>
          <t>WSC Annual Report 2025 Figure 20</t>
        </is>
      </c>
      <c r="G124" s="2" t="inlineStr">
        <is>
          <t>Calculated as RO production / (RO + WSC groundwater production).</t>
        </is>
      </c>
      <c r="H124" s="2" t="inlineStr"/>
    </row>
    <row r="125">
      <c r="A125" s="5" t="inlineStr">
        <is>
          <t>CC-009</t>
        </is>
      </c>
      <c r="B125" s="2" t="inlineStr">
        <is>
          <t>CC-009:7</t>
        </is>
      </c>
      <c r="C125" s="2" t="inlineStr">
        <is>
          <t>2024 total WSC potable production</t>
        </is>
      </c>
      <c r="D125" s="2" t="inlineStr">
        <is>
          <t>38829917</t>
        </is>
      </c>
      <c r="E125" s="2" t="inlineStr">
        <is>
          <t>m3</t>
        </is>
      </c>
      <c r="F125" s="2" t="inlineStr">
        <is>
          <t>WSC Annual Report 2025 Figure 20</t>
        </is>
      </c>
      <c r="G125" s="2" t="inlineStr">
        <is>
          <t>RO plus groundwater production.</t>
        </is>
      </c>
      <c r="H125" s="2" t="inlineStr"/>
    </row>
    <row r="126">
      <c r="A126" s="5" t="inlineStr">
        <is>
          <t>CC-009</t>
        </is>
      </c>
      <c r="B126" s="2" t="inlineStr">
        <is>
          <t>CC-009:8</t>
        </is>
      </c>
      <c r="C126" s="2" t="inlineStr">
        <is>
          <t>2025 RO share of WSC potable production</t>
        </is>
      </c>
      <c r="D126" s="2" t="inlineStr">
        <is>
          <t>70.7494</t>
        </is>
      </c>
      <c r="E126" s="2" t="inlineStr">
        <is>
          <t>%</t>
        </is>
      </c>
      <c r="F126" s="2" t="inlineStr">
        <is>
          <t>WSC Annual Report 2025 Figure 20</t>
        </is>
      </c>
      <c r="G126" s="2" t="inlineStr">
        <is>
          <t>Calculated as RO production / (RO + WSC groundwater production).</t>
        </is>
      </c>
      <c r="H126" s="2" t="inlineStr"/>
    </row>
    <row r="127">
      <c r="A127" s="5" t="inlineStr">
        <is>
          <t>CC-009</t>
        </is>
      </c>
      <c r="B127" s="2" t="inlineStr">
        <is>
          <t>CC-009:9</t>
        </is>
      </c>
      <c r="C127" s="2" t="inlineStr">
        <is>
          <t>2025 total WSC potable production</t>
        </is>
      </c>
      <c r="D127" s="2" t="inlineStr">
        <is>
          <t>39456477</t>
        </is>
      </c>
      <c r="E127" s="2" t="inlineStr">
        <is>
          <t>m3</t>
        </is>
      </c>
      <c r="F127" s="2" t="inlineStr">
        <is>
          <t>WSC Annual Report 2025 Figure 20</t>
        </is>
      </c>
      <c r="G127" s="2" t="inlineStr">
        <is>
          <t>RO plus groundwater production.</t>
        </is>
      </c>
      <c r="H127" s="2" t="inlineStr"/>
    </row>
    <row r="128">
      <c r="A128" s="5" t="inlineStr">
        <is>
          <t>CC-009</t>
        </is>
      </c>
      <c r="B128" s="2" t="inlineStr">
        <is>
          <t>CC-009:10</t>
        </is>
      </c>
      <c r="C128" s="2" t="inlineStr">
        <is>
          <t>WSC groundwater production change 2022 to 2025</t>
        </is>
      </c>
      <c r="D128" s="2" t="inlineStr">
        <is>
          <t>-8.9495</t>
        </is>
      </c>
      <c r="E128" s="2" t="inlineStr">
        <is>
          <t>%</t>
        </is>
      </c>
      <c r="F128" s="2" t="inlineStr">
        <is>
          <t>WSC Annual Report 2025 Figure 20</t>
        </is>
      </c>
      <c r="G128" s="2" t="inlineStr">
        <is>
          <t>Calculated from the annual report chart values; WSC production series, not all-user national abstraction.</t>
        </is>
      </c>
      <c r="H128" s="2" t="inlineStr"/>
    </row>
    <row r="129">
      <c r="A129" s="5" t="inlineStr">
        <is>
          <t>CC-009</t>
        </is>
      </c>
      <c r="B129" s="2" t="inlineStr">
        <is>
          <t>CC-009:11</t>
        </is>
      </c>
      <c r="C129" s="2" t="inlineStr">
        <is>
          <t>WSC groundwater production change 2024 to 2025 from chart</t>
        </is>
      </c>
      <c r="D129" s="2" t="inlineStr">
        <is>
          <t>-11.8606</t>
        </is>
      </c>
      <c r="E129" s="2" t="inlineStr">
        <is>
          <t>%</t>
        </is>
      </c>
      <c r="F129" s="2" t="inlineStr">
        <is>
          <t>WSC Annual Report 2025 Figure 20</t>
        </is>
      </c>
      <c r="G129" s="2" t="inlineStr">
        <is>
          <t>WSC narrative states -11.4%; chart values imply -11.86%, a small internal difference retained rather than reconciled.</t>
        </is>
      </c>
      <c r="H129" s="2" t="inlineStr"/>
    </row>
    <row r="130">
      <c r="A130" s="5" t="inlineStr">
        <is>
          <t>CC-009</t>
        </is>
      </c>
      <c r="B130" s="2" t="inlineStr">
        <is>
          <t>CC-009:12</t>
        </is>
      </c>
      <c r="C130" s="2" t="inlineStr">
        <is>
          <t>WSC groundwater production change 2024 to 2025 as reported</t>
        </is>
      </c>
      <c r="D130" s="2" t="inlineStr">
        <is>
          <t>-11.4</t>
        </is>
      </c>
      <c r="E130" s="2" t="inlineStr">
        <is>
          <t>%</t>
        </is>
      </c>
      <c r="F130" s="2" t="inlineStr">
        <is>
          <t>WSC Annual Report 2025 p.43</t>
        </is>
      </c>
      <c r="G130" s="2" t="inlineStr">
        <is>
          <t>Directly stated by WSC; separate from calculation using chart values.</t>
        </is>
      </c>
      <c r="H130" s="2" t="inlineStr"/>
    </row>
    <row r="131">
      <c r="A131" s="5" t="inlineStr">
        <is>
          <t>CC-009</t>
        </is>
      </c>
      <c r="B131" s="2" t="inlineStr">
        <is>
          <t>CC-009:13</t>
        </is>
      </c>
      <c r="C131" s="2" t="inlineStr">
        <is>
          <t>Groundwater bodies failing nitrate standard</t>
        </is>
      </c>
      <c r="D131" s="2" t="inlineStr">
        <is>
          <t>12</t>
        </is>
      </c>
      <c r="E131" s="2" t="inlineStr">
        <is>
          <t>of 15 bodies</t>
        </is>
      </c>
      <c r="F131" s="2" t="inlineStr">
        <is>
          <t>ERA/EWA 3rd River Basin Management Plan, Chapter 6</t>
        </is>
      </c>
      <c r="G131" s="2" t="inlineStr">
        <is>
          <t>Three exceptions are named; the plan records 14 bodies failing chemical status, which is broader than nitrate alone (Malta's 3rd-cycle EU reporting lists 15; see wise_gwb_status.csv).</t>
        </is>
      </c>
      <c r="H131" s="2" t="inlineStr"/>
    </row>
    <row r="132">
      <c r="A132" s="5" t="inlineStr">
        <is>
          <t>CC-009</t>
        </is>
      </c>
      <c r="B132" s="2" t="inlineStr">
        <is>
          <t>CC-009:14</t>
        </is>
      </c>
      <c r="C132" s="2" t="inlineStr">
        <is>
          <t>National fresh groundwater abstraction 2024</t>
        </is>
      </c>
      <c r="D132" s="2" t="inlineStr">
        <is>
          <t>38.46</t>
        </is>
      </c>
      <c r="E132" s="2" t="inlineStr">
        <is>
          <t>million m3</t>
        </is>
      </c>
      <c r="F132" s="2" t="inlineStr">
        <is>
          <t>Eurostat env_wat_abs (updated 2026-09-16), retrieved 2026-10-05</t>
        </is>
      </c>
      <c r="G132" s="2" t="inlineStr">
        <is>
          <t>Eurostat flag 'e' (estimated)</t>
        </is>
      </c>
      <c r="H132" s="2" t="inlineStr"/>
    </row>
    <row r="133">
      <c r="A133" s="5" t="inlineStr">
        <is>
          <t>CC-009</t>
        </is>
      </c>
      <c r="B133" s="2" t="inlineStr">
        <is>
          <t>CC-009:15</t>
        </is>
      </c>
      <c r="C133" s="2" t="inlineStr">
        <is>
          <t>Agricultural groundwater abstraction 2024</t>
        </is>
      </c>
      <c r="D133" s="2" t="inlineStr">
        <is>
          <t>21.77</t>
        </is>
      </c>
      <c r="E133" s="2" t="inlineStr">
        <is>
          <t>million m3</t>
        </is>
      </c>
      <c r="F133" s="2" t="inlineStr">
        <is>
          <t>Eurostat env_wat_abs (updated 2026-09-16), retrieved 2026-10-05</t>
        </is>
      </c>
      <c r="G133" s="2" t="inlineStr">
        <is>
          <t>Eurostat flag 'e' (estimated); 56.6% of the national total</t>
        </is>
      </c>
      <c r="H133" s="2" t="inlineStr"/>
    </row>
    <row r="134">
      <c r="A134" s="5" t="inlineStr">
        <is>
          <t>CC-009</t>
        </is>
      </c>
      <c r="B134" s="2" t="inlineStr">
        <is>
          <t>CC-009:16</t>
        </is>
      </c>
      <c r="C134" s="2" t="inlineStr">
        <is>
          <t>Agricultural groundwater abstraction change 2023 to 2024</t>
        </is>
      </c>
      <c r="D134" s="2" t="inlineStr">
        <is>
          <t>3.10</t>
        </is>
      </c>
      <c r="E134" s="2" t="inlineStr">
        <is>
          <t>million m3</t>
        </is>
      </c>
      <c r="F134" s="2" t="inlineStr">
        <is>
          <t>Eurostat env_wat_abs (updated 2026-09-16), retrieved 2026-10-05</t>
        </is>
      </c>
      <c r="G134" s="2" t="inlineStr">
        <is>
          <t>18.67 -&gt; 21.77; both estimated</t>
        </is>
      </c>
      <c r="H134" s="2" t="inlineStr"/>
    </row>
    <row r="135">
      <c r="A135" s="5" t="inlineStr">
        <is>
          <t>CC-009</t>
        </is>
      </c>
      <c r="B135" s="2" t="inlineStr">
        <is>
          <t>CC-009:17</t>
        </is>
      </c>
      <c r="C135" s="2" t="inlineStr">
        <is>
          <t>Public water supply groundwater abstraction 2024</t>
        </is>
      </c>
      <c r="D135" s="2" t="inlineStr">
        <is>
          <t>14.28</t>
        </is>
      </c>
      <c r="E135" s="2" t="inlineStr">
        <is>
          <t>million m3</t>
        </is>
      </c>
      <c r="F135" s="2" t="inlineStr">
        <is>
          <t>Eurostat env_wat_abs (updated 2026-09-16), retrieved 2026-10-05</t>
        </is>
      </c>
      <c r="G135" s="2" t="inlineStr">
        <is>
          <t>Eurostat flag 'e' (estimated); 37.1% of the national total</t>
        </is>
      </c>
      <c r="H135" s="2" t="inlineStr"/>
    </row>
    <row r="136">
      <c r="A136" s="5" t="inlineStr">
        <is>
          <t>CC-009</t>
        </is>
      </c>
      <c r="B136" s="2" t="inlineStr">
        <is>
          <t>CC-009:18</t>
        </is>
      </c>
      <c r="C136" s="2" t="inlineStr">
        <is>
          <t>Other groundwater abstraction 2024 (households, industry, services, mining)</t>
        </is>
      </c>
      <c r="D136" s="2" t="inlineStr">
        <is>
          <t>2.41</t>
        </is>
      </c>
      <c r="E136" s="2" t="inlineStr">
        <is>
          <t>million m3</t>
        </is>
      </c>
      <c r="F136" s="2" t="inlineStr">
        <is>
          <t>Eurostat env_wat_abs (updated 2026-09-16), retrieved 2026-10-05</t>
        </is>
      </c>
      <c r="G136" s="2" t="inlineStr">
        <is>
          <t>total minus agriculture minus public water supply; sector values: ABS_HH 1.03, ABS_IND 0.61, ABS_SER 0.76, ABS_MIN 0.01</t>
        </is>
      </c>
      <c r="H136" s="2" t="inlineStr"/>
    </row>
    <row r="137">
      <c r="A137" s="5" t="inlineStr">
        <is>
          <t>CC-009</t>
        </is>
      </c>
      <c r="B137" s="2" t="inlineStr">
        <is>
          <t>CC-009:19</t>
        </is>
      </c>
      <c r="C137" s="2" t="inlineStr">
        <is>
          <t>WSC groundwater production cut 2024 to 2025</t>
        </is>
      </c>
      <c r="D137" s="2" t="inlineStr">
        <is>
          <t>1.553</t>
        </is>
      </c>
      <c r="E137" s="2" t="inlineStr">
        <is>
          <t>million m3</t>
        </is>
      </c>
      <c r="F137" s="2" t="inlineStr">
        <is>
          <t>WSC Annual Report 2025 Figure 20</t>
        </is>
      </c>
      <c r="G137" s="2" t="inlineStr">
        <is>
          <t>chart values; WSC prose implies 11.4% of 2024</t>
        </is>
      </c>
      <c r="H137" s="2" t="inlineStr"/>
    </row>
    <row r="138">
      <c r="A138" s="5" t="inlineStr">
        <is>
          <t>CC-009</t>
        </is>
      </c>
      <c r="B138" s="2" t="inlineStr">
        <is>
          <t>CC-009:20</t>
        </is>
      </c>
      <c r="C138" s="2" t="inlineStr">
        <is>
          <t>WSC 2025 cut as share of national groundwater abstraction 2024</t>
        </is>
      </c>
      <c r="D138" s="2" t="inlineStr">
        <is>
          <t>4.04</t>
        </is>
      </c>
      <c r="E138" s="2" t="inlineStr">
        <is>
          <t>%</t>
        </is>
      </c>
      <c r="F138" s="2" t="inlineStr">
        <is>
          <t>calculated</t>
        </is>
      </c>
      <c r="G138" s="2" t="inlineStr">
        <is>
          <t>years differ: 2025 national data not yet published</t>
        </is>
      </c>
      <c r="H138" s="2" t="inlineStr"/>
    </row>
    <row r="139">
      <c r="A139" s="5" t="inlineStr">
        <is>
          <t>CC-009</t>
        </is>
      </c>
      <c r="B139" s="2" t="inlineStr">
        <is>
          <t>CC-009:21</t>
        </is>
      </c>
      <c r="C139" s="2" t="inlineStr">
        <is>
          <t>WSC 2025 cut as share of the 2024 rise in agricultural abstraction</t>
        </is>
      </c>
      <c r="D139" s="2" t="inlineStr">
        <is>
          <t>50</t>
        </is>
      </c>
      <c r="E139" s="2" t="inlineStr">
        <is>
          <t>%</t>
        </is>
      </c>
      <c r="F139" s="2" t="inlineStr">
        <is>
          <t>calculated</t>
        </is>
      </c>
      <c r="G139" s="2" t="inlineStr">
        <is>
          <t>indicative only: different years, and agricultural values are estimates</t>
        </is>
      </c>
      <c r="H139" s="2" t="inlineStr"/>
    </row>
    <row r="140">
      <c r="A140" s="5" t="inlineStr">
        <is>
          <t>CC-009</t>
        </is>
      </c>
      <c r="B140" s="2" t="inlineStr">
        <is>
          <t>CC-009:22</t>
        </is>
      </c>
      <c r="C140" s="2" t="inlineStr">
        <is>
          <t>Eurostat public-supply groundwater abstraction minus WSC groundwater production 2022</t>
        </is>
      </c>
      <c r="D140" s="2" t="inlineStr">
        <is>
          <t>0.86</t>
        </is>
      </c>
      <c r="E140" s="2" t="inlineStr">
        <is>
          <t>million m3</t>
        </is>
      </c>
      <c r="F140" s="2" t="inlineStr">
        <is>
          <t>Eurostat env_wat_abs (updated 2026-09-16), retrieved 2026-10-05; WSC Annual Report 2025 Figure 20</t>
        </is>
      </c>
      <c r="G140" s="2" t="inlineStr">
        <is>
          <t>13.54 vs 12.68; different measures (abstraction vs production); difference not explained in either source</t>
        </is>
      </c>
      <c r="H140" s="2" t="inlineStr"/>
    </row>
    <row r="141">
      <c r="A141" s="5" t="inlineStr">
        <is>
          <t>CC-009</t>
        </is>
      </c>
      <c r="B141" s="2" t="inlineStr">
        <is>
          <t>CC-009:23</t>
        </is>
      </c>
      <c r="C141" s="2" t="inlineStr">
        <is>
          <t>Eurostat public-supply groundwater abstraction minus WSC groundwater production 2023</t>
        </is>
      </c>
      <c r="D141" s="2" t="inlineStr">
        <is>
          <t>0.93</t>
        </is>
      </c>
      <c r="E141" s="2" t="inlineStr">
        <is>
          <t>million m3</t>
        </is>
      </c>
      <c r="F141" s="2" t="inlineStr">
        <is>
          <t>Eurostat env_wat_abs (updated 2026-09-16), retrieved 2026-10-05; WSC Annual Report 2025 Figure 20</t>
        </is>
      </c>
      <c r="G141" s="2" t="inlineStr">
        <is>
          <t>14.09 vs 13.16; different measures (abstraction vs production); difference not explained in either source</t>
        </is>
      </c>
      <c r="H141" s="2" t="inlineStr"/>
    </row>
    <row r="142">
      <c r="A142" s="5" t="inlineStr">
        <is>
          <t>CC-009</t>
        </is>
      </c>
      <c r="B142" s="2" t="inlineStr">
        <is>
          <t>CC-009:24</t>
        </is>
      </c>
      <c r="C142" s="2" t="inlineStr">
        <is>
          <t>Eurostat public-supply groundwater abstraction minus WSC groundwater production 2024</t>
        </is>
      </c>
      <c r="D142" s="2" t="inlineStr">
        <is>
          <t>1.19</t>
        </is>
      </c>
      <c r="E142" s="2" t="inlineStr">
        <is>
          <t>million m3</t>
        </is>
      </c>
      <c r="F142" s="2" t="inlineStr">
        <is>
          <t>Eurostat env_wat_abs (updated 2026-09-16), retrieved 2026-10-05; WSC Annual Report 2025 Figure 20</t>
        </is>
      </c>
      <c r="G142" s="2" t="inlineStr">
        <is>
          <t>14.28 vs 13.09; different measures (abstraction vs production); difference not explained in either source</t>
        </is>
      </c>
      <c r="H142" s="2" t="inlineStr"/>
    </row>
    <row r="143">
      <c r="A143" s="5" t="inlineStr">
        <is>
          <t>CC-009</t>
        </is>
      </c>
      <c r="B143" s="2" t="inlineStr">
        <is>
          <t>CC-009:25</t>
        </is>
      </c>
      <c r="C143" s="2" t="inlineStr">
        <is>
          <t>Lowest Eurostat public-supply groundwater abstraction 2015-2024</t>
        </is>
      </c>
      <c r="D143" s="2" t="inlineStr">
        <is>
          <t>13.54</t>
        </is>
      </c>
      <c r="E143" s="2" t="inlineStr">
        <is>
          <t>million m3</t>
        </is>
      </c>
      <c r="F143" s="2" t="inlineStr">
        <is>
          <t>Eurostat env_wat_abs (updated 2026-09-16), retrieved 2026-10-05</t>
        </is>
      </c>
      <c r="G143" s="2" t="inlineStr">
        <is>
          <t>in 2022; no value for 2021</t>
        </is>
      </c>
      <c r="H143" s="2" t="inlineStr"/>
    </row>
    <row r="144">
      <c r="A144" s="5" t="inlineStr">
        <is>
          <t>CC-009</t>
        </is>
      </c>
      <c r="B144" s="2" t="inlineStr">
        <is>
          <t>CC-009:26</t>
        </is>
      </c>
      <c r="C144" s="2" t="inlineStr">
        <is>
          <t>Estimated recharge into the aquifer 2024</t>
        </is>
      </c>
      <c r="D144" s="2" t="inlineStr">
        <is>
          <t>41.52</t>
        </is>
      </c>
      <c r="E144" s="2" t="inlineStr">
        <is>
          <t>million m3</t>
        </is>
      </c>
      <c r="F144" s="2" t="inlineStr">
        <is>
          <t>Eurostat env_wat_res (updated 2026-07-03), retrieved 2026-10-05</t>
        </is>
      </c>
      <c r="G144" s="2" t="inlineStr">
        <is>
          <t>Eurostat flag 'e' (estimated)</t>
        </is>
      </c>
      <c r="H144" s="2" t="inlineStr"/>
    </row>
    <row r="145">
      <c r="A145" s="5" t="inlineStr">
        <is>
          <t>CC-009</t>
        </is>
      </c>
      <c r="B145" s="2" t="inlineStr">
        <is>
          <t>CC-009:27</t>
        </is>
      </c>
      <c r="C145" s="2" t="inlineStr">
        <is>
          <t>National groundwater abstraction as share of estimated recharge 2024</t>
        </is>
      </c>
      <c r="D145" s="2" t="inlineStr">
        <is>
          <t>92.6</t>
        </is>
      </c>
      <c r="E145" s="2" t="inlineStr">
        <is>
          <t>%</t>
        </is>
      </c>
      <c r="F145" s="2" t="inlineStr">
        <is>
          <t>calculated</t>
        </is>
      </c>
      <c r="G145" s="2" t="inlineStr">
        <is>
          <t>both estimates; recharge is not all available for abstraction (Sapiano 2020 sets aside natural discharge to the sea)</t>
        </is>
      </c>
      <c r="H145" s="2" t="inlineStr"/>
    </row>
    <row r="146">
      <c r="A146" s="5" t="inlineStr">
        <is>
          <t>CC-009</t>
        </is>
      </c>
      <c r="B146" s="2" t="inlineStr">
        <is>
          <t>CC-009:28</t>
        </is>
      </c>
      <c r="C146" s="2" t="inlineStr">
        <is>
          <t>Lowest estimated recharge 2010-2024</t>
        </is>
      </c>
      <c r="D146" s="2" t="inlineStr">
        <is>
          <t>41.17</t>
        </is>
      </c>
      <c r="E146" s="2" t="inlineStr">
        <is>
          <t>million m3</t>
        </is>
      </c>
      <c r="F146" s="2" t="inlineStr">
        <is>
          <t>Eurostat env_wat_res (updated 2026-07-03), retrieved 2026-10-05</t>
        </is>
      </c>
      <c r="G146" s="2" t="inlineStr">
        <is>
          <t>in 2023</t>
        </is>
      </c>
      <c r="H146" s="2" t="inlineStr"/>
    </row>
    <row r="147">
      <c r="A147" s="5" t="inlineStr">
        <is>
          <t>CC-009</t>
        </is>
      </c>
      <c r="B147" s="2" t="inlineStr">
        <is>
          <t>CC-009:29</t>
        </is>
      </c>
      <c r="C147" s="2" t="inlineStr">
        <is>
          <t>National groundwater abstraction change 2015 to 2024</t>
        </is>
      </c>
      <c r="D147" s="2" t="inlineStr">
        <is>
          <t>-7.6</t>
        </is>
      </c>
      <c r="E147" s="2" t="inlineStr">
        <is>
          <t>%</t>
        </is>
      </c>
      <c r="F147" s="2" t="inlineStr">
        <is>
          <t>calculated</t>
        </is>
      </c>
      <c r="G147" s="2" t="inlineStr">
        <is>
          <t>41.63 -&gt; 38.46; estimates</t>
        </is>
      </c>
      <c r="H147" s="2" t="inlineStr"/>
    </row>
    <row r="148">
      <c r="A148" s="5" t="inlineStr">
        <is>
          <t>CC-009</t>
        </is>
      </c>
      <c r="B148" s="2" t="inlineStr">
        <is>
          <t>CC-009:30</t>
        </is>
      </c>
      <c r="C148" s="2" t="inlineStr">
        <is>
          <t>Available groundwater, long-term annual average (published estimate)</t>
        </is>
      </c>
      <c r="D148" s="2" t="inlineStr">
        <is>
          <t>37</t>
        </is>
      </c>
      <c r="E148" s="2" t="inlineStr">
        <is>
          <t>million m3</t>
        </is>
      </c>
      <c r="F148" s="2" t="inlineStr">
        <is>
          <t>Sapiano 2020, Acque Sotterranee 9(3), Table 1</t>
        </is>
      </c>
      <c r="G148" s="2" t="inlineStr">
        <is>
          <t>renewable 65 minus natural subsurface discharge 24 and unrecoverable runoff 4; 35 in 2019; reported, not recomputed</t>
        </is>
      </c>
      <c r="H148" s="2" t="inlineStr"/>
    </row>
    <row r="149">
      <c r="A149" s="5" t="inlineStr">
        <is>
          <t>CC-009</t>
        </is>
      </c>
      <c r="B149" s="2" t="inlineStr">
        <is>
          <t>CC-009:31</t>
        </is>
      </c>
      <c r="C149" s="2" t="inlineStr">
        <is>
          <t>Total abstraction/utilisation, long-term average and 2019 (published estimate)</t>
        </is>
      </c>
      <c r="D149" s="2" t="inlineStr">
        <is>
          <t>38; 41</t>
        </is>
      </c>
      <c r="E149" s="2" t="inlineStr">
        <is>
          <t>million m3</t>
        </is>
      </c>
      <c r="F149" s="2" t="inlineStr">
        <is>
          <t>Sapiano 2020, Table 1</t>
        </is>
      </c>
      <c r="G149" s="2" t="inlineStr">
        <is>
          <t>WEI+ 78% (long-term) and 89% (2019) as published; EU high-stress threshold 40%</t>
        </is>
      </c>
      <c r="H149" s="2" t="inlineStr"/>
    </row>
    <row r="150">
      <c r="A150" s="5" t="inlineStr">
        <is>
          <t>CC-010</t>
        </is>
      </c>
      <c r="B150" s="2" t="inlineStr">
        <is>
          <t>CC-010:2</t>
        </is>
      </c>
      <c r="C150" s="2" t="inlineStr">
        <is>
          <t>Approximate share of 2022 pledge reported planted by end-2025</t>
        </is>
      </c>
      <c r="D150" s="2" t="inlineStr">
        <is>
          <t>60</t>
        </is>
      </c>
      <c r="E150" s="2" t="inlineStr">
        <is>
          <t>%</t>
        </is>
      </c>
      <c r="F150" s="2" t="inlineStr">
        <is>
          <t>Manifesto pledge 305; Parliament PQ 34270</t>
        </is>
      </c>
      <c r="G150" s="2" t="inlineStr">
        <is>
          <t>Approximate count divided by pledge; not a final outcome and not a linear forecast.</t>
        </is>
      </c>
      <c r="H150" s="2" t="inlineStr"/>
    </row>
    <row r="151">
      <c r="A151" s="5" t="inlineStr">
        <is>
          <t>CC-010</t>
        </is>
      </c>
      <c r="B151" s="2" t="inlineStr">
        <is>
          <t>CC-010:3</t>
        </is>
      </c>
      <c r="C151" s="2" t="inlineStr">
        <is>
          <t>Approximate tree count still to reach pledge</t>
        </is>
      </c>
      <c r="D151" s="2" t="inlineStr">
        <is>
          <t>40000</t>
        </is>
      </c>
      <c r="E151" s="2" t="inlineStr">
        <is>
          <t>trees</t>
        </is>
      </c>
      <c r="F151" s="2" t="inlineStr">
        <is>
          <t>Manifesto pledge 305; Parliament PQ 34270</t>
        </is>
      </c>
      <c r="G151" s="2" t="inlineStr">
        <is>
          <t>Arithmetic difference only; Parliament says around 60000 planted by end-2025; no later cumulative count located.</t>
        </is>
      </c>
      <c r="H151" s="2" t="inlineStr"/>
    </row>
    <row r="152">
      <c r="A152" s="5" t="inlineStr">
        <is>
          <t>CC-010</t>
        </is>
      </c>
      <c r="B152" s="2" t="inlineStr">
        <is>
          <t>CC-010:4</t>
        </is>
      </c>
      <c r="C152" s="2" t="inlineStr">
        <is>
          <t>Share of pledge in Labour's own 2026 manifesto count (more than 57,000 trees, 2022-2025)</t>
        </is>
      </c>
      <c r="D152" s="2" t="inlineStr">
        <is>
          <t>57</t>
        </is>
      </c>
      <c r="E152" s="2" t="inlineStr">
        <is>
          <t>%</t>
        </is>
      </c>
      <c r="F152" s="2" t="inlineStr">
        <is>
          <t>Labour 2026 manifesto item 43</t>
        </is>
      </c>
      <c r="G152" s="2" t="inlineStr">
        <is>
          <t>Lower bound ('more than'); the party's figure is lower than the Minister's ~60,000.</t>
        </is>
      </c>
      <c r="H152" s="2" t="inlineStr"/>
    </row>
    <row r="153">
      <c r="A153" s="5" t="inlineStr">
        <is>
          <t>CC-010</t>
        </is>
      </c>
      <c r="B153" s="2" t="inlineStr">
        <is>
          <t>CC-010:5</t>
        </is>
      </c>
      <c r="C153" s="2" t="inlineStr">
        <is>
          <t>Share of five-year window elapsed by end-2025</t>
        </is>
      </c>
      <c r="D153" s="2" t="inlineStr">
        <is>
          <t>75.4</t>
        </is>
      </c>
      <c r="E153" s="2" t="inlineStr">
        <is>
          <t>%</t>
        </is>
      </c>
      <c r="F153" s="2" t="inlineStr">
        <is>
          <t>Election dates: IFES ElectionGuide</t>
        </is>
      </c>
      <c r="G153" s="2" t="inlineStr">
        <is>
          <t>2022-03-26 to 2025-12-31 of 2022-03-26 to 2027-03-26 (1826 days).</t>
        </is>
      </c>
      <c r="H153" s="2" t="inlineStr"/>
    </row>
    <row r="154">
      <c r="A154" s="5" t="inlineStr">
        <is>
          <t>CC-010</t>
        </is>
      </c>
      <c r="B154" s="2" t="inlineStr">
        <is>
          <t>CC-010:6</t>
        </is>
      </c>
      <c r="C154" s="2" t="inlineStr">
        <is>
          <t>Share of five-year window elapsed at the 30 May 2026 general election</t>
        </is>
      </c>
      <c r="D154" s="2" t="inlineStr">
        <is>
          <t>83.6</t>
        </is>
      </c>
      <c r="E154" s="2" t="inlineStr">
        <is>
          <t>%</t>
        </is>
      </c>
      <c r="F154" s="2" t="inlineStr">
        <is>
          <t>Election dates: IFES ElectionGuide</t>
        </is>
      </c>
      <c r="G154" s="2" t="inlineStr">
        <is>
          <t>The legislature for which the 2022 manifesto was written ended with this snap election.</t>
        </is>
      </c>
      <c r="H154" s="2" t="inlineStr"/>
    </row>
    <row r="155">
      <c r="A155" s="5" t="inlineStr">
        <is>
          <t>CC-012</t>
        </is>
      </c>
      <c r="B155" s="2" t="inlineStr">
        <is>
          <t>CC-012:2</t>
        </is>
      </c>
      <c r="C155" s="2" t="inlineStr">
        <is>
          <t>Gravel zone area (brightening Aug-Sep 2025 vs 2024, inside OSM park polygon)</t>
        </is>
      </c>
      <c r="D155" s="2" t="inlineStr">
        <is>
          <t>27600</t>
        </is>
      </c>
      <c r="E155" s="2" t="inlineStr">
        <is>
          <t>m2</t>
        </is>
      </c>
      <c r="F155" s="2" t="inlineStr">
        <is>
          <t>data/cc-012/gravel_zone.geojson</t>
        </is>
      </c>
      <c r="G155" s="2" t="inlineStr">
        <is>
          <t>Momentum's inspection reported about 22,000 m2</t>
        </is>
      </c>
      <c r="H155" s="2" t="inlineStr"/>
    </row>
    <row r="156">
      <c r="A156" s="5" t="inlineStr">
        <is>
          <t>CC-012</t>
        </is>
      </c>
      <c r="B156" s="2" t="inlineStr">
        <is>
          <t>CC-012:3</t>
        </is>
      </c>
      <c r="C156" s="2" t="inlineStr">
        <is>
          <t>summer 2023: NDVI gravel zone / rest of park</t>
        </is>
      </c>
      <c r="D156" s="2" t="inlineStr">
        <is>
          <t>0.15 / 0.38</t>
        </is>
      </c>
      <c r="E156" s="2" t="inlineStr">
        <is>
          <t>NDVI</t>
        </is>
      </c>
      <c r="F156" s="2" t="inlineStr">
        <is>
          <t>Sentinel-2 L2A (Copernicus) via Planetary Computer; data/cc-012/ndvi_timeseries.csv</t>
        </is>
      </c>
      <c r="G156" s="2" t="inlineStr">
        <is>
          <t>26 scenes; ratio 0.40</t>
        </is>
      </c>
      <c r="H156" s="2" t="inlineStr"/>
    </row>
    <row r="157">
      <c r="A157" s="5" t="inlineStr">
        <is>
          <t>CC-012</t>
        </is>
      </c>
      <c r="B157" s="2" t="inlineStr">
        <is>
          <t>CC-012:4</t>
        </is>
      </c>
      <c r="C157" s="2" t="inlineStr">
        <is>
          <t>winter 2023: NDVI gravel zone / rest of park</t>
        </is>
      </c>
      <c r="D157" s="2" t="inlineStr">
        <is>
          <t>0.53 / 0.67</t>
        </is>
      </c>
      <c r="E157" s="2" t="inlineStr">
        <is>
          <t>NDVI</t>
        </is>
      </c>
      <c r="F157" s="2" t="inlineStr">
        <is>
          <t>Sentinel-2 L2A (Copernicus) via Planetary Computer; data/cc-012/ndvi_timeseries.csv</t>
        </is>
      </c>
      <c r="G157" s="2" t="inlineStr">
        <is>
          <t>6 scenes; ratio 0.79</t>
        </is>
      </c>
      <c r="H157" s="2" t="inlineStr"/>
    </row>
    <row r="158">
      <c r="A158" s="5" t="inlineStr">
        <is>
          <t>CC-012</t>
        </is>
      </c>
      <c r="B158" s="2" t="inlineStr">
        <is>
          <t>CC-012:5</t>
        </is>
      </c>
      <c r="C158" s="2" t="inlineStr">
        <is>
          <t>summer 2024: NDVI gravel zone / rest of park</t>
        </is>
      </c>
      <c r="D158" s="2" t="inlineStr">
        <is>
          <t>0.15 / 0.37</t>
        </is>
      </c>
      <c r="E158" s="2" t="inlineStr">
        <is>
          <t>NDVI</t>
        </is>
      </c>
      <c r="F158" s="2" t="inlineStr">
        <is>
          <t>Sentinel-2 L2A (Copernicus) via Planetary Computer; data/cc-012/ndvi_timeseries.csv</t>
        </is>
      </c>
      <c r="G158" s="2" t="inlineStr">
        <is>
          <t>22 scenes; ratio 0.41</t>
        </is>
      </c>
      <c r="H158" s="2" t="inlineStr"/>
    </row>
    <row r="159">
      <c r="A159" s="5" t="inlineStr">
        <is>
          <t>CC-012</t>
        </is>
      </c>
      <c r="B159" s="2" t="inlineStr">
        <is>
          <t>CC-012:6</t>
        </is>
      </c>
      <c r="C159" s="2" t="inlineStr">
        <is>
          <t>winter 2024: NDVI gravel zone / rest of park</t>
        </is>
      </c>
      <c r="D159" s="2" t="inlineStr">
        <is>
          <t>0.67 / 0.68</t>
        </is>
      </c>
      <c r="E159" s="2" t="inlineStr">
        <is>
          <t>NDVI</t>
        </is>
      </c>
      <c r="F159" s="2" t="inlineStr">
        <is>
          <t>Sentinel-2 L2A (Copernicus) via Planetary Computer; data/cc-012/ndvi_timeseries.csv</t>
        </is>
      </c>
      <c r="G159" s="2" t="inlineStr">
        <is>
          <t>7 scenes; ratio 0.99</t>
        </is>
      </c>
      <c r="H159" s="2" t="inlineStr"/>
    </row>
    <row r="160">
      <c r="A160" s="5" t="inlineStr">
        <is>
          <t>CC-012</t>
        </is>
      </c>
      <c r="B160" s="2" t="inlineStr">
        <is>
          <t>CC-012:7</t>
        </is>
      </c>
      <c r="C160" s="2" t="inlineStr">
        <is>
          <t>summer 2025: NDVI gravel zone / rest of park</t>
        </is>
      </c>
      <c r="D160" s="2" t="inlineStr">
        <is>
          <t>0.10 / 0.41</t>
        </is>
      </c>
      <c r="E160" s="2" t="inlineStr">
        <is>
          <t>NDVI</t>
        </is>
      </c>
      <c r="F160" s="2" t="inlineStr">
        <is>
          <t>Sentinel-2 L2A (Copernicus) via Planetary Computer; data/cc-012/ndvi_timeseries.csv</t>
        </is>
      </c>
      <c r="G160" s="2" t="inlineStr">
        <is>
          <t>42 scenes; ratio 0.24</t>
        </is>
      </c>
      <c r="H160" s="2" t="inlineStr"/>
    </row>
    <row r="161">
      <c r="A161" s="5" t="inlineStr">
        <is>
          <t>CC-012</t>
        </is>
      </c>
      <c r="B161" s="2" t="inlineStr">
        <is>
          <t>CC-012:8</t>
        </is>
      </c>
      <c r="C161" s="2" t="inlineStr">
        <is>
          <t>winter 2025: NDVI gravel zone / rest of park</t>
        </is>
      </c>
      <c r="D161" s="2" t="inlineStr">
        <is>
          <t>0.57 / 0.65</t>
        </is>
      </c>
      <c r="E161" s="2" t="inlineStr">
        <is>
          <t>NDVI</t>
        </is>
      </c>
      <c r="F161" s="2" t="inlineStr">
        <is>
          <t>Sentinel-2 L2A (Copernicus) via Planetary Computer; data/cc-012/ndvi_timeseries.csv</t>
        </is>
      </c>
      <c r="G161" s="2" t="inlineStr">
        <is>
          <t>5 scenes; ratio 0.88</t>
        </is>
      </c>
      <c r="H161" s="2" t="inlineStr"/>
    </row>
    <row r="162">
      <c r="A162" s="5" t="inlineStr">
        <is>
          <t>CC-012</t>
        </is>
      </c>
      <c r="B162" s="2" t="inlineStr">
        <is>
          <t>CC-012:9</t>
        </is>
      </c>
      <c r="C162" s="2" t="inlineStr">
        <is>
          <t>summer 2026: NDVI gravel zone / rest of park</t>
        </is>
      </c>
      <c r="D162" s="2" t="inlineStr">
        <is>
          <t>0.09 / 0.42</t>
        </is>
      </c>
      <c r="E162" s="2" t="inlineStr">
        <is>
          <t>NDVI</t>
        </is>
      </c>
      <c r="F162" s="2" t="inlineStr">
        <is>
          <t>Sentinel-2 L2A (Copernicus) via Planetary Computer; data/cc-012/ndvi_timeseries.csv</t>
        </is>
      </c>
      <c r="G162" s="2" t="inlineStr">
        <is>
          <t>31 scenes; ratio 0.22</t>
        </is>
      </c>
      <c r="H162" s="2" t="inlineStr"/>
    </row>
    <row r="163">
      <c r="A163" s="5" t="inlineStr">
        <is>
          <t>CC-012</t>
        </is>
      </c>
      <c r="B163" s="2" t="inlineStr">
        <is>
          <t>CC-012:10</t>
        </is>
      </c>
      <c r="C163" s="2" t="inlineStr">
        <is>
          <t>winter 2026: NDVI gravel zone / rest of park</t>
        </is>
      </c>
      <c r="D163" s="2" t="inlineStr">
        <is>
          <t>0.15 / 0.68</t>
        </is>
      </c>
      <c r="E163" s="2" t="inlineStr">
        <is>
          <t>NDVI</t>
        </is>
      </c>
      <c r="F163" s="2" t="inlineStr">
        <is>
          <t>Sentinel-2 L2A (Copernicus) via Planetary Computer; data/cc-012/ndvi_timeseries.csv</t>
        </is>
      </c>
      <c r="G163" s="2" t="inlineStr">
        <is>
          <t>5 scenes; ratio 0.22</t>
        </is>
      </c>
      <c r="H163" s="2" t="inlineStr"/>
    </row>
    <row r="164">
      <c r="A164" s="5" t="inlineStr">
        <is>
          <t>CC-012</t>
        </is>
      </c>
      <c r="B164" s="2" t="inlineStr">
        <is>
          <t>CC-012:11</t>
        </is>
      </c>
      <c r="C164" s="2" t="inlineStr">
        <is>
          <t>Winter ratio zone/rest of park, before gravel (2023-2025)</t>
        </is>
      </c>
      <c r="D164" s="2" t="inlineStr">
        <is>
          <t>0.88</t>
        </is>
      </c>
      <c r="E164" s="2" t="inlineStr">
        <is>
          <t>ratio</t>
        </is>
      </c>
      <c r="F164" s="2" t="inlineStr">
        <is>
          <t>Sentinel-2 L2A (Copernicus) via Planetary Computer; data/cc-012/ndvi_timeseries.csv</t>
        </is>
      </c>
      <c r="G164" s="2" t="inlineStr">
        <is>
          <t>18 scenes</t>
        </is>
      </c>
      <c r="H164" s="2" t="inlineStr"/>
    </row>
    <row r="165">
      <c r="A165" s="5" t="inlineStr">
        <is>
          <t>CC-012</t>
        </is>
      </c>
      <c r="B165" s="2" t="inlineStr">
        <is>
          <t>CC-012:12</t>
        </is>
      </c>
      <c r="C165" s="2" t="inlineStr">
        <is>
          <t>Winter ratio zone/rest of park, after gravel (2025-26)</t>
        </is>
      </c>
      <c r="D165" s="2" t="inlineStr">
        <is>
          <t>0.23</t>
        </is>
      </c>
      <c r="E165" s="2" t="inlineStr">
        <is>
          <t>ratio</t>
        </is>
      </c>
      <c r="F165" s="2" t="inlineStr">
        <is>
          <t>Sentinel-2 L2A (Copernicus) via Planetary Computer; data/cc-012/ndvi_timeseries.csv</t>
        </is>
      </c>
      <c r="G165" s="2" t="inlineStr">
        <is>
          <t>5 scenes</t>
        </is>
      </c>
      <c r="H165" s="2" t="inlineStr"/>
    </row>
    <row r="166">
      <c r="A166" s="5" t="inlineStr">
        <is>
          <t>CC-012</t>
        </is>
      </c>
      <c r="B166" s="2" t="inlineStr">
        <is>
          <t>CC-012:13</t>
        </is>
      </c>
      <c r="C166" s="2" t="inlineStr">
        <is>
          <t>Brightness in zone, May 2025 -&gt; Aug 2025</t>
        </is>
      </c>
      <c r="D166" s="2" t="inlineStr">
        <is>
          <t>0.19 -&gt; 0.32</t>
        </is>
      </c>
      <c r="E166" s="2" t="inlineStr">
        <is>
          <t>surface reflectance (0-1)</t>
        </is>
      </c>
      <c r="F166" s="2" t="inlineStr">
        <is>
          <t>Sentinel-2 L2A (Copernicus) via Planetary Computer; data/cc-012/ndvi_timeseries.csv</t>
        </is>
      </c>
      <c r="G166" s="2" t="inlineStr">
        <is>
          <t>gravel laid June 2025</t>
        </is>
      </c>
      <c r="H166" s="2" t="inlineStr"/>
    </row>
    <row r="167">
      <c r="A167" s="5" t="inlineStr">
        <is>
          <t>CC-012</t>
        </is>
      </c>
      <c r="B167" s="2" t="inlineStr">
        <is>
          <t>CC-012:14</t>
        </is>
      </c>
      <c r="C167" s="2" t="inlineStr">
        <is>
          <t>Latest clear scene</t>
        </is>
      </c>
      <c r="D167" s="2" t="inlineStr">
        <is>
          <t>2026-09-27</t>
        </is>
      </c>
      <c r="E167" s="2" t="inlineStr">
        <is>
          <t>date</t>
        </is>
      </c>
      <c r="F167" s="2" t="inlineStr">
        <is>
          <t>Sentinel-2 L2A (Copernicus) via Planetary Computer; data/cc-012/ndvi_timeseries.csv</t>
        </is>
      </c>
      <c r="G167" s="2" t="inlineStr">
        <is>
          <t>NDVI zone 0.13 vs rest 0.51; brightness 0.25 vs 0.08</t>
        </is>
      </c>
      <c r="H167" s="2" t="inlineStr"/>
    </row>
    <row r="168">
      <c r="A168" s="5" t="inlineStr">
        <is>
          <t>CC-012</t>
        </is>
      </c>
      <c r="B168" s="2" t="inlineStr">
        <is>
          <t>CC-012:15</t>
        </is>
      </c>
      <c r="C168" s="2" t="inlineStr">
        <is>
          <t>Brightness in zone, Aug-Sep 2026 median</t>
        </is>
      </c>
      <c r="D168" s="2" t="inlineStr">
        <is>
          <t>0.30</t>
        </is>
      </c>
      <c r="E168" s="2" t="inlineStr">
        <is>
          <t>surface reflectance (0-1)</t>
        </is>
      </c>
      <c r="F168" s="2" t="inlineStr">
        <is>
          <t>Sentinel-2 L2A (Copernicus) via Planetary Computer; data/cc-012/ndvi_timeseries.csv</t>
        </is>
      </c>
      <c r="G168" s="2" t="inlineStr">
        <is>
          <t>pre-gravel scenes (Jan 2023-May 2025) ranged 0.06-0.26; Aug-Sep 2023 and 2024 medians 0.19 and 0.21</t>
        </is>
      </c>
      <c r="H168" s="2" t="inlineStr"/>
    </row>
    <row r="169">
      <c r="A169" s="5" t="inlineStr">
        <is>
          <t>CC-013</t>
        </is>
      </c>
      <c r="B169" s="2" t="inlineStr">
        <is>
          <t>CC-013:2</t>
        </is>
      </c>
      <c r="C169" s="2" t="inlineStr">
        <is>
          <t>Approved dwelling units, 2015-2024</t>
        </is>
      </c>
      <c r="D169" s="2" t="inlineStr">
        <is>
          <t>87814</t>
        </is>
      </c>
      <c r="E169" s="2" t="inlineStr">
        <is>
          <t>units</t>
        </is>
      </c>
      <c r="F169" s="2" t="inlineStr">
        <is>
          <t>PA approved dwellings</t>
        </is>
      </c>
      <c r="G169" s="2" t="inlineStr">
        <is>
          <t>interviewer's figure: about 91,000 in the past decade</t>
        </is>
      </c>
      <c r="H169" s="2" t="inlineStr"/>
    </row>
    <row r="170">
      <c r="A170" s="5" t="inlineStr">
        <is>
          <t>CC-013</t>
        </is>
      </c>
      <c r="B170" s="2" t="inlineStr">
        <is>
          <t>CC-013:3</t>
        </is>
      </c>
      <c r="C170" s="2" t="inlineStr">
        <is>
          <t>Approved dwelling units, 2014-2023</t>
        </is>
      </c>
      <c r="D170" s="2" t="inlineStr">
        <is>
          <t>82022</t>
        </is>
      </c>
      <c r="E170" s="2" t="inlineStr">
        <is>
          <t>units</t>
        </is>
      </c>
      <c r="F170" s="2" t="inlineStr">
        <is>
          <t>PA approved dwellings</t>
        </is>
      </c>
      <c r="G170" s="2" t="inlineStr"/>
      <c r="H170" s="2" t="inlineStr"/>
    </row>
    <row r="171">
      <c r="A171" s="5" t="inlineStr">
        <is>
          <t>CC-013</t>
        </is>
      </c>
      <c r="B171" s="2" t="inlineStr">
        <is>
          <t>CC-013:4</t>
        </is>
      </c>
      <c r="C171" s="2" t="inlineStr">
        <is>
          <t>Approved units, 2009-2014 average</t>
        </is>
      </c>
      <c r="D171" s="2" t="inlineStr">
        <is>
          <t>3688</t>
        </is>
      </c>
      <c r="E171" s="2" t="inlineStr">
        <is>
          <t>units/yr</t>
        </is>
      </c>
      <c r="F171" s="2" t="inlineStr">
        <is>
          <t>PA</t>
        </is>
      </c>
      <c r="G171" s="2" t="inlineStr"/>
      <c r="H171" s="2" t="inlineStr"/>
    </row>
    <row r="172">
      <c r="A172" s="5" t="inlineStr">
        <is>
          <t>CC-013</t>
        </is>
      </c>
      <c r="B172" s="2" t="inlineStr">
        <is>
          <t>CC-013:5</t>
        </is>
      </c>
      <c r="C172" s="2" t="inlineStr">
        <is>
          <t>Approved units, 2016-2024 average</t>
        </is>
      </c>
      <c r="D172" s="2" t="inlineStr">
        <is>
          <t>9319</t>
        </is>
      </c>
      <c r="E172" s="2" t="inlineStr">
        <is>
          <t>units/yr</t>
        </is>
      </c>
      <c r="F172" s="2" t="inlineStr">
        <is>
          <t>PA</t>
        </is>
      </c>
      <c r="G172" s="2" t="inlineStr"/>
      <c r="H172" s="2" t="inlineStr"/>
    </row>
    <row r="173">
      <c r="A173" s="5" t="inlineStr">
        <is>
          <t>CC-013</t>
        </is>
      </c>
      <c r="B173" s="2" t="inlineStr">
        <is>
          <t>CC-013:6</t>
        </is>
      </c>
      <c r="C173" s="2" t="inlineStr">
        <is>
          <t>Malta: nominal house prices 2015-2024</t>
        </is>
      </c>
      <c r="D173" s="2" t="inlineStr">
        <is>
          <t>64</t>
        </is>
      </c>
      <c r="E173" s="2" t="inlineStr">
        <is>
          <t>%</t>
        </is>
      </c>
      <c r="F173" s="2" t="inlineStr">
        <is>
          <t>Eurostat prc_hpi_a</t>
        </is>
      </c>
      <c r="G173" s="2" t="inlineStr"/>
      <c r="H173" s="2" t="inlineStr"/>
    </row>
    <row r="174">
      <c r="A174" s="5" t="inlineStr">
        <is>
          <t>CC-013</t>
        </is>
      </c>
      <c r="B174" s="2" t="inlineStr">
        <is>
          <t>CC-013:7</t>
        </is>
      </c>
      <c r="C174" s="2" t="inlineStr">
        <is>
          <t>Malta: real house prices 2015-2024</t>
        </is>
      </c>
      <c r="D174" s="2" t="inlineStr">
        <is>
          <t>26</t>
        </is>
      </c>
      <c r="E174" s="2" t="inlineStr">
        <is>
          <t>%</t>
        </is>
      </c>
      <c r="F174" s="2" t="inlineStr">
        <is>
          <t>Eurostat tipsho10</t>
        </is>
      </c>
      <c r="G174" s="2" t="inlineStr"/>
      <c r="H174" s="2" t="inlineStr"/>
    </row>
    <row r="175">
      <c r="A175" s="5" t="inlineStr">
        <is>
          <t>CC-013</t>
        </is>
      </c>
      <c r="B175" s="2" t="inlineStr">
        <is>
          <t>CC-013:8</t>
        </is>
      </c>
      <c r="C175" s="2" t="inlineStr">
        <is>
          <t>Malta: real house prices 2015-2025</t>
        </is>
      </c>
      <c r="D175" s="2" t="inlineStr">
        <is>
          <t>34</t>
        </is>
      </c>
      <c r="E175" s="2" t="inlineStr">
        <is>
          <t>%</t>
        </is>
      </c>
      <c r="F175" s="2" t="inlineStr">
        <is>
          <t>Eurostat tipsho10</t>
        </is>
      </c>
      <c r="G175" s="2" t="inlineStr">
        <is>
          <t>used in the report; Eurostat flag 2025: p (provisional)</t>
        </is>
      </c>
      <c r="H175" s="2" t="inlineStr"/>
    </row>
    <row r="176">
      <c r="A176" s="5" t="inlineStr">
        <is>
          <t>CC-013</t>
        </is>
      </c>
      <c r="B176" s="2" t="inlineStr">
        <is>
          <t>CC-013:9</t>
        </is>
      </c>
      <c r="C176" s="2" t="inlineStr">
        <is>
          <t>Malta: years 2016-2025 with real price growth</t>
        </is>
      </c>
      <c r="D176" s="2" t="inlineStr">
        <is>
          <t>9</t>
        </is>
      </c>
      <c r="E176" s="2" t="inlineStr">
        <is>
          <t>of 10</t>
        </is>
      </c>
      <c r="F176" s="2" t="inlineStr">
        <is>
          <t>Eurostat tipsho10</t>
        </is>
      </c>
      <c r="G176" s="2" t="inlineStr"/>
      <c r="H176" s="2" t="inlineStr"/>
    </row>
    <row r="177">
      <c r="A177" s="5" t="inlineStr">
        <is>
          <t>CC-013</t>
        </is>
      </c>
      <c r="B177" s="2" t="inlineStr">
        <is>
          <t>CC-013:10</t>
        </is>
      </c>
      <c r="C177" s="2" t="inlineStr">
        <is>
          <t>Malta: population growth 2015-2025</t>
        </is>
      </c>
      <c r="D177" s="2" t="inlineStr">
        <is>
          <t>30.9</t>
        </is>
      </c>
      <c r="E177" s="2" t="inlineStr">
        <is>
          <t>%</t>
        </is>
      </c>
      <c r="F177" s="2" t="inlineStr">
        <is>
          <t>Eurostat demo_gind</t>
        </is>
      </c>
      <c r="G177" s="2" t="inlineStr"/>
      <c r="H177" s="2" t="inlineStr"/>
    </row>
    <row r="178">
      <c r="A178" s="5" t="inlineStr">
        <is>
          <t>CC-013</t>
        </is>
      </c>
      <c r="B178" s="2" t="inlineStr">
        <is>
          <t>CC-013:11</t>
        </is>
      </c>
      <c r="C178" s="2" t="inlineStr">
        <is>
          <t>Malta: housing cost overburden 2015 -&gt; 2022</t>
        </is>
      </c>
      <c r="D178" s="2" t="inlineStr">
        <is>
          <t>1.1 -&gt; 2.9</t>
        </is>
      </c>
      <c r="E178" s="2" t="inlineStr">
        <is>
          <t>% of pop.</t>
        </is>
      </c>
      <c r="F178" s="2" t="inlineStr">
        <is>
          <t>Eurostat ilc_lvho07a</t>
        </is>
      </c>
      <c r="G178" s="2" t="inlineStr"/>
      <c r="H178" s="2" t="inlineStr"/>
    </row>
    <row r="179">
      <c r="A179" s="5" t="inlineStr">
        <is>
          <t>CC-013</t>
        </is>
      </c>
      <c r="B179" s="2" t="inlineStr">
        <is>
          <t>CC-013:12</t>
        </is>
      </c>
      <c r="C179" s="2" t="inlineStr">
        <is>
          <t>Malta: housing cost overburden 2023 -&gt; 2024 -&gt; 2025</t>
        </is>
      </c>
      <c r="D179" s="2" t="inlineStr">
        <is>
          <t>6.0 -&gt; 5.9 -&gt; 6.0</t>
        </is>
      </c>
      <c r="E179" s="2" t="inlineStr">
        <is>
          <t>% of pop.</t>
        </is>
      </c>
      <c r="F179" s="2" t="inlineStr">
        <is>
          <t>Eurostat ilc_lvho07a</t>
        </is>
      </c>
      <c r="G179" s="2" t="inlineStr">
        <is>
          <t>Eurostat flag 2023: b (break in series)</t>
        </is>
      </c>
      <c r="H179" s="2" t="inlineStr"/>
    </row>
    <row r="180">
      <c r="A180" s="5" t="inlineStr">
        <is>
          <t>CC-013</t>
        </is>
      </c>
      <c r="B180" s="2" t="inlineStr">
        <is>
          <t>CC-013:13</t>
        </is>
      </c>
      <c r="C180" s="2" t="inlineStr">
        <is>
          <t>Malta: overcrowding 2015 -&gt; 2025</t>
        </is>
      </c>
      <c r="D180" s="2" t="inlineStr">
        <is>
          <t>3.8 -&gt; 4.7</t>
        </is>
      </c>
      <c r="E180" s="2" t="inlineStr">
        <is>
          <t>% of pop.</t>
        </is>
      </c>
      <c r="F180" s="2" t="inlineStr">
        <is>
          <t>Eurostat ilc_lvho05a</t>
        </is>
      </c>
      <c r="G180" s="2" t="inlineStr"/>
      <c r="H180" s="2" t="inlineStr"/>
    </row>
    <row r="181">
      <c r="A181" s="5" t="inlineStr">
        <is>
          <t>CC-013</t>
        </is>
      </c>
      <c r="B181" s="2" t="inlineStr">
        <is>
          <t>CC-013:14</t>
        </is>
      </c>
      <c r="C181" s="2" t="inlineStr">
        <is>
          <t>EU-27: nominal house prices 2015-2024</t>
        </is>
      </c>
      <c r="D181" s="2" t="inlineStr">
        <is>
          <t>53</t>
        </is>
      </c>
      <c r="E181" s="2" t="inlineStr">
        <is>
          <t>%</t>
        </is>
      </c>
      <c r="F181" s="2" t="inlineStr">
        <is>
          <t>Eurostat prc_hpi_a</t>
        </is>
      </c>
      <c r="G181" s="2" t="inlineStr"/>
      <c r="H181" s="2" t="inlineStr"/>
    </row>
    <row r="182">
      <c r="A182" s="5" t="inlineStr">
        <is>
          <t>CC-013</t>
        </is>
      </c>
      <c r="B182" s="2" t="inlineStr">
        <is>
          <t>CC-013:15</t>
        </is>
      </c>
      <c r="C182" s="2" t="inlineStr">
        <is>
          <t>EU-27: real house prices 2015-2024</t>
        </is>
      </c>
      <c r="D182" s="2" t="inlineStr">
        <is>
          <t>21</t>
        </is>
      </c>
      <c r="E182" s="2" t="inlineStr">
        <is>
          <t>%</t>
        </is>
      </c>
      <c r="F182" s="2" t="inlineStr">
        <is>
          <t>Eurostat tipsho10</t>
        </is>
      </c>
      <c r="G182" s="2" t="inlineStr"/>
      <c r="H182" s="2" t="inlineStr"/>
    </row>
    <row r="183">
      <c r="A183" s="5" t="inlineStr">
        <is>
          <t>CC-013</t>
        </is>
      </c>
      <c r="B183" s="2" t="inlineStr">
        <is>
          <t>CC-013:16</t>
        </is>
      </c>
      <c r="C183" s="2" t="inlineStr">
        <is>
          <t>EU-27: real house prices 2015-2025</t>
        </is>
      </c>
      <c r="D183" s="2" t="inlineStr">
        <is>
          <t>25</t>
        </is>
      </c>
      <c r="E183" s="2" t="inlineStr">
        <is>
          <t>%</t>
        </is>
      </c>
      <c r="F183" s="2" t="inlineStr">
        <is>
          <t>Eurostat tipsho10</t>
        </is>
      </c>
      <c r="G183" s="2" t="inlineStr">
        <is>
          <t>used in the report</t>
        </is>
      </c>
      <c r="H183" s="2" t="inlineStr"/>
    </row>
    <row r="184">
      <c r="A184" s="5" t="inlineStr">
        <is>
          <t>CC-013</t>
        </is>
      </c>
      <c r="B184" s="2" t="inlineStr">
        <is>
          <t>CC-013:17</t>
        </is>
      </c>
      <c r="C184" s="2" t="inlineStr">
        <is>
          <t>EU-27: years 2016-2025 with real price growth</t>
        </is>
      </c>
      <c r="D184" s="2" t="inlineStr">
        <is>
          <t>9</t>
        </is>
      </c>
      <c r="E184" s="2" t="inlineStr">
        <is>
          <t>of 10</t>
        </is>
      </c>
      <c r="F184" s="2" t="inlineStr">
        <is>
          <t>Eurostat tipsho10</t>
        </is>
      </c>
      <c r="G184" s="2" t="inlineStr"/>
      <c r="H184" s="2" t="inlineStr"/>
    </row>
    <row r="185">
      <c r="A185" s="5" t="inlineStr">
        <is>
          <t>CC-013</t>
        </is>
      </c>
      <c r="B185" s="2" t="inlineStr">
        <is>
          <t>CC-013:18</t>
        </is>
      </c>
      <c r="C185" s="2" t="inlineStr">
        <is>
          <t>EU-27: population growth 2015-2025</t>
        </is>
      </c>
      <c r="D185" s="2" t="inlineStr">
        <is>
          <t>1.9</t>
        </is>
      </c>
      <c r="E185" s="2" t="inlineStr">
        <is>
          <t>%</t>
        </is>
      </c>
      <c r="F185" s="2" t="inlineStr">
        <is>
          <t>Eurostat demo_gind</t>
        </is>
      </c>
      <c r="G185" s="2" t="inlineStr"/>
      <c r="H185" s="2" t="inlineStr"/>
    </row>
    <row r="186">
      <c r="A186" s="5" t="inlineStr">
        <is>
          <t>CC-013</t>
        </is>
      </c>
      <c r="B186" s="2" t="inlineStr">
        <is>
          <t>CC-013:19</t>
        </is>
      </c>
      <c r="C186" s="2" t="inlineStr">
        <is>
          <t>EU-27: housing cost overburden 2015 -&gt; 2022</t>
        </is>
      </c>
      <c r="D186" s="2" t="inlineStr">
        <is>
          <t>11.2 -&gt; 8.7</t>
        </is>
      </c>
      <c r="E186" s="2" t="inlineStr">
        <is>
          <t>% of pop.</t>
        </is>
      </c>
      <c r="F186" s="2" t="inlineStr">
        <is>
          <t>Eurostat ilc_lvho07a</t>
        </is>
      </c>
      <c r="G186" s="2" t="inlineStr">
        <is>
          <t>Eurostat flag 2015: e (estimated); 2016: e (estimated); 2017: e (estimated); 2018: e (estimated)</t>
        </is>
      </c>
      <c r="H186" s="2" t="inlineStr"/>
    </row>
    <row r="187">
      <c r="A187" s="5" t="inlineStr">
        <is>
          <t>CC-013</t>
        </is>
      </c>
      <c r="B187" s="2" t="inlineStr">
        <is>
          <t>CC-013:20</t>
        </is>
      </c>
      <c r="C187" s="2" t="inlineStr">
        <is>
          <t>EU-27: housing cost overburden 2023 -&gt; 2024 -&gt; 2025</t>
        </is>
      </c>
      <c r="D187" s="2" t="inlineStr">
        <is>
          <t>8.8 -&gt; 8.2 -&gt; 7.7</t>
        </is>
      </c>
      <c r="E187" s="2" t="inlineStr">
        <is>
          <t>% of pop.</t>
        </is>
      </c>
      <c r="F187" s="2" t="inlineStr">
        <is>
          <t>Eurostat ilc_lvho07a</t>
        </is>
      </c>
      <c r="G187" s="2" t="inlineStr"/>
      <c r="H187" s="2" t="inlineStr"/>
    </row>
    <row r="188">
      <c r="A188" s="5" t="inlineStr">
        <is>
          <t>CC-013</t>
        </is>
      </c>
      <c r="B188" s="2" t="inlineStr">
        <is>
          <t>CC-013:21</t>
        </is>
      </c>
      <c r="C188" s="2" t="inlineStr">
        <is>
          <t>EU-27: overcrowding 2015 -&gt; 2025</t>
        </is>
      </c>
      <c r="D188" s="2" t="inlineStr">
        <is>
          <t>18.1 -&gt; 16.8</t>
        </is>
      </c>
      <c r="E188" s="2" t="inlineStr">
        <is>
          <t>% of pop.</t>
        </is>
      </c>
      <c r="F188" s="2" t="inlineStr">
        <is>
          <t>Eurostat ilc_lvho05a</t>
        </is>
      </c>
      <c r="G188" s="2" t="inlineStr"/>
      <c r="H188" s="2" t="inlineStr"/>
    </row>
    <row r="189">
      <c r="A189" s="5" t="inlineStr">
        <is>
          <t>CC-013</t>
        </is>
      </c>
      <c r="B189" s="2" t="inlineStr">
        <is>
          <t>CC-013:22</t>
        </is>
      </c>
      <c r="C189" s="2" t="inlineStr">
        <is>
          <t>Malta: mean real price growth in years with &gt;=9,000 approvals</t>
        </is>
      </c>
      <c r="D189" s="2" t="inlineStr">
        <is>
          <t>3.8</t>
        </is>
      </c>
      <c r="E189" s="2" t="inlineStr">
        <is>
          <t>%/yr</t>
        </is>
      </c>
      <c r="F189" s="2" t="inlineStr">
        <is>
          <t>calculated</t>
        </is>
      </c>
      <c r="G189" s="2" t="inlineStr">
        <is>
          <t>2017, 2018, 2019, 2022</t>
        </is>
      </c>
      <c r="H189" s="2" t="inlineStr"/>
    </row>
    <row r="190">
      <c r="A190" s="5" t="inlineStr">
        <is>
          <t>CC-013</t>
        </is>
      </c>
      <c r="B190" s="2" t="inlineStr">
        <is>
          <t>CC-013:23</t>
        </is>
      </c>
      <c r="C190" s="2" t="inlineStr">
        <is>
          <t>Malta: mean real price growth in years with &lt;9,000 approvals</t>
        </is>
      </c>
      <c r="D190" s="2" t="inlineStr">
        <is>
          <t>1.7</t>
        </is>
      </c>
      <c r="E190" s="2" t="inlineStr">
        <is>
          <t>%/yr</t>
        </is>
      </c>
      <c r="F190" s="2" t="inlineStr">
        <is>
          <t>calculated</t>
        </is>
      </c>
      <c r="G190" s="2" t="inlineStr">
        <is>
          <t>2016, 2020, 2021, 2023, 2024</t>
        </is>
      </c>
      <c r="H190" s="2" t="inlineStr"/>
    </row>
    <row r="191">
      <c r="A191" s="5" t="inlineStr">
        <is>
          <t>CC-013</t>
        </is>
      </c>
      <c r="B191" s="2" t="inlineStr">
        <is>
          <t>CC-013:24</t>
        </is>
      </c>
      <c r="C191" s="2" t="inlineStr">
        <is>
          <t>Malta: approved units per additional resident, 2015-2024</t>
        </is>
      </c>
      <c r="D191" s="2" t="inlineStr">
        <is>
          <t>0.65</t>
        </is>
      </c>
      <c r="E191" s="2" t="inlineStr">
        <is>
          <t>units/person</t>
        </is>
      </c>
      <c r="F191" s="2" t="inlineStr">
        <is>
          <t>calculated</t>
        </is>
      </c>
      <c r="G191" s="2" t="inlineStr">
        <is>
          <t>population +135,445</t>
        </is>
      </c>
      <c r="H191" s="2" t="inlineStr"/>
    </row>
    <row r="192">
      <c r="A192" s="5" t="inlineStr">
        <is>
          <t>CC-013</t>
        </is>
      </c>
      <c r="B192" s="2" t="inlineStr">
        <is>
          <t>CC-013:25</t>
        </is>
      </c>
      <c r="C192" s="2" t="inlineStr">
        <is>
          <t>Census 2021: dwellings not used as main residence</t>
        </is>
      </c>
      <c r="D192" s="2" t="inlineStr">
        <is>
          <t>81613</t>
        </is>
      </c>
      <c r="E192" s="2" t="inlineStr">
        <is>
          <t>dwellings</t>
        </is>
      </c>
      <c r="F192" s="2" t="inlineStr">
        <is>
          <t>NSO Census 2021 vol. 2</t>
        </is>
      </c>
      <c r="G192" s="2" t="inlineStr">
        <is>
          <t>27.5% of stock (2011: 31.8%)</t>
        </is>
      </c>
      <c r="H192" s="2" t="inlineStr"/>
    </row>
    <row r="193">
      <c r="A193" s="5" t="inlineStr">
        <is>
          <t>CC-013</t>
        </is>
      </c>
      <c r="B193" s="2" t="inlineStr">
        <is>
          <t>CC-013:26</t>
        </is>
      </c>
      <c r="C193" s="2" t="inlineStr">
        <is>
          <t>Malta: change in population 2015-2025, EU-27 rank (1 = largest rise)</t>
        </is>
      </c>
      <c r="D193" s="2" t="inlineStr">
        <is>
          <t>1</t>
        </is>
      </c>
      <c r="E193" s="2" t="inlineStr">
        <is>
          <t>of 27</t>
        </is>
      </c>
      <c r="F193" s="2" t="inlineStr">
        <is>
          <t>Eurostat demo_gind (JAN), all EU-27, retrieved 5 Oct 2026</t>
        </is>
      </c>
      <c r="G193" s="2" t="inlineStr">
        <is>
          <t>Malta +30.9%; EU-27 +1.9%; largest: MT +30.9%, LU +21.1%, IE +16.3%; median Member State +3.5%; Eurostat flag 2015: e (estimated); 2025: ep (estimated, provisional)</t>
        </is>
      </c>
      <c r="H193" s="2" t="inlineStr"/>
    </row>
    <row r="194">
      <c r="A194" s="5" t="inlineStr">
        <is>
          <t>CC-013</t>
        </is>
      </c>
      <c r="B194" s="2" t="inlineStr">
        <is>
          <t>CC-013:27</t>
        </is>
      </c>
      <c r="C194" s="2" t="inlineStr">
        <is>
          <t>Malta: change in real house prices 2015-2025, EU-27 rank (1 = largest rise)</t>
        </is>
      </c>
      <c r="D194" s="2" t="inlineStr">
        <is>
          <t>16</t>
        </is>
      </c>
      <c r="E194" s="2" t="inlineStr">
        <is>
          <t>of 27</t>
        </is>
      </c>
      <c r="F194" s="2" t="inlineStr">
        <is>
          <t>Eurostat tipsho10 (I15_A_AVG), all EU-27, retrieved 5 Oct 2026</t>
        </is>
      </c>
      <c r="G194" s="2" t="inlineStr">
        <is>
          <t>Malta +34.2%; EU-27 +24.8%; largest: PT +106.4%, HU +103.8%, HR +66.8%; median Member State +41.2%; Eurostat flag 2025: p (provisional)</t>
        </is>
      </c>
      <c r="H194" s="2" t="inlineStr"/>
    </row>
    <row r="195">
      <c r="A195" s="5" t="inlineStr">
        <is>
          <t>CC-013</t>
        </is>
      </c>
      <c r="B195" s="2" t="inlineStr">
        <is>
          <t>CC-013:28</t>
        </is>
      </c>
      <c r="C195" s="2" t="inlineStr">
        <is>
          <t>Malta: change in actual rentals (HICP) 2015-2025, EU-27 rank (1 = largest rise)</t>
        </is>
      </c>
      <c r="D195" s="2" t="inlineStr">
        <is>
          <t>8</t>
        </is>
      </c>
      <c r="E195" s="2" t="inlineStr">
        <is>
          <t>of 27</t>
        </is>
      </c>
      <c r="F195" s="2" t="inlineStr">
        <is>
          <t>Eurostat prc_hicp_aind (CP041, INX_A_AVG), all EU-27, retrieved 5 Oct 2026</t>
        </is>
      </c>
      <c r="G195" s="2" t="inlineStr">
        <is>
          <t>Malta +53.1%; EU-27 +20.5%; largest: HU +105.4%, LT +83.5%, SI +73.8%; median Member State +30.3%;</t>
        </is>
      </c>
      <c r="H195" s="2" t="inlineStr"/>
    </row>
    <row r="196">
      <c r="A196" s="5" t="inlineStr">
        <is>
          <t>CC-013</t>
        </is>
      </c>
      <c r="B196" s="2" t="inlineStr">
        <is>
          <t>CC-013:29</t>
        </is>
      </c>
      <c r="C196" s="2" t="inlineStr">
        <is>
          <t>Malta population growth 2015-2025 as a multiple of the EU-27's</t>
        </is>
      </c>
      <c r="D196" s="2" t="inlineStr">
        <is>
          <t>16.3</t>
        </is>
      </c>
      <c r="E196" s="2" t="inlineStr">
        <is>
          <t>times</t>
        </is>
      </c>
      <c r="F196" s="2" t="inlineStr">
        <is>
          <t>Eurostat demo_gind (JAN), retrieved 5 Oct 2026</t>
        </is>
      </c>
      <c r="G196" s="2" t="inlineStr">
        <is>
          <t>30.87% / 1.90% (v1.1 text said 'fifteen times')</t>
        </is>
      </c>
      <c r="H196" s="2" t="inlineStr"/>
    </row>
    <row r="197">
      <c r="A197" s="5" t="inlineStr">
        <is>
          <t>CC-013</t>
        </is>
      </c>
      <c r="B197" s="2" t="inlineStr">
        <is>
          <t>CC-013:30</t>
        </is>
      </c>
      <c r="C197" s="2" t="inlineStr">
        <is>
          <t>DE: real house prices 2015-2025</t>
        </is>
      </c>
      <c r="D197" s="2" t="inlineStr">
        <is>
          <t>16.5</t>
        </is>
      </c>
      <c r="E197" s="2" t="inlineStr">
        <is>
          <t>%</t>
        </is>
      </c>
      <c r="F197" s="2" t="inlineStr">
        <is>
          <t>Eurostat tipsho10, retrieved 5 Oct 2026</t>
        </is>
      </c>
      <c r="G197" s="2" t="inlineStr">
        <is>
          <t>population +2.9%; weight in EU-27 HPI 2025: 215.05 per mille</t>
        </is>
      </c>
      <c r="H197" s="2" t="inlineStr"/>
    </row>
    <row r="198">
      <c r="A198" s="5" t="inlineStr">
        <is>
          <t>CC-013</t>
        </is>
      </c>
      <c r="B198" s="2" t="inlineStr">
        <is>
          <t>CC-013:31</t>
        </is>
      </c>
      <c r="C198" s="2" t="inlineStr">
        <is>
          <t>FR: real house prices 2015-2025</t>
        </is>
      </c>
      <c r="D198" s="2" t="inlineStr">
        <is>
          <t>3.7</t>
        </is>
      </c>
      <c r="E198" s="2" t="inlineStr">
        <is>
          <t>%</t>
        </is>
      </c>
      <c r="F198" s="2" t="inlineStr">
        <is>
          <t>Eurostat tipsho10, retrieved 5 Oct 2026</t>
        </is>
      </c>
      <c r="G198" s="2" t="inlineStr">
        <is>
          <t>population +3.6%; weight in EU-27 HPI 2025: 146.66 per mille</t>
        </is>
      </c>
      <c r="H198" s="2" t="inlineStr"/>
    </row>
    <row r="199">
      <c r="A199" s="5" t="inlineStr">
        <is>
          <t>CC-013</t>
        </is>
      </c>
      <c r="B199" s="2" t="inlineStr">
        <is>
          <t>CC-013:32</t>
        </is>
      </c>
      <c r="C199" s="2" t="inlineStr">
        <is>
          <t>IT: real house prices 2015-2025</t>
        </is>
      </c>
      <c r="D199" s="2" t="inlineStr">
        <is>
          <t>-5.4</t>
        </is>
      </c>
      <c r="E199" s="2" t="inlineStr">
        <is>
          <t>%</t>
        </is>
      </c>
      <c r="F199" s="2" t="inlineStr">
        <is>
          <t>Eurostat tipsho10, retrieved 5 Oct 2026</t>
        </is>
      </c>
      <c r="G199" s="2" t="inlineStr">
        <is>
          <t>population -2.2%; weight in EU-27 HPI 2025: 127.14 per mille</t>
        </is>
      </c>
      <c r="H199" s="2" t="inlineStr"/>
    </row>
    <row r="200">
      <c r="A200" s="5" t="inlineStr">
        <is>
          <t>CC-013</t>
        </is>
      </c>
      <c r="B200" s="2" t="inlineStr">
        <is>
          <t>CC-013:33</t>
        </is>
      </c>
      <c r="C200" s="2" t="inlineStr">
        <is>
          <t>PT: real house prices 2015-2025</t>
        </is>
      </c>
      <c r="D200" s="2" t="inlineStr">
        <is>
          <t>106.4</t>
        </is>
      </c>
      <c r="E200" s="2" t="inlineStr">
        <is>
          <t>%</t>
        </is>
      </c>
      <c r="F200" s="2" t="inlineStr">
        <is>
          <t>Eurostat tipsho10, retrieved 5 Oct 2026</t>
        </is>
      </c>
      <c r="G200" s="2" t="inlineStr">
        <is>
          <t>population +9.5%; weight in EU-27 HPI 2025: 20.09 per mille</t>
        </is>
      </c>
      <c r="H200" s="2" t="inlineStr"/>
    </row>
    <row r="201">
      <c r="A201" s="5" t="inlineStr">
        <is>
          <t>CC-013</t>
        </is>
      </c>
      <c r="B201" s="2" t="inlineStr">
        <is>
          <t>CC-013:34</t>
        </is>
      </c>
      <c r="C201" s="2" t="inlineStr">
        <is>
          <t>HU: real house prices 2015-2025</t>
        </is>
      </c>
      <c r="D201" s="2" t="inlineStr">
        <is>
          <t>103.8</t>
        </is>
      </c>
      <c r="E201" s="2" t="inlineStr">
        <is>
          <t>%</t>
        </is>
      </c>
      <c r="F201" s="2" t="inlineStr">
        <is>
          <t>Eurostat tipsho10, retrieved 5 Oct 2026</t>
        </is>
      </c>
      <c r="G201" s="2" t="inlineStr">
        <is>
          <t>population -2.8%; weight in EU-27 HPI 2025: 16.44 per mille Eurostat flag 2025: p (provisional)</t>
        </is>
      </c>
      <c r="H201" s="2" t="inlineStr"/>
    </row>
    <row r="202">
      <c r="A202" s="5" t="inlineStr">
        <is>
          <t>CC-013</t>
        </is>
      </c>
      <c r="B202" s="2" t="inlineStr">
        <is>
          <t>CC-013:35</t>
        </is>
      </c>
      <c r="C202" s="2" t="inlineStr">
        <is>
          <t>LU: real house prices 2015-2025</t>
        </is>
      </c>
      <c r="D202" s="2" t="inlineStr">
        <is>
          <t>30.7</t>
        </is>
      </c>
      <c r="E202" s="2" t="inlineStr">
        <is>
          <t>%</t>
        </is>
      </c>
      <c r="F202" s="2" t="inlineStr">
        <is>
          <t>Eurostat tipsho10, retrieved 5 Oct 2026</t>
        </is>
      </c>
      <c r="G202" s="2" t="inlineStr">
        <is>
          <t>population +21.1%; weight in EU-27 HPI 2025: 3.64 per mille</t>
        </is>
      </c>
      <c r="H202" s="2" t="inlineStr"/>
    </row>
    <row r="203">
      <c r="A203" s="5" t="inlineStr">
        <is>
          <t>CC-013</t>
        </is>
      </c>
      <c r="B203" s="2" t="inlineStr">
        <is>
          <t>CC-013:36</t>
        </is>
      </c>
      <c r="C203" s="2" t="inlineStr">
        <is>
          <t>Germany, France and Italy: combined weight in the EU-27 house price index, 2025</t>
        </is>
      </c>
      <c r="D203" s="2" t="inlineStr">
        <is>
          <t>48.9</t>
        </is>
      </c>
      <c r="E203" s="2" t="inlineStr">
        <is>
          <t>%</t>
        </is>
      </c>
      <c r="F203" s="2" t="inlineStr">
        <is>
          <t>Eurostat prc_hpi_cow (COWEU27_2020, TOTAL), retrieved 5 Oct 2026</t>
        </is>
      </c>
      <c r="G203" s="2" t="inlineStr">
        <is>
          <t>488.9 per mille (2025 weights provisional for several states); Malta 1.38 per mille</t>
        </is>
      </c>
      <c r="H203" s="2" t="inlineStr"/>
    </row>
    <row r="204">
      <c r="A204" s="5" t="inlineStr">
        <is>
          <t>CC-013</t>
        </is>
      </c>
      <c r="B204" s="2" t="inlineStr">
        <is>
          <t>CC-013:37</t>
        </is>
      </c>
      <c r="C204" s="2" t="inlineStr">
        <is>
          <t>Malta: house prices, annual change 2026-Q2</t>
        </is>
      </c>
      <c r="D204" s="2" t="inlineStr">
        <is>
          <t>6.9</t>
        </is>
      </c>
      <c r="E204" s="2" t="inlineStr">
        <is>
          <t>%</t>
        </is>
      </c>
      <c r="F204" s="2" t="inlineStr">
        <is>
          <t>Eurostat prc_hpi_q (TOTAL, RCH_A), retrieved 5 Oct 2026</t>
        </is>
      </c>
      <c r="G204" s="2" t="inlineStr">
        <is>
          <t>EU-27 4.7%; Malta rank 14 of 26 (1 = largest rise); nominal; Eurostat flag 2026-Q2: p (provisional)</t>
        </is>
      </c>
      <c r="H204" s="2" t="inlineStr"/>
    </row>
    <row r="205">
      <c r="A205" s="5" t="inlineStr">
        <is>
          <t>CC-014</t>
        </is>
      </c>
      <c r="B205" s="2" t="inlineStr">
        <is>
          <t>CC-014:2</t>
        </is>
      </c>
      <c r="C205" s="2" t="inlineStr">
        <is>
          <t>Years 2001-2009 with over 1,000 notices</t>
        </is>
      </c>
      <c r="D205" s="2" t="inlineStr">
        <is>
          <t>5</t>
        </is>
      </c>
      <c r="E205" s="2" t="inlineStr">
        <is>
          <t>of 8</t>
        </is>
      </c>
      <c r="F205" s="2" t="inlineStr">
        <is>
          <t>MEPA annual reports 2004-2011</t>
        </is>
      </c>
      <c r="G205" s="2" t="inlineStr">
        <is>
          <t>2001: 1369, 2002: 1030, 2003: 760, 2004: 1061, 2005: 1077, 2006: 982, 2007: 865, 2009: 1120</t>
        </is>
      </c>
      <c r="H205" s="2" t="inlineStr"/>
    </row>
    <row r="206">
      <c r="A206" s="5" t="inlineStr">
        <is>
          <t>CC-014</t>
        </is>
      </c>
      <c r="B206" s="2" t="inlineStr">
        <is>
          <t>CC-014:3</t>
        </is>
      </c>
      <c r="C206" s="2" t="inlineStr">
        <is>
          <t>Mean notices a year, 2001-2009</t>
        </is>
      </c>
      <c r="D206" s="2" t="inlineStr">
        <is>
          <t>1033</t>
        </is>
      </c>
      <c r="E206" s="2" t="inlineStr">
        <is>
          <t>notices</t>
        </is>
      </c>
      <c r="F206" s="2" t="inlineStr">
        <is>
          <t>MEPA annual reports 2004-2011</t>
        </is>
      </c>
      <c r="G206" s="2" t="inlineStr"/>
      <c r="H206" s="2" t="inlineStr"/>
    </row>
    <row r="207">
      <c r="A207" s="5" t="inlineStr">
        <is>
          <t>CC-014</t>
        </is>
      </c>
      <c r="B207" s="2" t="inlineStr">
        <is>
          <t>CC-014:4</t>
        </is>
      </c>
      <c r="C207" s="2" t="inlineStr">
        <is>
          <t>Mean notices a year, 2020-2024</t>
        </is>
      </c>
      <c r="D207" s="2" t="inlineStr">
        <is>
          <t>187</t>
        </is>
      </c>
      <c r="E207" s="2" t="inlineStr">
        <is>
          <t>notices</t>
        </is>
      </c>
      <c r="F207" s="2" t="inlineStr">
        <is>
          <t>PA annual reports 2020-2024</t>
        </is>
      </c>
      <c r="G207" s="2" t="inlineStr">
        <is>
          <t>2020: 169, 2021: 164, 2022: 180, 2023: 233, 2024: 191</t>
        </is>
      </c>
      <c r="H207" s="2" t="inlineStr"/>
    </row>
    <row r="208">
      <c r="A208" s="5" t="inlineStr">
        <is>
          <t>CC-014</t>
        </is>
      </c>
      <c r="B208" s="2" t="inlineStr">
        <is>
          <t>CC-014:5</t>
        </is>
      </c>
      <c r="C208" s="2" t="inlineStr">
        <is>
          <t>Change in notices, 2001-09 mean to 2020-24 mean</t>
        </is>
      </c>
      <c r="D208" s="2" t="inlineStr">
        <is>
          <t>-82</t>
        </is>
      </c>
      <c r="E208" s="2" t="inlineStr">
        <is>
          <t>%</t>
        </is>
      </c>
      <c r="F208" s="2" t="inlineStr">
        <is>
          <t>calculated</t>
        </is>
      </c>
      <c r="G208" s="2" t="inlineStr"/>
      <c r="H208" s="2" t="inlineStr"/>
    </row>
    <row r="209">
      <c r="A209" s="5" t="inlineStr">
        <is>
          <t>CC-014</t>
        </is>
      </c>
      <c r="B209" s="2" t="inlineStr">
        <is>
          <t>CC-014:6</t>
        </is>
      </c>
      <c r="C209" s="2" t="inlineStr">
        <is>
          <t>Notices a year, range 2018-2024</t>
        </is>
      </c>
      <c r="D209" s="2" t="inlineStr">
        <is>
          <t>164-233</t>
        </is>
      </c>
      <c r="E209" s="2" t="inlineStr">
        <is>
          <t>notices</t>
        </is>
      </c>
      <c r="F209" s="2" t="inlineStr">
        <is>
          <t>PA annual reports 2018-2024</t>
        </is>
      </c>
      <c r="G209" s="2" t="inlineStr">
        <is>
          <t>2017: 315</t>
        </is>
      </c>
      <c r="H209" s="2" t="inlineStr"/>
    </row>
    <row r="210">
      <c r="A210" s="5" t="inlineStr">
        <is>
          <t>CC-014</t>
        </is>
      </c>
      <c r="B210" s="2" t="inlineStr">
        <is>
          <t>CC-014:7</t>
        </is>
      </c>
      <c r="C210" s="2" t="inlineStr">
        <is>
          <t>Change in notices, 2011 to 2017</t>
        </is>
      </c>
      <c r="D210" s="2" t="inlineStr">
        <is>
          <t>-49</t>
        </is>
      </c>
      <c r="E210" s="2" t="inlineStr">
        <is>
          <t>%</t>
        </is>
      </c>
      <c r="F210" s="2" t="inlineStr">
        <is>
          <t>MEPA AR 2011; PA AR 2017</t>
        </is>
      </c>
      <c r="G210" s="2" t="inlineStr">
        <is>
          <t>618 -&gt; 315; this fall lies in the 2012-2016 gap</t>
        </is>
      </c>
      <c r="H210" s="2" t="inlineStr"/>
    </row>
    <row r="211">
      <c r="A211" s="5" t="inlineStr">
        <is>
          <t>CC-014</t>
        </is>
      </c>
      <c r="B211" s="2" t="inlineStr">
        <is>
          <t>CC-014:8</t>
        </is>
      </c>
      <c r="C211" s="2" t="inlineStr">
        <is>
          <t>Change in complaints, 2005 (FY 2004/05) to 2024</t>
        </is>
      </c>
      <c r="D211" s="2" t="inlineStr">
        <is>
          <t>-35</t>
        </is>
      </c>
      <c r="E211" s="2" t="inlineStr">
        <is>
          <t>%</t>
        </is>
      </c>
      <c r="F211" s="2" t="inlineStr">
        <is>
          <t>MEPA AR 2005; PA Annual Report 2024</t>
        </is>
      </c>
      <c r="G211" s="2" t="inlineStr">
        <is>
          <t>3705 -&gt; 2411</t>
        </is>
      </c>
      <c r="H211" s="2" t="inlineStr"/>
    </row>
    <row r="212">
      <c r="A212" s="5" t="inlineStr">
        <is>
          <t>CC-014</t>
        </is>
      </c>
      <c r="B212" s="2" t="inlineStr">
        <is>
          <t>CC-014:9</t>
        </is>
      </c>
      <c r="C212" s="2" t="inlineStr">
        <is>
          <t>Change in complaints, 2009 to 2024</t>
        </is>
      </c>
      <c r="D212" s="2" t="inlineStr">
        <is>
          <t>-11</t>
        </is>
      </c>
      <c r="E212" s="2" t="inlineStr">
        <is>
          <t>%</t>
        </is>
      </c>
      <c r="F212" s="2" t="inlineStr">
        <is>
          <t>MEPA AR 2009; PA Annual Report 2024</t>
        </is>
      </c>
      <c r="G212" s="2" t="inlineStr">
        <is>
          <t>2701 -&gt; 2411</t>
        </is>
      </c>
      <c r="H212" s="2" t="inlineStr"/>
    </row>
    <row r="213">
      <c r="A213" s="5" t="inlineStr">
        <is>
          <t>CC-014</t>
        </is>
      </c>
      <c r="B213" s="2" t="inlineStr">
        <is>
          <t>CC-014:10</t>
        </is>
      </c>
      <c r="C213" s="2" t="inlineStr">
        <is>
          <t>Change in complaints, 2017 to 2024</t>
        </is>
      </c>
      <c r="D213" s="2" t="inlineStr">
        <is>
          <t>-20</t>
        </is>
      </c>
      <c r="E213" s="2" t="inlineStr">
        <is>
          <t>%</t>
        </is>
      </c>
      <c r="F213" s="2" t="inlineStr">
        <is>
          <t>PA AR 2017; PA Annual Report 2024</t>
        </is>
      </c>
      <c r="G213" s="2" t="inlineStr">
        <is>
          <t>3000 (rounded in report) -&gt; 2411</t>
        </is>
      </c>
      <c r="H213" s="2" t="inlineStr"/>
    </row>
    <row r="214">
      <c r="A214" s="5" t="inlineStr">
        <is>
          <t>CC-014</t>
        </is>
      </c>
      <c r="B214" s="2" t="inlineStr">
        <is>
          <t>CC-014:11</t>
        </is>
      </c>
      <c r="C214" s="2" t="inlineStr">
        <is>
          <t>Change in complaints, 2018 to 2024</t>
        </is>
      </c>
      <c r="D214" s="2" t="inlineStr">
        <is>
          <t>-6</t>
        </is>
      </c>
      <c r="E214" s="2" t="inlineStr">
        <is>
          <t>%</t>
        </is>
      </c>
      <c r="F214" s="2" t="inlineStr">
        <is>
          <t>PA AR 2018; PA Annual Report 2024</t>
        </is>
      </c>
      <c r="G214" s="2" t="inlineStr">
        <is>
          <t>2560 -&gt; 2411</t>
        </is>
      </c>
      <c r="H214" s="2" t="inlineStr"/>
    </row>
    <row r="215">
      <c r="A215" s="5" t="inlineStr">
        <is>
          <t>CC-014</t>
        </is>
      </c>
      <c r="B215" s="2" t="inlineStr">
        <is>
          <t>CC-014:12</t>
        </is>
      </c>
      <c r="C215" s="2" t="inlineStr">
        <is>
          <t>Change in complaints, 2011 to 2020</t>
        </is>
      </c>
      <c r="D215" s="2" t="inlineStr">
        <is>
          <t>57</t>
        </is>
      </c>
      <c r="E215" s="2" t="inlineStr">
        <is>
          <t>%</t>
        </is>
      </c>
      <c r="F215" s="2" t="inlineStr">
        <is>
          <t>MEPA AR 2011; PA AR 2020</t>
        </is>
      </c>
      <c r="G215" s="2" t="inlineStr">
        <is>
          <t>2105 -&gt; 3313</t>
        </is>
      </c>
      <c r="H215" s="2" t="inlineStr"/>
    </row>
    <row r="216">
      <c r="A216" s="5" t="inlineStr">
        <is>
          <t>CC-014</t>
        </is>
      </c>
      <c r="B216" s="2" t="inlineStr">
        <is>
          <t>CC-014:13</t>
        </is>
      </c>
      <c r="C216" s="2" t="inlineStr">
        <is>
          <t>Mean complaints a year, 2017-2024</t>
        </is>
      </c>
      <c r="D216" s="2" t="inlineStr">
        <is>
          <t>2860</t>
        </is>
      </c>
      <c r="E216" s="2" t="inlineStr">
        <is>
          <t>complaints</t>
        </is>
      </c>
      <c r="F216" s="2" t="inlineStr">
        <is>
          <t>PA annual reports 2017-2024</t>
        </is>
      </c>
      <c r="G216" s="2" t="inlineStr">
        <is>
          <t>2017: 3000, 2018: 2560, 2019: 3134, 2020: 3313, 2021: 3192, 2022: 2804, 2023: 2463, 2024: 2411</t>
        </is>
      </c>
      <c r="H216" s="2" t="inlineStr"/>
    </row>
    <row r="217">
      <c r="A217" s="5" t="inlineStr">
        <is>
          <t>CC-014</t>
        </is>
      </c>
      <c r="B217" s="2" t="inlineStr">
        <is>
          <t>CC-014:14</t>
        </is>
      </c>
      <c r="C217" s="2" t="inlineStr">
        <is>
          <t>Most complaints in the series</t>
        </is>
      </c>
      <c r="D217" s="2" t="inlineStr">
        <is>
          <t>3705</t>
        </is>
      </c>
      <c r="E217" s="2" t="inlineStr">
        <is>
          <t>complaints</t>
        </is>
      </c>
      <c r="F217" s="2" t="inlineStr">
        <is>
          <t>MEPA Annual Report 2005, table 3; complaints in the Enforcem</t>
        </is>
      </c>
      <c r="G217" s="2" t="inlineStr">
        <is>
          <t>2005 (FY 2004/05)</t>
        </is>
      </c>
      <c r="H217" s="2" t="inlineStr"/>
    </row>
    <row r="218">
      <c r="A218" s="5" t="inlineStr">
        <is>
          <t>CC-014</t>
        </is>
      </c>
      <c r="B218" s="2" t="inlineStr">
        <is>
          <t>CC-014:15</t>
        </is>
      </c>
      <c r="C218" s="2" t="inlineStr">
        <is>
          <t>Most complaints after that year</t>
        </is>
      </c>
      <c r="D218" s="2" t="inlineStr">
        <is>
          <t>3313</t>
        </is>
      </c>
      <c r="E218" s="2" t="inlineStr">
        <is>
          <t>complaints</t>
        </is>
      </c>
      <c r="F218" s="2" t="inlineStr">
        <is>
          <t>PA Annual Report 2020, Compliance and Enforcement Directorat</t>
        </is>
      </c>
      <c r="G218" s="2" t="inlineStr">
        <is>
          <t>2020</t>
        </is>
      </c>
      <c r="H218" s="2" t="inlineStr"/>
    </row>
    <row r="219">
      <c r="A219" s="5" t="inlineStr">
        <is>
          <t>CC-014</t>
        </is>
      </c>
      <c r="B219" s="2" t="inlineStr">
        <is>
          <t>CC-014:16</t>
        </is>
      </c>
      <c r="C219" s="2" t="inlineStr">
        <is>
          <t>Complaints, 2020 minus 2019</t>
        </is>
      </c>
      <c r="D219" s="2" t="inlineStr">
        <is>
          <t>179</t>
        </is>
      </c>
      <c r="E219" s="2" t="inlineStr">
        <is>
          <t>complaints</t>
        </is>
      </c>
      <c r="F219" s="2" t="inlineStr">
        <is>
          <t>PA AR 2019, p. 17; PA AR 2020, p. 27</t>
        </is>
      </c>
      <c r="G219" s="2" t="inlineStr">
        <is>
          <t>the 2020 report itself says 139 more, which implies 3,174 for 2019</t>
        </is>
      </c>
      <c r="H219" s="2" t="inlineStr"/>
    </row>
    <row r="220">
      <c r="A220" s="5" t="inlineStr">
        <is>
          <t>CC-014</t>
        </is>
      </c>
      <c r="B220" s="2" t="inlineStr">
        <is>
          <t>CC-014:17</t>
        </is>
      </c>
      <c r="C220" s="2" t="inlineStr">
        <is>
          <t>Notices per 100 complaints, 2005</t>
        </is>
      </c>
      <c r="D220" s="2" t="inlineStr">
        <is>
          <t>29.1</t>
        </is>
      </c>
      <c r="E220" s="2" t="inlineStr">
        <is>
          <t>per 100</t>
        </is>
      </c>
      <c r="F220" s="2" t="inlineStr">
        <is>
          <t>MEPA Annual Report 2005, table 3; complaints in the Enforcem</t>
        </is>
      </c>
      <c r="G220" s="2" t="inlineStr"/>
      <c r="H220" s="2" t="inlineStr"/>
    </row>
    <row r="221">
      <c r="A221" s="5" t="inlineStr">
        <is>
          <t>CC-014</t>
        </is>
      </c>
      <c r="B221" s="2" t="inlineStr">
        <is>
          <t>CC-014:18</t>
        </is>
      </c>
      <c r="C221" s="2" t="inlineStr">
        <is>
          <t>Notices per 100 complaints, 2009</t>
        </is>
      </c>
      <c r="D221" s="2" t="inlineStr">
        <is>
          <t>41.5</t>
        </is>
      </c>
      <c r="E221" s="2" t="inlineStr">
        <is>
          <t>per 100</t>
        </is>
      </c>
      <c r="F221" s="2" t="inlineStr">
        <is>
          <t>MEPA Annual Report 2009: 880 notices and 1,720 complaints in</t>
        </is>
      </c>
      <c r="G221" s="2" t="inlineStr"/>
      <c r="H221" s="2" t="inlineStr"/>
    </row>
    <row r="222">
      <c r="A222" s="5" t="inlineStr">
        <is>
          <t>CC-014</t>
        </is>
      </c>
      <c r="B222" s="2" t="inlineStr">
        <is>
          <t>CC-014:19</t>
        </is>
      </c>
      <c r="C222" s="2" t="inlineStr">
        <is>
          <t>Notices per 100 complaints, 2011</t>
        </is>
      </c>
      <c r="D222" s="2" t="inlineStr">
        <is>
          <t>29.4</t>
        </is>
      </c>
      <c r="E222" s="2" t="inlineStr">
        <is>
          <t>per 100</t>
        </is>
      </c>
      <c r="F222" s="2" t="inlineStr">
        <is>
          <t>MEPA Annual Report 2011: 618 notices; 2,105 complaints on si</t>
        </is>
      </c>
      <c r="G222" s="2" t="inlineStr"/>
      <c r="H222" s="2" t="inlineStr"/>
    </row>
    <row r="223">
      <c r="A223" s="5" t="inlineStr">
        <is>
          <t>CC-014</t>
        </is>
      </c>
      <c r="B223" s="2" t="inlineStr">
        <is>
          <t>CC-014:20</t>
        </is>
      </c>
      <c r="C223" s="2" t="inlineStr">
        <is>
          <t>Notices per 100 complaints, 2017</t>
        </is>
      </c>
      <c r="D223" s="2" t="inlineStr">
        <is>
          <t>10.5</t>
        </is>
      </c>
      <c r="E223" s="2" t="inlineStr">
        <is>
          <t>per 100</t>
        </is>
      </c>
      <c r="F223" s="2" t="inlineStr">
        <is>
          <t>PA Annual Report 2017, Compliance and Enforcement Directorat</t>
        </is>
      </c>
      <c r="G223" s="2" t="inlineStr"/>
      <c r="H223" s="2" t="inlineStr"/>
    </row>
    <row r="224">
      <c r="A224" s="5" t="inlineStr">
        <is>
          <t>CC-014</t>
        </is>
      </c>
      <c r="B224" s="2" t="inlineStr">
        <is>
          <t>CC-014:21</t>
        </is>
      </c>
      <c r="C224" s="2" t="inlineStr">
        <is>
          <t>Notices per 100 complaints, 2018</t>
        </is>
      </c>
      <c r="D224" s="2" t="inlineStr">
        <is>
          <t>8.6</t>
        </is>
      </c>
      <c r="E224" s="2" t="inlineStr">
        <is>
          <t>per 100</t>
        </is>
      </c>
      <c r="F224" s="2" t="inlineStr">
        <is>
          <t>PA Annual Report 2018, Compliance and Enforcement Directorat</t>
        </is>
      </c>
      <c r="G224" s="2" t="inlineStr"/>
      <c r="H224" s="2" t="inlineStr"/>
    </row>
    <row r="225">
      <c r="A225" s="5" t="inlineStr">
        <is>
          <t>CC-014</t>
        </is>
      </c>
      <c r="B225" s="2" t="inlineStr">
        <is>
          <t>CC-014:22</t>
        </is>
      </c>
      <c r="C225" s="2" t="inlineStr">
        <is>
          <t>Notices per 100 complaints, 2019</t>
        </is>
      </c>
      <c r="D225" s="2" t="inlineStr">
        <is>
          <t>7.3</t>
        </is>
      </c>
      <c r="E225" s="2" t="inlineStr">
        <is>
          <t>per 100</t>
        </is>
      </c>
      <c r="F225" s="2" t="inlineStr">
        <is>
          <t>PA Annual Report 2019, Compliance and Enforcement Directorat</t>
        </is>
      </c>
      <c r="G225" s="2" t="inlineStr"/>
      <c r="H225" s="2" t="inlineStr"/>
    </row>
    <row r="226">
      <c r="A226" s="5" t="inlineStr">
        <is>
          <t>CC-014</t>
        </is>
      </c>
      <c r="B226" s="2" t="inlineStr">
        <is>
          <t>CC-014:23</t>
        </is>
      </c>
      <c r="C226" s="2" t="inlineStr">
        <is>
          <t>Notices per 100 complaints, 2020</t>
        </is>
      </c>
      <c r="D226" s="2" t="inlineStr">
        <is>
          <t>5.1</t>
        </is>
      </c>
      <c r="E226" s="2" t="inlineStr">
        <is>
          <t>per 100</t>
        </is>
      </c>
      <c r="F226" s="2" t="inlineStr">
        <is>
          <t>PA Annual Report 2020, Compliance and Enforcement Directorat</t>
        </is>
      </c>
      <c r="G226" s="2" t="inlineStr"/>
      <c r="H226" s="2" t="inlineStr"/>
    </row>
    <row r="227">
      <c r="A227" s="5" t="inlineStr">
        <is>
          <t>CC-014</t>
        </is>
      </c>
      <c r="B227" s="2" t="inlineStr">
        <is>
          <t>CC-014:24</t>
        </is>
      </c>
      <c r="C227" s="2" t="inlineStr">
        <is>
          <t>Notices per 100 complaints, 2021</t>
        </is>
      </c>
      <c r="D227" s="2" t="inlineStr">
        <is>
          <t>5.1</t>
        </is>
      </c>
      <c r="E227" s="2" t="inlineStr">
        <is>
          <t>per 100</t>
        </is>
      </c>
      <c r="F227" s="2" t="inlineStr">
        <is>
          <t>PA Annual Report 2021, Compliance and Enforcement Directorat</t>
        </is>
      </c>
      <c r="G227" s="2" t="inlineStr"/>
      <c r="H227" s="2" t="inlineStr"/>
    </row>
    <row r="228">
      <c r="A228" s="5" t="inlineStr">
        <is>
          <t>CC-014</t>
        </is>
      </c>
      <c r="B228" s="2" t="inlineStr">
        <is>
          <t>CC-014:25</t>
        </is>
      </c>
      <c r="C228" s="2" t="inlineStr">
        <is>
          <t>Notices per 100 complaints, 2022</t>
        </is>
      </c>
      <c r="D228" s="2" t="inlineStr">
        <is>
          <t>6.4</t>
        </is>
      </c>
      <c r="E228" s="2" t="inlineStr">
        <is>
          <t>per 100</t>
        </is>
      </c>
      <c r="F228" s="2" t="inlineStr">
        <is>
          <t>PA Annual Report 2022, Compliance and Enforcement Directorat</t>
        </is>
      </c>
      <c r="G228" s="2" t="inlineStr"/>
      <c r="H228" s="2" t="inlineStr"/>
    </row>
    <row r="229">
      <c r="A229" s="5" t="inlineStr">
        <is>
          <t>CC-014</t>
        </is>
      </c>
      <c r="B229" s="2" t="inlineStr">
        <is>
          <t>CC-014:26</t>
        </is>
      </c>
      <c r="C229" s="2" t="inlineStr">
        <is>
          <t>Notices per 100 complaints, 2023</t>
        </is>
      </c>
      <c r="D229" s="2" t="inlineStr">
        <is>
          <t>9.5</t>
        </is>
      </c>
      <c r="E229" s="2" t="inlineStr">
        <is>
          <t>per 100</t>
        </is>
      </c>
      <c r="F229" s="2" t="inlineStr">
        <is>
          <t>PA Annual Report 2023, Compliance and Enforcement Directorat</t>
        </is>
      </c>
      <c r="G229" s="2" t="inlineStr"/>
      <c r="H229" s="2" t="inlineStr"/>
    </row>
    <row r="230">
      <c r="A230" s="5" t="inlineStr">
        <is>
          <t>CC-014</t>
        </is>
      </c>
      <c r="B230" s="2" t="inlineStr">
        <is>
          <t>CC-014:27</t>
        </is>
      </c>
      <c r="C230" s="2" t="inlineStr">
        <is>
          <t>Notices per 100 complaints, 2024</t>
        </is>
      </c>
      <c r="D230" s="2" t="inlineStr">
        <is>
          <t>7.9</t>
        </is>
      </c>
      <c r="E230" s="2" t="inlineStr">
        <is>
          <t>per 100</t>
        </is>
      </c>
      <c r="F230" s="2" t="inlineStr">
        <is>
          <t>PA Annual Report 2024, Compliance Enforcement Directorate (p</t>
        </is>
      </c>
      <c r="G230" s="2" t="inlineStr"/>
      <c r="H230" s="2" t="inlineStr"/>
    </row>
    <row r="231">
      <c r="A231" s="5" t="inlineStr">
        <is>
          <t>CC-014</t>
        </is>
      </c>
      <c r="B231" s="2" t="inlineStr">
        <is>
          <t>CC-014:28</t>
        </is>
      </c>
      <c r="C231" s="2" t="inlineStr">
        <is>
          <t>Notices per 100 complaints, range 2005-2011</t>
        </is>
      </c>
      <c r="D231" s="2" t="inlineStr">
        <is>
          <t>29-41</t>
        </is>
      </c>
      <c r="E231" s="2" t="inlineStr">
        <is>
          <t>per 100</t>
        </is>
      </c>
      <c r="F231" s="2" t="inlineStr">
        <is>
          <t>MEPA annual reports 2004-2011</t>
        </is>
      </c>
      <c r="G231" s="2" t="inlineStr"/>
      <c r="H231" s="2" t="inlineStr"/>
    </row>
    <row r="232">
      <c r="A232" s="5" t="inlineStr">
        <is>
          <t>CC-014</t>
        </is>
      </c>
      <c r="B232" s="2" t="inlineStr">
        <is>
          <t>CC-014:29</t>
        </is>
      </c>
      <c r="C232" s="2" t="inlineStr">
        <is>
          <t>Notices per 100 complaints, range 2017-2024</t>
        </is>
      </c>
      <c r="D232" s="2" t="inlineStr">
        <is>
          <t>5-10</t>
        </is>
      </c>
      <c r="E232" s="2" t="inlineStr">
        <is>
          <t>per 100</t>
        </is>
      </c>
      <c r="F232" s="2" t="inlineStr">
        <is>
          <t>PA annual reports 2017-2023; PA Annual Report 2024</t>
        </is>
      </c>
      <c r="G232" s="2" t="inlineStr"/>
      <c r="H232" s="2" t="inlineStr"/>
    </row>
    <row r="233">
      <c r="A233" s="5" t="inlineStr">
        <is>
          <t>CC-014</t>
        </is>
      </c>
      <c r="B233" s="2" t="inlineStr">
        <is>
          <t>CC-014:30</t>
        </is>
      </c>
      <c r="C233" s="2" t="inlineStr">
        <is>
          <t>Mean notices per 100 complaints, MEPA years / PA years</t>
        </is>
      </c>
      <c r="D233" s="2" t="inlineStr">
        <is>
          <t>4.4</t>
        </is>
      </c>
      <c r="E233" s="2" t="inlineStr">
        <is>
          <t>times</t>
        </is>
      </c>
      <c r="F233" s="2" t="inlineStr">
        <is>
          <t>calculated</t>
        </is>
      </c>
      <c r="G233" s="2" t="inlineStr">
        <is>
          <t>33.3 vs 7.6</t>
        </is>
      </c>
      <c r="H233" s="2" t="inlineStr"/>
    </row>
    <row r="234">
      <c r="A234" s="5" t="inlineStr">
        <is>
          <t>CC-014</t>
        </is>
      </c>
      <c r="B234" s="2" t="inlineStr">
        <is>
          <t>CC-014:31</t>
        </is>
      </c>
      <c r="C234" s="2" t="inlineStr">
        <is>
          <t>Confirmed illegal cases, 2018 (50% of 2,560 complaints)</t>
        </is>
      </c>
      <c r="D234" s="2" t="inlineStr">
        <is>
          <t>1280</t>
        </is>
      </c>
      <c r="E234" s="2" t="inlineStr">
        <is>
          <t>cases</t>
        </is>
      </c>
      <c r="F234" s="2" t="inlineStr">
        <is>
          <t>PA Annual Report 2018</t>
        </is>
      </c>
      <c r="G234" s="2" t="inlineStr">
        <is>
          <t>outcomes: 541 sanctioning, 593 removed (derived as the remainder of confirmed cases), 146 notice; sum 1280</t>
        </is>
      </c>
      <c r="H234" s="2" t="inlineStr"/>
    </row>
    <row r="235">
      <c r="A235" s="5" t="inlineStr">
        <is>
          <t>CC-014</t>
        </is>
      </c>
      <c r="B235" s="2" t="inlineStr">
        <is>
          <t>CC-014:32</t>
        </is>
      </c>
      <c r="C235" s="2" t="inlineStr">
        <is>
          <t>notices per 100 confirmed cases, 2018</t>
        </is>
      </c>
      <c r="D235" s="2" t="inlineStr">
        <is>
          <t>11.4</t>
        </is>
      </c>
      <c r="E235" s="2" t="inlineStr">
        <is>
          <t>per 100</t>
        </is>
      </c>
      <c r="F235" s="2" t="inlineStr">
        <is>
          <t>PA Annual Report 2018</t>
        </is>
      </c>
      <c r="G235" s="2" t="inlineStr"/>
      <c r="H235" s="2" t="inlineStr"/>
    </row>
    <row r="236">
      <c r="A236" s="5" t="inlineStr">
        <is>
          <t>CC-014</t>
        </is>
      </c>
      <c r="B236" s="2" t="inlineStr">
        <is>
          <t>CC-014:33</t>
        </is>
      </c>
      <c r="C236" s="2" t="inlineStr">
        <is>
          <t>Confirmed illegal cases, 2019 (51% of 3,134 complaints)</t>
        </is>
      </c>
      <c r="D236" s="2" t="inlineStr">
        <is>
          <t>1598</t>
        </is>
      </c>
      <c r="E236" s="2" t="inlineStr">
        <is>
          <t>cases</t>
        </is>
      </c>
      <c r="F236" s="2" t="inlineStr">
        <is>
          <t>PA Annual Report 2019</t>
        </is>
      </c>
      <c r="G236" s="2" t="inlineStr">
        <is>
          <t>outcomes: 737 sanctioning, 824 removed (read), 141 notice; sum 1702</t>
        </is>
      </c>
      <c r="H236" s="2" t="inlineStr"/>
    </row>
    <row r="237">
      <c r="A237" s="5" t="inlineStr">
        <is>
          <t>CC-014</t>
        </is>
      </c>
      <c r="B237" s="2" t="inlineStr">
        <is>
          <t>CC-014:34</t>
        </is>
      </c>
      <c r="C237" s="2" t="inlineStr">
        <is>
          <t>notices per 100 confirmed cases, 2019</t>
        </is>
      </c>
      <c r="D237" s="2" t="inlineStr">
        <is>
          <t>8.8</t>
        </is>
      </c>
      <c r="E237" s="2" t="inlineStr">
        <is>
          <t>per 100</t>
        </is>
      </c>
      <c r="F237" s="2" t="inlineStr">
        <is>
          <t>PA Annual Report 2019</t>
        </is>
      </c>
      <c r="G237" s="2" t="inlineStr"/>
      <c r="H237" s="2" t="inlineStr"/>
    </row>
    <row r="238">
      <c r="A238" s="5" t="inlineStr">
        <is>
          <t>CC-014</t>
        </is>
      </c>
      <c r="B238" s="2" t="inlineStr">
        <is>
          <t>CC-014:35</t>
        </is>
      </c>
      <c r="C238" s="2" t="inlineStr">
        <is>
          <t>Confirmed illegal cases, 2020 (55% of 3,313 complaints)</t>
        </is>
      </c>
      <c r="D238" s="2" t="inlineStr">
        <is>
          <t>1822</t>
        </is>
      </c>
      <c r="E238" s="2" t="inlineStr">
        <is>
          <t>cases</t>
        </is>
      </c>
      <c r="F238" s="2" t="inlineStr">
        <is>
          <t>PA Annual Report 2020</t>
        </is>
      </c>
      <c r="G238" s="2" t="inlineStr">
        <is>
          <t>outcomes: 818 sanctioning, 820 removed (derived from stated % of confirmed), 145 notice; sum 1783</t>
        </is>
      </c>
      <c r="H238" s="2" t="inlineStr"/>
    </row>
    <row r="239">
      <c r="A239" s="5" t="inlineStr">
        <is>
          <t>CC-014</t>
        </is>
      </c>
      <c r="B239" s="2" t="inlineStr">
        <is>
          <t>CC-014:36</t>
        </is>
      </c>
      <c r="C239" s="2" t="inlineStr">
        <is>
          <t>notices per 100 confirmed cases, 2020</t>
        </is>
      </c>
      <c r="D239" s="2" t="inlineStr">
        <is>
          <t>8.0</t>
        </is>
      </c>
      <c r="E239" s="2" t="inlineStr">
        <is>
          <t>per 100</t>
        </is>
      </c>
      <c r="F239" s="2" t="inlineStr">
        <is>
          <t>PA Annual Report 2020</t>
        </is>
      </c>
      <c r="G239" s="2" t="inlineStr"/>
      <c r="H239" s="2" t="inlineStr"/>
    </row>
    <row r="240">
      <c r="A240" s="5" t="inlineStr">
        <is>
          <t>CC-014</t>
        </is>
      </c>
      <c r="B240" s="2" t="inlineStr">
        <is>
          <t>CC-014:37</t>
        </is>
      </c>
      <c r="C240" s="2" t="inlineStr">
        <is>
          <t>Confirmed illegal cases, 2021 (59% of 3,192 complaints)</t>
        </is>
      </c>
      <c r="D240" s="2" t="inlineStr">
        <is>
          <t>1883</t>
        </is>
      </c>
      <c r="E240" s="2" t="inlineStr">
        <is>
          <t>cases</t>
        </is>
      </c>
      <c r="F240" s="2" t="inlineStr">
        <is>
          <t>PA Annual Report 2021</t>
        </is>
      </c>
      <c r="G240" s="2" t="inlineStr">
        <is>
          <t>outcomes: 663 sanctioning, 885 removed (derived from stated % of confirmed), 131 notice; sum 1679</t>
        </is>
      </c>
      <c r="H240" s="2" t="inlineStr"/>
    </row>
    <row r="241">
      <c r="A241" s="5" t="inlineStr">
        <is>
          <t>CC-014</t>
        </is>
      </c>
      <c r="B241" s="2" t="inlineStr">
        <is>
          <t>CC-014:38</t>
        </is>
      </c>
      <c r="C241" s="2" t="inlineStr">
        <is>
          <t>notices per 100 confirmed cases, 2021</t>
        </is>
      </c>
      <c r="D241" s="2" t="inlineStr">
        <is>
          <t>7.0</t>
        </is>
      </c>
      <c r="E241" s="2" t="inlineStr">
        <is>
          <t>per 100</t>
        </is>
      </c>
      <c r="F241" s="2" t="inlineStr">
        <is>
          <t>PA Annual Report 2021</t>
        </is>
      </c>
      <c r="G241" s="2" t="inlineStr"/>
      <c r="H241" s="2" t="inlineStr"/>
    </row>
    <row r="242">
      <c r="A242" s="5" t="inlineStr">
        <is>
          <t>CC-014</t>
        </is>
      </c>
      <c r="B242" s="2" t="inlineStr">
        <is>
          <t>CC-014:39</t>
        </is>
      </c>
      <c r="C242" s="2" t="inlineStr">
        <is>
          <t>Confirmed illegal cases, 2022 (48% of 2,804 complaints)</t>
        </is>
      </c>
      <c r="D242" s="2" t="inlineStr">
        <is>
          <t>1346</t>
        </is>
      </c>
      <c r="E242" s="2" t="inlineStr">
        <is>
          <t>cases</t>
        </is>
      </c>
      <c r="F242" s="2" t="inlineStr">
        <is>
          <t>PA Annual Report 2022</t>
        </is>
      </c>
      <c r="G242" s="2" t="inlineStr">
        <is>
          <t>outcomes: 558 sanctioning, 511 removed (derived from stated % of confirmed), 153 notice; sum 1222</t>
        </is>
      </c>
      <c r="H242" s="2" t="inlineStr"/>
    </row>
    <row r="243">
      <c r="A243" s="5" t="inlineStr">
        <is>
          <t>CC-014</t>
        </is>
      </c>
      <c r="B243" s="2" t="inlineStr">
        <is>
          <t>CC-014:40</t>
        </is>
      </c>
      <c r="C243" s="2" t="inlineStr">
        <is>
          <t>notices per 100 confirmed cases, 2022</t>
        </is>
      </c>
      <c r="D243" s="2" t="inlineStr">
        <is>
          <t>11.4</t>
        </is>
      </c>
      <c r="E243" s="2" t="inlineStr">
        <is>
          <t>per 100</t>
        </is>
      </c>
      <c r="F243" s="2" t="inlineStr">
        <is>
          <t>PA Annual Report 2022</t>
        </is>
      </c>
      <c r="G243" s="2" t="inlineStr"/>
      <c r="H243" s="2" t="inlineStr"/>
    </row>
    <row r="244">
      <c r="A244" s="5" t="inlineStr">
        <is>
          <t>CC-014</t>
        </is>
      </c>
      <c r="B244" s="2" t="inlineStr">
        <is>
          <t>CC-014:41</t>
        </is>
      </c>
      <c r="C244" s="2" t="inlineStr">
        <is>
          <t>Confirmed illegal cases, 2023 (58% of 2,463 complaints)</t>
        </is>
      </c>
      <c r="D244" s="2" t="inlineStr">
        <is>
          <t>1429</t>
        </is>
      </c>
      <c r="E244" s="2" t="inlineStr">
        <is>
          <t>cases</t>
        </is>
      </c>
      <c r="F244" s="2" t="inlineStr">
        <is>
          <t>PA Annual Report 2023</t>
        </is>
      </c>
      <c r="G244" s="2" t="inlineStr">
        <is>
          <t>outcomes: 497 sanctioning, 508 removed (read), 185 notice; sum 1190</t>
        </is>
      </c>
      <c r="H244" s="2" t="inlineStr"/>
    </row>
    <row r="245">
      <c r="A245" s="5" t="inlineStr">
        <is>
          <t>CC-014</t>
        </is>
      </c>
      <c r="B245" s="2" t="inlineStr">
        <is>
          <t>CC-014:42</t>
        </is>
      </c>
      <c r="C245" s="2" t="inlineStr">
        <is>
          <t>notices per 100 confirmed cases, 2023</t>
        </is>
      </c>
      <c r="D245" s="2" t="inlineStr">
        <is>
          <t>12.9</t>
        </is>
      </c>
      <c r="E245" s="2" t="inlineStr">
        <is>
          <t>per 100</t>
        </is>
      </c>
      <c r="F245" s="2" t="inlineStr">
        <is>
          <t>PA Annual Report 2023</t>
        </is>
      </c>
      <c r="G245" s="2" t="inlineStr"/>
      <c r="H245" s="2" t="inlineStr"/>
    </row>
    <row r="246">
      <c r="A246" s="5" t="inlineStr">
        <is>
          <t>CC-014</t>
        </is>
      </c>
      <c r="B246" s="2" t="inlineStr">
        <is>
          <t>CC-014:43</t>
        </is>
      </c>
      <c r="C246" s="2" t="inlineStr">
        <is>
          <t>Confirmed illegal cases, 2024 (50% of 2,411 complaints)</t>
        </is>
      </c>
      <c r="D246" s="2" t="inlineStr">
        <is>
          <t>1206</t>
        </is>
      </c>
      <c r="E246" s="2" t="inlineStr">
        <is>
          <t>cases</t>
        </is>
      </c>
      <c r="F246" s="2" t="inlineStr">
        <is>
          <t>PA Annual Report 2024, pp. 28-30</t>
        </is>
      </c>
      <c r="G246" s="2" t="inlineStr">
        <is>
          <t>outcomes: 521 sanctioning, 482 removed (read), 87 persuasion, 162 notice; sum 1252</t>
        </is>
      </c>
      <c r="H246" s="2" t="inlineStr"/>
    </row>
    <row r="247">
      <c r="A247" s="5" t="inlineStr">
        <is>
          <t>CC-014</t>
        </is>
      </c>
      <c r="B247" s="2" t="inlineStr">
        <is>
          <t>CC-014:44</t>
        </is>
      </c>
      <c r="C247" s="2" t="inlineStr">
        <is>
          <t>notices per 100 confirmed cases, 2024</t>
        </is>
      </c>
      <c r="D247" s="2" t="inlineStr">
        <is>
          <t>13.4</t>
        </is>
      </c>
      <c r="E247" s="2" t="inlineStr">
        <is>
          <t>per 100</t>
        </is>
      </c>
      <c r="F247" s="2" t="inlineStr">
        <is>
          <t>PA Annual Report 2024, pp. 28-30</t>
        </is>
      </c>
      <c r="G247" s="2" t="inlineStr"/>
      <c r="H247" s="2" t="inlineStr"/>
    </row>
    <row r="248">
      <c r="A248" s="5" t="inlineStr">
        <is>
          <t>CC-014</t>
        </is>
      </c>
      <c r="B248" s="2" t="inlineStr">
        <is>
          <t>CC-014:45</t>
        </is>
      </c>
      <c r="C248" s="2" t="inlineStr">
        <is>
          <t>Notices per 100 confirmed cases, range 2018-2024</t>
        </is>
      </c>
      <c r="D248" s="2" t="inlineStr">
        <is>
          <t>7-13</t>
        </is>
      </c>
      <c r="E248" s="2" t="inlineStr">
        <is>
          <t>per 100</t>
        </is>
      </c>
      <c r="F248" s="2" t="inlineStr">
        <is>
          <t>PA annual reports 2017-2023; PA Annual Report 2024</t>
        </is>
      </c>
      <c r="G248" s="2" t="inlineStr">
        <is>
          <t>confirmed = stated share x complaints received</t>
        </is>
      </c>
      <c r="H248" s="2" t="inlineStr"/>
    </row>
    <row r="249">
      <c r="A249" s="5" t="inlineStr">
        <is>
          <t>CC-014</t>
        </is>
      </c>
      <c r="B249" s="2" t="inlineStr">
        <is>
          <t>CC-014:46</t>
        </is>
      </c>
      <c r="C249" s="2" t="inlineStr">
        <is>
          <t>Notices per 100 reported outcomes, range 2018-2024</t>
        </is>
      </c>
      <c r="D249" s="2" t="inlineStr">
        <is>
          <t>8-16</t>
        </is>
      </c>
      <c r="E249" s="2" t="inlineStr">
        <is>
          <t>per 100</t>
        </is>
      </c>
      <c r="F249" s="2" t="inlineStr">
        <is>
          <t>PA annual reports 2017-2023; PA Annual Report 2024</t>
        </is>
      </c>
      <c r="G249" s="2" t="inlineStr">
        <is>
          <t>2018: 11.4, 2019: 8.3, 2020: 8.1, 2021: 7.8, 2022: 12.5, 2023: 15.5, 2024: 12.9</t>
        </is>
      </c>
      <c r="H249" s="2" t="inlineStr"/>
    </row>
    <row r="250">
      <c r="A250" s="5" t="inlineStr">
        <is>
          <t>CC-014</t>
        </is>
      </c>
      <c r="B250" s="2" t="inlineStr">
        <is>
          <t>CC-014:47</t>
        </is>
      </c>
      <c r="C250" s="2" t="inlineStr">
        <is>
          <t>Sum of reported outcomes, 2019</t>
        </is>
      </c>
      <c r="D250" s="2" t="inlineStr">
        <is>
          <t>1702</t>
        </is>
      </c>
      <c r="E250" s="2" t="inlineStr">
        <is>
          <t>cases</t>
        </is>
      </c>
      <c r="F250" s="2" t="inlineStr">
        <is>
          <t>PA AR 2019, p. 17</t>
        </is>
      </c>
      <c r="G250" s="2" t="inlineStr">
        <is>
          <t>51% of 3,134 received is 1,598; 1,702 is 51% of the 3,340 closed</t>
        </is>
      </c>
      <c r="H250" s="2" t="inlineStr"/>
    </row>
    <row r="251">
      <c r="A251" s="5" t="inlineStr">
        <is>
          <t>CC-014</t>
        </is>
      </c>
      <c r="B251" s="2" t="inlineStr">
        <is>
          <t>CC-014:48</t>
        </is>
      </c>
      <c r="C251" s="2" t="inlineStr">
        <is>
          <t>Sum of the four 2024 outcome categories</t>
        </is>
      </c>
      <c r="D251" s="2" t="inlineStr">
        <is>
          <t>1252</t>
        </is>
      </c>
      <c r="E251" s="2" t="inlineStr">
        <is>
          <t>cases</t>
        </is>
      </c>
      <c r="F251" s="2" t="inlineStr">
        <is>
          <t>PA Annual Report 2024</t>
        </is>
      </c>
      <c r="G251" s="2" t="inlineStr">
        <is>
          <t>more than 'circa half' (1,206); categories may overlap or the confirmed share may be nearer 52%</t>
        </is>
      </c>
      <c r="H251" s="2" t="inlineStr"/>
    </row>
    <row r="252">
      <c r="A252" s="5" t="inlineStr">
        <is>
          <t>CC-014</t>
        </is>
      </c>
      <c r="B252" s="2" t="inlineStr">
        <is>
          <t>CC-014:49</t>
        </is>
      </c>
      <c r="C252" s="2" t="inlineStr">
        <is>
          <t>Sum of the four 2024 outcome categories, share of complaints</t>
        </is>
      </c>
      <c r="D252" s="2" t="inlineStr">
        <is>
          <t>51.9</t>
        </is>
      </c>
      <c r="E252" s="2" t="inlineStr">
        <is>
          <t>%</t>
        </is>
      </c>
      <c r="F252" s="2" t="inlineStr">
        <is>
          <t>PA Annual Report 2024</t>
        </is>
      </c>
      <c r="G252" s="2" t="inlineStr"/>
      <c r="H252" s="2" t="inlineStr"/>
    </row>
    <row r="253">
      <c r="A253" s="5" t="inlineStr">
        <is>
          <t>CC-014</t>
        </is>
      </c>
      <c r="B253" s="2" t="inlineStr">
        <is>
          <t>CC-014:50</t>
        </is>
      </c>
      <c r="C253" s="2" t="inlineStr">
        <is>
          <t>Sum of 2023 outcomes, share of complaints</t>
        </is>
      </c>
      <c r="D253" s="2" t="inlineStr">
        <is>
          <t>48.3</t>
        </is>
      </c>
      <c r="E253" s="2" t="inlineStr">
        <is>
          <t>%</t>
        </is>
      </c>
      <c r="F253" s="2" t="inlineStr">
        <is>
          <t>PA AR 2023, p. 23</t>
        </is>
      </c>
      <c r="G253" s="2" t="inlineStr">
        <is>
          <t>stated confirmed share circa 58%</t>
        </is>
      </c>
      <c r="H253" s="2" t="inlineStr"/>
    </row>
    <row r="254">
      <c r="A254" s="5" t="inlineStr">
        <is>
          <t>CC-014</t>
        </is>
      </c>
      <c r="B254" s="2" t="inlineStr">
        <is>
          <t>CC-014:51</t>
        </is>
      </c>
      <c r="C254" s="2" t="inlineStr">
        <is>
          <t>Sanctioning applications plus removals per notice, 2024</t>
        </is>
      </c>
      <c r="D254" s="2" t="inlineStr">
        <is>
          <t>6.2</t>
        </is>
      </c>
      <c r="E254" s="2" t="inlineStr">
        <is>
          <t>times</t>
        </is>
      </c>
      <c r="F254" s="2" t="inlineStr">
        <is>
          <t>PA Annual Report 2024</t>
        </is>
      </c>
      <c r="G254" s="2" t="inlineStr">
        <is>
          <t>(521 + 482) / 162</t>
        </is>
      </c>
      <c r="H254" s="2" t="inlineStr"/>
    </row>
    <row r="255">
      <c r="A255" s="5" t="inlineStr">
        <is>
          <t>CC-014</t>
        </is>
      </c>
      <c r="B255" s="2" t="inlineStr">
        <is>
          <t>CC-014:52</t>
        </is>
      </c>
      <c r="C255" s="2" t="inlineStr">
        <is>
          <t>Sanctioning applications plus removals per notice, 2023</t>
        </is>
      </c>
      <c r="D255" s="2" t="inlineStr">
        <is>
          <t>5.4</t>
        </is>
      </c>
      <c r="E255" s="2" t="inlineStr">
        <is>
          <t>times</t>
        </is>
      </c>
      <c r="F255" s="2" t="inlineStr">
        <is>
          <t>PA AR 2023, p. 23</t>
        </is>
      </c>
      <c r="G255" s="2" t="inlineStr">
        <is>
          <t>(497 + 508) / 185</t>
        </is>
      </c>
      <c r="H255" s="2" t="inlineStr"/>
    </row>
    <row r="256">
      <c r="A256" s="5" t="inlineStr">
        <is>
          <t>CC-014</t>
        </is>
      </c>
      <c r="B256" s="2" t="inlineStr">
        <is>
          <t>CC-014:53</t>
        </is>
      </c>
      <c r="C256" s="2" t="inlineStr">
        <is>
          <t>Sanctioning applications plus removals per notice, 2019</t>
        </is>
      </c>
      <c r="D256" s="2" t="inlineStr">
        <is>
          <t>11.1</t>
        </is>
      </c>
      <c r="E256" s="2" t="inlineStr">
        <is>
          <t>times</t>
        </is>
      </c>
      <c r="F256" s="2" t="inlineStr">
        <is>
          <t>PA AR 2019, p. 17</t>
        </is>
      </c>
      <c r="G256" s="2" t="inlineStr">
        <is>
          <t>(737 + 824) / 141</t>
        </is>
      </c>
      <c r="H256" s="2" t="inlineStr"/>
    </row>
    <row r="257">
      <c r="A257" s="5" t="inlineStr">
        <is>
          <t>CC-014</t>
        </is>
      </c>
      <c r="B257" s="2" t="inlineStr">
        <is>
          <t>CC-014:54</t>
        </is>
      </c>
      <c r="C257" s="2" t="inlineStr">
        <is>
          <t>Share of confirmed illegal cases ending in a sanctioning application, 2024</t>
        </is>
      </c>
      <c r="D257" s="2" t="inlineStr">
        <is>
          <t>43</t>
        </is>
      </c>
      <c r="E257" s="2" t="inlineStr">
        <is>
          <t>%</t>
        </is>
      </c>
      <c r="F257" s="2" t="inlineStr">
        <is>
          <t>PA Annual Report 2024</t>
        </is>
      </c>
      <c r="G257" s="2" t="inlineStr">
        <is>
          <t>denominator 'circa half' (1,206); an application, not a granted permit</t>
        </is>
      </c>
      <c r="H257" s="2" t="inlineStr"/>
    </row>
    <row r="258">
      <c r="A258" s="5" t="inlineStr">
        <is>
          <t>CC-014</t>
        </is>
      </c>
      <c r="B258" s="2" t="inlineStr">
        <is>
          <t>CC-014:55</t>
        </is>
      </c>
      <c r="C258" s="2" t="inlineStr">
        <is>
          <t>Change in confirmed illegal cases, 2020 to 2024</t>
        </is>
      </c>
      <c r="D258" s="2" t="inlineStr">
        <is>
          <t>-34</t>
        </is>
      </c>
      <c r="E258" s="2" t="inlineStr">
        <is>
          <t>%</t>
        </is>
      </c>
      <c r="F258" s="2" t="inlineStr">
        <is>
          <t>calculated</t>
        </is>
      </c>
      <c r="G258" s="2" t="inlineStr">
        <is>
          <t>2024 = 'circa half'; approximate</t>
        </is>
      </c>
      <c r="H258" s="2" t="inlineStr"/>
    </row>
    <row r="259">
      <c r="A259" s="5" t="inlineStr">
        <is>
          <t>CC-014</t>
        </is>
      </c>
      <c r="B259" s="2" t="inlineStr">
        <is>
          <t>CC-014:56</t>
        </is>
      </c>
      <c r="C259" s="2" t="inlineStr">
        <is>
          <t>Change in confirmed illegal cases, 2020 to 2024 (2024 = sum of outcomes)</t>
        </is>
      </c>
      <c r="D259" s="2" t="inlineStr">
        <is>
          <t>-31</t>
        </is>
      </c>
      <c r="E259" s="2" t="inlineStr">
        <is>
          <t>%</t>
        </is>
      </c>
      <c r="F259" s="2" t="inlineStr">
        <is>
          <t>calculated</t>
        </is>
      </c>
      <c r="G259" s="2" t="inlineStr">
        <is>
          <t>2024 = 1,252; approximate</t>
        </is>
      </c>
      <c r="H259" s="2" t="inlineStr"/>
    </row>
    <row r="260">
      <c r="A260" s="5" t="inlineStr">
        <is>
          <t>CC-014</t>
        </is>
      </c>
      <c r="B260" s="2" t="inlineStr">
        <is>
          <t>CC-014:57</t>
        </is>
      </c>
      <c r="C260" s="2" t="inlineStr">
        <is>
          <t>Change in confirmed illegal cases, 2021 to 2024</t>
        </is>
      </c>
      <c r="D260" s="2" t="inlineStr">
        <is>
          <t>-36</t>
        </is>
      </c>
      <c r="E260" s="2" t="inlineStr">
        <is>
          <t>%</t>
        </is>
      </c>
      <c r="F260" s="2" t="inlineStr">
        <is>
          <t>calculated</t>
        </is>
      </c>
      <c r="G260" s="2" t="inlineStr">
        <is>
          <t>1883 -&gt; 1206</t>
        </is>
      </c>
      <c r="H260" s="2" t="inlineStr"/>
    </row>
    <row r="261">
      <c r="A261" s="5" t="inlineStr">
        <is>
          <t>CC-014</t>
        </is>
      </c>
      <c r="B261" s="2" t="inlineStr">
        <is>
          <t>CC-014:58</t>
        </is>
      </c>
      <c r="C261" s="2" t="inlineStr">
        <is>
          <t>Change in confirmed illegal cases, 2018 to 2024</t>
        </is>
      </c>
      <c r="D261" s="2" t="inlineStr">
        <is>
          <t>-6</t>
        </is>
      </c>
      <c r="E261" s="2" t="inlineStr">
        <is>
          <t>%</t>
        </is>
      </c>
      <c r="F261" s="2" t="inlineStr">
        <is>
          <t>calculated</t>
        </is>
      </c>
      <c r="G261" s="2" t="inlineStr">
        <is>
          <t>1280 -&gt; 1206 (2018 and 2024 both 'about half')</t>
        </is>
      </c>
      <c r="H261" s="2" t="inlineStr"/>
    </row>
    <row r="262">
      <c r="A262" s="5" t="inlineStr">
        <is>
          <t>CC-014</t>
        </is>
      </c>
      <c r="B262" s="2" t="inlineStr">
        <is>
          <t>CC-014:59</t>
        </is>
      </c>
      <c r="C262" s="2" t="inlineStr">
        <is>
          <t>Change in confirmed illegal cases, 2018 to 2024 (2024 = sum of outcomes)</t>
        </is>
      </c>
      <c r="D262" s="2" t="inlineStr">
        <is>
          <t>-2</t>
        </is>
      </c>
      <c r="E262" s="2" t="inlineStr">
        <is>
          <t>%</t>
        </is>
      </c>
      <c r="F262" s="2" t="inlineStr">
        <is>
          <t>calculated</t>
        </is>
      </c>
      <c r="G262" s="2" t="inlineStr">
        <is>
          <t>1280 -&gt; 1252</t>
        </is>
      </c>
      <c r="H262" s="2" t="inlineStr"/>
    </row>
    <row r="263">
      <c r="A263" s="5" t="inlineStr">
        <is>
          <t>CC-014</t>
        </is>
      </c>
      <c r="B263" s="2" t="inlineStr">
        <is>
          <t>CC-014:60</t>
        </is>
      </c>
      <c r="C263" s="2" t="inlineStr">
        <is>
          <t>Most confirmed illegal cases, 2018-2024</t>
        </is>
      </c>
      <c r="D263" s="2" t="inlineStr">
        <is>
          <t>1883</t>
        </is>
      </c>
      <c r="E263" s="2" t="inlineStr">
        <is>
          <t>cases</t>
        </is>
      </c>
      <c r="F263" s="2" t="inlineStr">
        <is>
          <t>calculated</t>
        </is>
      </c>
      <c r="G263" s="2" t="inlineStr">
        <is>
          <t>2021</t>
        </is>
      </c>
      <c r="H263" s="2" t="inlineStr"/>
    </row>
    <row r="264">
      <c r="A264" s="5" t="inlineStr">
        <is>
          <t>CC-014</t>
        </is>
      </c>
      <c r="B264" s="2" t="inlineStr">
        <is>
          <t>CC-014:61</t>
        </is>
      </c>
      <c r="C264" s="2" t="inlineStr">
        <is>
          <t>Notices subject to daily fines, 2018 -&gt; 2023</t>
        </is>
      </c>
      <c r="D264" s="2" t="inlineStr">
        <is>
          <t>50 -&gt; 78</t>
        </is>
      </c>
      <c r="E264" s="2" t="inlineStr">
        <is>
          <t>%</t>
        </is>
      </c>
      <c r="F264" s="2" t="inlineStr">
        <is>
          <t>PA annual reports 2017-2023</t>
        </is>
      </c>
      <c r="G264" s="2" t="inlineStr">
        <is>
          <t>2018: 50, 2019: 70, 2020: 60, 2021: 65, 2022: 75, 2023: 78</t>
        </is>
      </c>
      <c r="H264" s="2" t="inlineStr"/>
    </row>
    <row r="265">
      <c r="A265" s="5" t="inlineStr">
        <is>
          <t>CC-014</t>
        </is>
      </c>
      <c r="B265" s="2" t="inlineStr">
        <is>
          <t>CC-014:62</t>
        </is>
      </c>
      <c r="C265" s="2" t="inlineStr">
        <is>
          <t>Year daily fines were introduced</t>
        </is>
      </c>
      <c r="D265" s="2" t="inlineStr">
        <is>
          <t>2012</t>
        </is>
      </c>
      <c r="E265" s="2" t="inlineStr">
        <is>
          <t>year</t>
        </is>
      </c>
      <c r="F265" s="2" t="inlineStr">
        <is>
          <t>PA AR 2023, p. 24</t>
        </is>
      </c>
      <c r="G265" s="2" t="inlineStr"/>
      <c r="H265" s="2" t="inlineStr"/>
    </row>
    <row r="266">
      <c r="A266" s="5" t="inlineStr">
        <is>
          <t>CC-014</t>
        </is>
      </c>
      <c r="B266" s="2" t="inlineStr">
        <is>
          <t>CC-014:63</t>
        </is>
      </c>
      <c r="C266" s="2" t="inlineStr">
        <is>
          <t>Pending stop and enforcement notices, end 2018</t>
        </is>
      </c>
      <c r="D266" s="2" t="inlineStr">
        <is>
          <t>7000</t>
        </is>
      </c>
      <c r="E266" s="2" t="inlineStr">
        <is>
          <t>notices</t>
        </is>
      </c>
      <c r="F266" s="2" t="inlineStr">
        <is>
          <t>PA AR 2018</t>
        </is>
      </c>
      <c r="G266" s="2" t="inlineStr">
        <is>
          <t>stated as 'almost'</t>
        </is>
      </c>
      <c r="H266" s="2" t="inlineStr"/>
    </row>
    <row r="267">
      <c r="A267" s="5" t="inlineStr">
        <is>
          <t>CC-014</t>
        </is>
      </c>
      <c r="B267" s="2" t="inlineStr">
        <is>
          <t>CC-014:64</t>
        </is>
      </c>
      <c r="C267" s="2" t="inlineStr">
        <is>
          <t>Pending stop and enforcement notices, end 2019</t>
        </is>
      </c>
      <c r="D267" s="2" t="inlineStr">
        <is>
          <t>6119</t>
        </is>
      </c>
      <c r="E267" s="2" t="inlineStr">
        <is>
          <t>notices</t>
        </is>
      </c>
      <c r="F267" s="2" t="inlineStr">
        <is>
          <t>PA AR 2019</t>
        </is>
      </c>
      <c r="G267" s="2" t="inlineStr">
        <is>
          <t>stated as 'almost 6,119'</t>
        </is>
      </c>
      <c r="H267" s="2" t="inlineStr"/>
    </row>
    <row r="268">
      <c r="A268" s="5" t="inlineStr">
        <is>
          <t>CC-014</t>
        </is>
      </c>
      <c r="B268" s="2" t="inlineStr">
        <is>
          <t>CC-014:65</t>
        </is>
      </c>
      <c r="C268" s="2" t="inlineStr">
        <is>
          <t>Pending stop and enforcement notices, end 2020</t>
        </is>
      </c>
      <c r="D268" s="2" t="inlineStr">
        <is>
          <t>5600</t>
        </is>
      </c>
      <c r="E268" s="2" t="inlineStr">
        <is>
          <t>notices</t>
        </is>
      </c>
      <c r="F268" s="2" t="inlineStr">
        <is>
          <t>PA AR 2020</t>
        </is>
      </c>
      <c r="G268" s="2" t="inlineStr">
        <is>
          <t>stated as 'almost'</t>
        </is>
      </c>
      <c r="H268" s="2" t="inlineStr"/>
    </row>
    <row r="269">
      <c r="A269" s="5" t="inlineStr">
        <is>
          <t>CC-014</t>
        </is>
      </c>
      <c r="B269" s="2" t="inlineStr">
        <is>
          <t>CC-014:66</t>
        </is>
      </c>
      <c r="C269" s="2" t="inlineStr">
        <is>
          <t>Pending notices, end 2021</t>
        </is>
      </c>
      <c r="D269" s="2" t="inlineStr">
        <is>
          <t>5382</t>
        </is>
      </c>
      <c r="E269" s="2" t="inlineStr">
        <is>
          <t>notices</t>
        </is>
      </c>
      <c r="F269" s="2" t="inlineStr">
        <is>
          <t>PA data to The Malta Independent, 31 Jan 2022 (second-hand)</t>
        </is>
      </c>
      <c r="G269" s="2" t="inlineStr"/>
      <c r="H269" s="2" t="inlineStr"/>
    </row>
    <row r="270">
      <c r="A270" s="5" t="inlineStr">
        <is>
          <t>CC-014</t>
        </is>
      </c>
      <c r="B270" s="2" t="inlineStr">
        <is>
          <t>CC-014:67</t>
        </is>
      </c>
      <c r="C270" s="2" t="inlineStr">
        <is>
          <t>Notices closed by PA direct action, 2017-2020</t>
        </is>
      </c>
      <c r="D270" s="2" t="inlineStr">
        <is>
          <t>288</t>
        </is>
      </c>
      <c r="E270" s="2" t="inlineStr">
        <is>
          <t>notices</t>
        </is>
      </c>
      <c r="F270" s="2" t="inlineStr">
        <is>
          <t>PA annual reports 2017-2023</t>
        </is>
      </c>
      <c r="G270" s="2" t="inlineStr">
        <is>
          <t>2017: 135, 2018: 52, 2019: 27, 2020: 74</t>
        </is>
      </c>
      <c r="H270" s="2" t="inlineStr"/>
    </row>
    <row r="271">
      <c r="A271" s="5" t="inlineStr">
        <is>
          <t>CC-014</t>
        </is>
      </c>
      <c r="B271" s="2" t="inlineStr">
        <is>
          <t>CC-014:68</t>
        </is>
      </c>
      <c r="C271" s="2" t="inlineStr">
        <is>
          <t>Mean notices closed by direct action a year, 2017-2020</t>
        </is>
      </c>
      <c r="D271" s="2" t="inlineStr">
        <is>
          <t>72</t>
        </is>
      </c>
      <c r="E271" s="2" t="inlineStr">
        <is>
          <t>notices</t>
        </is>
      </c>
      <c r="F271" s="2" t="inlineStr">
        <is>
          <t>calculated</t>
        </is>
      </c>
      <c r="G271" s="2" t="inlineStr"/>
      <c r="H271" s="2" t="inlineStr"/>
    </row>
    <row r="272">
      <c r="A272" s="5" t="inlineStr">
        <is>
          <t>CC-014</t>
        </is>
      </c>
      <c r="B272" s="2" t="inlineStr">
        <is>
          <t>CC-014:69</t>
        </is>
      </c>
      <c r="C272" s="2" t="inlineStr">
        <is>
          <t>Years to clear 5,382 at the 2020 direct-action rate</t>
        </is>
      </c>
      <c r="D272" s="2" t="inlineStr">
        <is>
          <t>73</t>
        </is>
      </c>
      <c r="E272" s="2" t="inlineStr">
        <is>
          <t>years</t>
        </is>
      </c>
      <c r="F272" s="2" t="inlineStr">
        <is>
          <t>calculated</t>
        </is>
      </c>
      <c r="G272" s="2" t="inlineStr"/>
      <c r="H272" s="2" t="inlineStr"/>
    </row>
    <row r="273">
      <c r="A273" s="5" t="inlineStr">
        <is>
          <t>CC-014</t>
        </is>
      </c>
      <c r="B273" s="2" t="inlineStr">
        <is>
          <t>CC-014:70</t>
        </is>
      </c>
      <c r="C273" s="2" t="inlineStr">
        <is>
          <t>Years to clear 5,382 at the 2017-2020 mean direct-action rate</t>
        </is>
      </c>
      <c r="D273" s="2" t="inlineStr">
        <is>
          <t>75</t>
        </is>
      </c>
      <c r="E273" s="2" t="inlineStr">
        <is>
          <t>years</t>
        </is>
      </c>
      <c r="F273" s="2" t="inlineStr">
        <is>
          <t>calculated</t>
        </is>
      </c>
      <c r="G273" s="2" t="inlineStr">
        <is>
          <t>consistent with 'more than 90 years' if ~55-60 a year</t>
        </is>
      </c>
      <c r="H273" s="2" t="inlineStr"/>
    </row>
    <row r="274">
      <c r="A274" s="5" t="inlineStr">
        <is>
          <t>CC-014</t>
        </is>
      </c>
      <c r="B274" s="2" t="inlineStr">
        <is>
          <t>CC-014:71</t>
        </is>
      </c>
      <c r="C274" s="2" t="inlineStr">
        <is>
          <t>Direct actions a year implied by '1,500 in 30 years'</t>
        </is>
      </c>
      <c r="D274" s="2" t="inlineStr">
        <is>
          <t>50</t>
        </is>
      </c>
      <c r="E274" s="2" t="inlineStr">
        <is>
          <t>a year</t>
        </is>
      </c>
      <c r="F274" s="2" t="inlineStr">
        <is>
          <t>calculated</t>
        </is>
      </c>
      <c r="G274" s="2" t="inlineStr">
        <is>
          <t>1,500 / 30</t>
        </is>
      </c>
      <c r="H274" s="2" t="inlineStr"/>
    </row>
    <row r="275">
      <c r="A275" s="5" t="inlineStr">
        <is>
          <t>CC-016</t>
        </is>
      </c>
      <c r="B275" s="2" t="inlineStr">
        <is>
          <t>CC-016:2</t>
        </is>
      </c>
      <c r="C275" s="2" t="inlineStr">
        <is>
          <t>Share of cruise berths that connected, Jul 2024-Jul 2025</t>
        </is>
      </c>
      <c r="D275" s="2" t="inlineStr">
        <is>
          <t>18.0</t>
        </is>
      </c>
      <c r="E275" s="2" t="inlineStr">
        <is>
          <t>%</t>
        </is>
      </c>
      <c r="F275" s="2" t="inlineStr">
        <is>
          <t>Transport Malta FOI via Amphora</t>
        </is>
      </c>
      <c r="G275" s="2" t="inlineStr">
        <is>
          <t>67 of 373</t>
        </is>
      </c>
      <c r="H275" s="2" t="inlineStr"/>
    </row>
    <row r="276">
      <c r="A276" s="5" t="inlineStr">
        <is>
          <t>CC-016</t>
        </is>
      </c>
      <c r="B276" s="2" t="inlineStr">
        <is>
          <t>CC-016:3</t>
        </is>
      </c>
      <c r="C276" s="2" t="inlineStr">
        <is>
          <t>Share of berth time connected</t>
        </is>
      </c>
      <c r="D276" s="2" t="inlineStr">
        <is>
          <t>9.0</t>
        </is>
      </c>
      <c r="E276" s="2" t="inlineStr">
        <is>
          <t>%</t>
        </is>
      </c>
      <c r="F276" s="2" t="inlineStr">
        <is>
          <t>Amphora Media</t>
        </is>
      </c>
      <c r="G276" s="2" t="inlineStr"/>
      <c r="H276" s="2" t="inlineStr"/>
    </row>
    <row r="277">
      <c r="A277" s="5" t="inlineStr">
        <is>
          <t>CC-016</t>
        </is>
      </c>
      <c r="B277" s="2" t="inlineStr">
        <is>
          <t>CC-016:4</t>
        </is>
      </c>
      <c r="C277" s="2" t="inlineStr">
        <is>
          <t>Connections by one ship (MSC World Europa)</t>
        </is>
      </c>
      <c r="D277" s="2" t="inlineStr">
        <is>
          <t>52</t>
        </is>
      </c>
      <c r="E277" s="2" t="inlineStr">
        <is>
          <t>% of all</t>
        </is>
      </c>
      <c r="F277" s="2" t="inlineStr">
        <is>
          <t>Transport Malta FOI via Amphora</t>
        </is>
      </c>
      <c r="G277" s="2" t="inlineStr"/>
      <c r="H277" s="2" t="inlineStr"/>
    </row>
    <row r="278">
      <c r="A278" s="5" t="inlineStr">
        <is>
          <t>CC-016</t>
        </is>
      </c>
      <c r="B278" s="2" t="inlineStr">
        <is>
          <t>CC-016:5</t>
        </is>
      </c>
      <c r="C278" s="2" t="inlineStr">
        <is>
          <t>Carnival Corporation calls connected</t>
        </is>
      </c>
      <c r="D278" s="2" t="inlineStr">
        <is>
          <t>10</t>
        </is>
      </c>
      <c r="E278" s="2" t="inlineStr">
        <is>
          <t>%</t>
        </is>
      </c>
      <c r="F278" s="2" t="inlineStr">
        <is>
          <t>Transport Malta FOI via Amphora</t>
        </is>
      </c>
      <c r="G278" s="2" t="inlineStr">
        <is>
          <t>6 of 58</t>
        </is>
      </c>
      <c r="H278" s="2" t="inlineStr"/>
    </row>
    <row r="279">
      <c r="A279" s="5" t="inlineStr">
        <is>
          <t>CC-016</t>
        </is>
      </c>
      <c r="B279" s="2" t="inlineStr">
        <is>
          <t>CC-016:6</t>
        </is>
      </c>
      <c r="C279" s="2" t="inlineStr">
        <is>
          <t>Upper bound: cut in cruise at-berth emissions, year one</t>
        </is>
      </c>
      <c r="D279" s="2" t="inlineStr">
        <is>
          <t>9.0</t>
        </is>
      </c>
      <c r="E279" s="2" t="inlineStr">
        <is>
          <t>%</t>
        </is>
      </c>
      <c r="F279" s="2" t="inlineStr">
        <is>
          <t>calculated</t>
        </is>
      </c>
      <c r="G279" s="2" t="inlineStr">
        <is>
          <t>if a plugged-in ship emits nothing locally</t>
        </is>
      </c>
      <c r="H279" s="2" t="inlineStr"/>
    </row>
    <row r="280">
      <c r="A280" s="5" t="inlineStr">
        <is>
          <t>CC-016</t>
        </is>
      </c>
      <c r="B280" s="2" t="inlineStr">
        <is>
          <t>CC-016:7</t>
        </is>
      </c>
      <c r="C280" s="2" t="inlineStr">
        <is>
          <t>Claimed cut</t>
        </is>
      </c>
      <c r="D280" s="2" t="inlineStr">
        <is>
          <t>90</t>
        </is>
      </c>
      <c r="E280" s="2" t="inlineStr">
        <is>
          <t>%</t>
        </is>
      </c>
      <c r="F280" s="2" t="inlineStr">
        <is>
          <t>Infrastructure Malta</t>
        </is>
      </c>
      <c r="G280" s="2" t="inlineStr"/>
      <c r="H280" s="2" t="inlineStr"/>
    </row>
    <row r="281">
      <c r="A281" s="5" t="inlineStr">
        <is>
          <t>CC-016</t>
        </is>
      </c>
      <c r="B281" s="2" t="inlineStr">
        <is>
          <t>CC-016:8</t>
        </is>
      </c>
      <c r="C281" s="2" t="inlineStr">
        <is>
          <t>Connected berth time needed for a 90% cut (at 100% removal while plugged in)</t>
        </is>
      </c>
      <c r="D281" s="2" t="inlineStr">
        <is>
          <t>90</t>
        </is>
      </c>
      <c r="E281" s="2" t="inlineStr">
        <is>
          <t>%</t>
        </is>
      </c>
      <c r="F281" s="2" t="inlineStr">
        <is>
          <t>calculated</t>
        </is>
      </c>
      <c r="G281" s="2" t="inlineStr"/>
      <c r="H281" s="2" t="inlineStr"/>
    </row>
    <row r="282">
      <c r="A282" s="5" t="inlineStr">
        <is>
          <t>CC-016</t>
        </is>
      </c>
      <c r="B282" s="2" t="inlineStr">
        <is>
          <t>CC-016:9</t>
        </is>
      </c>
      <c r="C282" s="2" t="inlineStr">
        <is>
          <t>Upper bound on cut in all cruise emissions in port (hotelling &gt;90% of CO2)</t>
        </is>
      </c>
      <c r="D282" s="2" t="inlineStr">
        <is>
          <t>8.1</t>
        </is>
      </c>
      <c r="E282" s="2" t="inlineStr">
        <is>
          <t>%</t>
        </is>
      </c>
      <c r="F282" s="2" t="inlineStr">
        <is>
          <t>calculated</t>
        </is>
      </c>
      <c r="G282" s="2" t="inlineStr">
        <is>
          <t>manoeuvring emissions are not touched by OPS</t>
        </is>
      </c>
      <c r="H282" s="2" t="inlineStr"/>
    </row>
    <row r="283">
      <c r="A283" s="5" t="inlineStr">
        <is>
          <t>CC-016</t>
        </is>
      </c>
      <c r="B283" s="2" t="inlineStr">
        <is>
          <t>CC-016:10</t>
        </is>
      </c>
      <c r="C283" s="2" t="inlineStr">
        <is>
          <t>Cruise calls 2024 -&gt; 2025</t>
        </is>
      </c>
      <c r="D283" s="2" t="inlineStr">
        <is>
          <t>357 -&gt; 385</t>
        </is>
      </c>
      <c r="E283" s="2" t="inlineStr">
        <is>
          <t>calls</t>
        </is>
      </c>
      <c r="F283" s="2" t="inlineStr">
        <is>
          <t>Valletta Cruise Port</t>
        </is>
      </c>
      <c r="G283" s="2" t="inlineStr">
        <is>
          <t>+8%</t>
        </is>
      </c>
      <c r="H283" s="2" t="inlineStr"/>
    </row>
    <row r="284">
      <c r="A284" s="5" t="inlineStr">
        <is>
          <t>CC-016</t>
        </is>
      </c>
      <c r="B284" s="2" t="inlineStr">
        <is>
          <t>CC-016:11</t>
        </is>
      </c>
      <c r="C284" s="2" t="inlineStr">
        <is>
          <t>Cruise calls 2019 -&gt; 2025</t>
        </is>
      </c>
      <c r="D284" s="2" t="inlineStr">
        <is>
          <t>372 -&gt; 385</t>
        </is>
      </c>
      <c r="E284" s="2" t="inlineStr">
        <is>
          <t>calls</t>
        </is>
      </c>
      <c r="F284" s="2" t="inlineStr">
        <is>
          <t>VCP; 2019 second-hand (Amphora; IM citing NSO)</t>
        </is>
      </c>
      <c r="G284" s="2" t="inlineStr">
        <is>
          <t>+3%</t>
        </is>
      </c>
      <c r="H284" s="2" t="inlineStr"/>
    </row>
    <row r="285">
      <c r="A285" s="5" t="inlineStr">
        <is>
          <t>CC-016</t>
        </is>
      </c>
      <c r="B285" s="2" t="inlineStr">
        <is>
          <t>CC-016:12</t>
        </is>
      </c>
      <c r="C285" s="2" t="inlineStr">
        <is>
          <t>Unplugged berth time at 2025 calls and year-one uptake vs 2024 calls with no OPS (indicative)</t>
        </is>
      </c>
      <c r="D285" s="2" t="inlineStr">
        <is>
          <t>-1.9</t>
        </is>
      </c>
      <c r="E285" s="2" t="inlineStr">
        <is>
          <t>%</t>
        </is>
      </c>
      <c r="F285" s="2" t="inlineStr">
        <is>
          <t>calculated</t>
        </is>
      </c>
      <c r="G285" s="2" t="inlineStr">
        <is>
          <t>periods differ (calendar-year calls; Jul-Jul uptake; OPS from Jul 2024): growth of the same order as uptake</t>
        </is>
      </c>
      <c r="H285" s="2" t="inlineStr"/>
    </row>
    <row r="286">
      <c r="A286" s="5" t="inlineStr">
        <is>
          <t>CC-016</t>
        </is>
      </c>
      <c r="B286" s="2" t="inlineStr">
        <is>
          <t>CC-016:13</t>
        </is>
      </c>
      <c r="C286" s="2" t="inlineStr">
        <is>
          <t>Infrastructure Malta: per-liner cut on shore power, nitrogen dioxide</t>
        </is>
      </c>
      <c r="D286" s="2" t="inlineStr">
        <is>
          <t>93.0</t>
        </is>
      </c>
      <c r="E286" s="2" t="inlineStr">
        <is>
          <t>%</t>
        </is>
      </c>
      <c r="F286" s="2" t="inlineStr">
        <is>
          <t>Infrastructure Malta, 30 Nov 2020</t>
        </is>
      </c>
      <c r="G286" s="2" t="inlineStr">
        <is>
          <t>stated by IM; underlying study not cited</t>
        </is>
      </c>
      <c r="H286" s="2" t="inlineStr"/>
    </row>
    <row r="287">
      <c r="A287" s="5" t="inlineStr">
        <is>
          <t>CC-016</t>
        </is>
      </c>
      <c r="B287" s="2" t="inlineStr">
        <is>
          <t>CC-016:14</t>
        </is>
      </c>
      <c r="C287" s="2" t="inlineStr">
        <is>
          <t>Infrastructure Malta: per-liner cut on shore power, particulate matter</t>
        </is>
      </c>
      <c r="D287" s="2" t="inlineStr">
        <is>
          <t>92.6</t>
        </is>
      </c>
      <c r="E287" s="2" t="inlineStr">
        <is>
          <t>%</t>
        </is>
      </c>
      <c r="F287" s="2" t="inlineStr">
        <is>
          <t>Infrastructure Malta, 30 Nov 2020</t>
        </is>
      </c>
      <c r="G287" s="2" t="inlineStr">
        <is>
          <t>stated by IM; underlying study not cited</t>
        </is>
      </c>
      <c r="H287" s="2" t="inlineStr"/>
    </row>
    <row r="288">
      <c r="A288" s="5" t="inlineStr">
        <is>
          <t>CC-016</t>
        </is>
      </c>
      <c r="B288" s="2" t="inlineStr">
        <is>
          <t>CC-016:15</t>
        </is>
      </c>
      <c r="C288" s="2" t="inlineStr">
        <is>
          <t>Infrastructure Malta: per-liner cut on shore power, sulphur dioxide</t>
        </is>
      </c>
      <c r="D288" s="2" t="inlineStr">
        <is>
          <t>99.6</t>
        </is>
      </c>
      <c r="E288" s="2" t="inlineStr">
        <is>
          <t>%</t>
        </is>
      </c>
      <c r="F288" s="2" t="inlineStr">
        <is>
          <t>Infrastructure Malta, 30 Nov 2020</t>
        </is>
      </c>
      <c r="G288" s="2" t="inlineStr">
        <is>
          <t>stated by IM; underlying study not cited</t>
        </is>
      </c>
      <c r="H288" s="2" t="inlineStr"/>
    </row>
    <row r="289">
      <c r="A289" s="5" t="inlineStr">
        <is>
          <t>CC-016</t>
        </is>
      </c>
      <c r="B289" s="2" t="inlineStr">
        <is>
          <t>CC-016:16</t>
        </is>
      </c>
      <c r="C289" s="2" t="inlineStr">
        <is>
          <t>Infrastructure Malta: per-liner cut on shore power, carbon dioxide</t>
        </is>
      </c>
      <c r="D289" s="2" t="inlineStr">
        <is>
          <t>39.6</t>
        </is>
      </c>
      <c r="E289" s="2" t="inlineStr">
        <is>
          <t>%</t>
        </is>
      </c>
      <c r="F289" s="2" t="inlineStr">
        <is>
          <t>Infrastructure Malta, 30 Nov 2020</t>
        </is>
      </c>
      <c r="G289" s="2" t="inlineStr">
        <is>
          <t>stated by IM; underlying study not cited</t>
        </is>
      </c>
      <c r="H289" s="2" t="inlineStr"/>
    </row>
    <row r="290">
      <c r="A290" s="5" t="inlineStr">
        <is>
          <t>CC-016</t>
        </is>
      </c>
      <c r="B290" s="2" t="inlineStr">
        <is>
          <t>CC-016:17</t>
        </is>
      </c>
      <c r="C290" s="2" t="inlineStr">
        <is>
          <t>Project cost figures stated</t>
        </is>
      </c>
      <c r="D290" s="2" t="inlineStr">
        <is>
          <t>33 / 37 / 49.9</t>
        </is>
      </c>
      <c r="E290" s="2" t="inlineStr">
        <is>
          <t>EUR million</t>
        </is>
      </c>
      <c r="F290" s="2" t="inlineStr">
        <is>
          <t>TVM 10 Jul 2024; IM 2020; IM 2020-2022</t>
        </is>
      </c>
      <c r="G290" s="2" t="inlineStr">
        <is>
          <t>launch / phase 1 budget / whole project: figures vary by phase and date</t>
        </is>
      </c>
      <c r="H290" s="2" t="inlineStr"/>
    </row>
    <row r="291">
      <c r="A291" s="5" t="inlineStr">
        <is>
          <t>CC-016</t>
        </is>
      </c>
      <c r="B291" s="2" t="inlineStr">
        <is>
          <t>CC-016:18</t>
        </is>
      </c>
      <c r="C291" s="2" t="inlineStr">
        <is>
          <t>Berths by length of stay add up to the total</t>
        </is>
      </c>
      <c r="D291" s="2" t="inlineStr">
        <is>
          <t>312 + 38 + 23 = 373</t>
        </is>
      </c>
      <c r="E291" s="2" t="inlineStr">
        <is>
          <t>berths</t>
        </is>
      </c>
      <c r="F291" s="2" t="inlineStr">
        <is>
          <t>Amphora Media</t>
        </is>
      </c>
      <c r="G291" s="2" t="inlineStr">
        <is>
          <t>matches 373</t>
        </is>
      </c>
      <c r="H291" s="2" t="inlineStr"/>
    </row>
    <row r="292">
      <c r="A292" s="5" t="inlineStr">
        <is>
          <t>CC-016</t>
        </is>
      </c>
      <c r="B292" s="2" t="inlineStr">
        <is>
          <t>CC-016:19</t>
        </is>
      </c>
      <c r="C292" s="2" t="inlineStr">
        <is>
          <t>Connected berths implied by the shares by length of stay</t>
        </is>
      </c>
      <c r="D292" s="2" t="inlineStr">
        <is>
          <t>61 + 6 + 0 = 67</t>
        </is>
      </c>
      <c r="E292" s="2" t="inlineStr">
        <is>
          <t>berths</t>
        </is>
      </c>
      <c r="F292" s="2" t="inlineStr">
        <is>
          <t>calculated from Amphora Media shares</t>
        </is>
      </c>
      <c r="G292" s="2" t="inlineStr">
        <is>
          <t>matches 67 connections; 6 of 38 is 15.8% (article: 16.2%)</t>
        </is>
      </c>
      <c r="H292" s="2" t="inlineStr"/>
    </row>
    <row r="293">
      <c r="A293" s="5" t="inlineStr">
        <is>
          <t>CC-016</t>
        </is>
      </c>
      <c r="B293" s="2" t="inlineStr">
        <is>
          <t>CC-016:20</t>
        </is>
      </c>
      <c r="C293" s="2" t="inlineStr">
        <is>
          <t>Cruise berths not connected, Jul 2024-Jul 2025</t>
        </is>
      </c>
      <c r="D293" s="2" t="inlineStr">
        <is>
          <t>306</t>
        </is>
      </c>
      <c r="E293" s="2" t="inlineStr">
        <is>
          <t>berths</t>
        </is>
      </c>
      <c r="F293" s="2" t="inlineStr">
        <is>
          <t>calculated</t>
        </is>
      </c>
      <c r="G293" s="2" t="inlineStr">
        <is>
          <t>373 - 67</t>
        </is>
      </c>
      <c r="H293" s="2" t="inlineStr"/>
    </row>
    <row r="294">
      <c r="A294" s="5" t="inlineStr">
        <is>
          <t>CC-016</t>
        </is>
      </c>
      <c r="B294" s="2" t="inlineStr">
        <is>
          <t>CC-016:21</t>
        </is>
      </c>
      <c r="C294" s="2" t="inlineStr">
        <is>
          <t>Connected berths by ship: MSC World Europa / other ships</t>
        </is>
      </c>
      <c r="D294" s="2" t="inlineStr">
        <is>
          <t>35 / 32</t>
        </is>
      </c>
      <c r="E294" s="2" t="inlineStr">
        <is>
          <t>berths</t>
        </is>
      </c>
      <c r="F294" s="2" t="inlineStr">
        <is>
          <t>Transport Malta FOI via Amphora</t>
        </is>
      </c>
      <c r="G294" s="2" t="inlineStr">
        <is>
          <t>MSC World Europa is LNG-powered (dual-fuel LNG / low-sulphur MGO; MSC Cruises)</t>
        </is>
      </c>
      <c r="H294" s="2" t="inlineStr"/>
    </row>
    <row r="295">
      <c r="A295" s="5" t="inlineStr">
        <is>
          <t>CC-016</t>
        </is>
      </c>
      <c r="B295" s="2" t="inlineStr">
        <is>
          <t>CC-016:22</t>
        </is>
      </c>
      <c r="C295" s="2" t="inlineStr">
        <is>
          <t>Plug-in rate: MSC World Europa / all other ships</t>
        </is>
      </c>
      <c r="D295" s="2" t="inlineStr">
        <is>
          <t>69 / 10</t>
        </is>
      </c>
      <c r="E295" s="2" t="inlineStr">
        <is>
          <t>% of berths</t>
        </is>
      </c>
      <c r="F295" s="2" t="inlineStr">
        <is>
          <t>calculated</t>
        </is>
      </c>
      <c r="G295" s="2" t="inlineStr">
        <is>
          <t>35 of 51; 32 of 322</t>
        </is>
      </c>
      <c r="H295" s="2" t="inlineStr"/>
    </row>
    <row r="296">
      <c r="A296" s="5" t="inlineStr">
        <is>
          <t>CC-016</t>
        </is>
      </c>
      <c r="B296" s="2" t="inlineStr">
        <is>
          <t>CC-016:23</t>
        </is>
      </c>
      <c r="C296" s="2" t="inlineStr">
        <is>
          <t>Harbour-wide cut in at-berth cruise emissions at the per-liner NO2 cut, year one (indicative)</t>
        </is>
      </c>
      <c r="D296" s="2" t="inlineStr">
        <is>
          <t>8.4</t>
        </is>
      </c>
      <c r="E296" s="2" t="inlineStr">
        <is>
          <t>%</t>
        </is>
      </c>
      <c r="F296" s="2" t="inlineStr">
        <is>
          <t>calculated</t>
        </is>
      </c>
      <c r="G296" s="2" t="inlineStr">
        <is>
          <t>9% of berth time x 93%; same mix of ships assumed</t>
        </is>
      </c>
      <c r="H296" s="2" t="inlineStr"/>
    </row>
    <row r="297">
      <c r="A297" s="5" t="inlineStr">
        <is>
          <t>CC-017</t>
        </is>
      </c>
      <c r="B297" s="2" t="inlineStr">
        <is>
          <t>CC-017:2</t>
        </is>
      </c>
      <c r="C297" s="2" t="inlineStr">
        <is>
          <t>Land in Terminal 2 window, 2017-2023 (mean)</t>
        </is>
      </c>
      <c r="D297" s="2" t="inlineStr">
        <is>
          <t>45.7</t>
        </is>
      </c>
      <c r="E297" s="2" t="inlineStr">
        <is>
          <t>ha</t>
        </is>
      </c>
      <c r="F297" s="2" t="inlineStr">
        <is>
          <t>Sentinel-2</t>
        </is>
      </c>
      <c r="G297" s="2" t="inlineStr"/>
      <c r="H297" s="2" t="inlineStr"/>
    </row>
    <row r="298">
      <c r="A298" s="5" t="inlineStr">
        <is>
          <t>CC-017</t>
        </is>
      </c>
      <c r="B298" s="2" t="inlineStr">
        <is>
          <t>CC-017:3</t>
        </is>
      </c>
      <c r="C298" s="2" t="inlineStr">
        <is>
          <t>New land at Terminal 2, 2023 -&gt; 2026</t>
        </is>
      </c>
      <c r="D298" s="2" t="inlineStr">
        <is>
          <t>3.7</t>
        </is>
      </c>
      <c r="E298" s="2" t="inlineStr">
        <is>
          <t>ha</t>
        </is>
      </c>
      <c r="F298" s="2" t="inlineStr">
        <is>
          <t>Sentinel-2</t>
        </is>
      </c>
      <c r="G298" s="2" t="inlineStr">
        <is>
          <t>stated: about 3.0 ha (30,000 m2), Malta Freeport Corporation</t>
        </is>
      </c>
      <c r="H298" s="2" t="inlineStr"/>
    </row>
    <row r="299">
      <c r="A299" s="5" t="inlineStr">
        <is>
          <t>CC-017</t>
        </is>
      </c>
      <c r="B299" s="2" t="inlineStr">
        <is>
          <t>CC-017:4</t>
        </is>
      </c>
      <c r="C299" s="2" t="inlineStr">
        <is>
          <t>New land at Terminal 2, 2025 -&gt; 2026</t>
        </is>
      </c>
      <c r="D299" s="2" t="inlineStr">
        <is>
          <t>3.3</t>
        </is>
      </c>
      <c r="E299" s="2" t="inlineStr">
        <is>
          <t>ha</t>
        </is>
      </c>
      <c r="F299" s="2" t="inlineStr">
        <is>
          <t>Sentinel-2</t>
        </is>
      </c>
      <c r="G299" s="2" t="inlineStr"/>
      <c r="H299" s="2" t="inlineStr"/>
    </row>
    <row r="300">
      <c r="A300" s="5" t="inlineStr">
        <is>
          <t>CC-017</t>
        </is>
      </c>
      <c r="B300" s="2" t="inlineStr">
        <is>
          <t>CC-017:5</t>
        </is>
      </c>
      <c r="C300" s="2" t="inlineStr">
        <is>
          <t>Fill per hectare of the Terminal 2 reclamation</t>
        </is>
      </c>
      <c r="D300" s="2" t="inlineStr">
        <is>
          <t>333333</t>
        </is>
      </c>
      <c r="E300" s="2" t="inlineStr">
        <is>
          <t>t/ha</t>
        </is>
      </c>
      <c r="F300" s="2" t="inlineStr">
        <is>
          <t>calculated</t>
        </is>
      </c>
      <c r="G300" s="2" t="inlineStr">
        <is>
          <t>about 1 million tonnes of inert material for 30,000 m2 (Malta Freeport Corporation)</t>
        </is>
      </c>
      <c r="H300" s="2" t="inlineStr"/>
    </row>
    <row r="301">
      <c r="A301" s="5" t="inlineStr">
        <is>
          <t>CC-017</t>
        </is>
      </c>
      <c r="B301" s="2" t="inlineStr">
        <is>
          <t>CC-017:6</t>
        </is>
      </c>
      <c r="C301" s="2" t="inlineStr">
        <is>
          <t>Natura 2000 designations within 1.5 km of the v1.0 reference point (14.531 E, 35.819 N)</t>
        </is>
      </c>
      <c r="D301" s="2" t="inlineStr">
        <is>
          <t>3</t>
        </is>
      </c>
      <c r="E301" s="2" t="inlineStr">
        <is>
          <t>sites</t>
        </is>
      </c>
      <c r="F301" s="2" t="inlineStr">
        <is>
          <t>EEA Natura 2000</t>
        </is>
      </c>
      <c r="G301" s="2" t="inlineStr">
        <is>
          <t>MT0000024 SAC/SCI 1.03 km; MT0000033 SPA 1.03 km; MT0000111 SPA 1.09 km</t>
        </is>
      </c>
      <c r="H301" s="2" t="inlineStr"/>
    </row>
    <row r="302">
      <c r="A302" s="5" t="inlineStr">
        <is>
          <t>CC-017</t>
        </is>
      </c>
      <c r="B302" s="2" t="inlineStr">
        <is>
          <t>CC-017:7</t>
        </is>
      </c>
      <c r="C302" s="2" t="inlineStr">
        <is>
          <t>Distance from the v1.0 reference point to marine SPA Żona fil-Baħar fil-Lbiċ</t>
        </is>
      </c>
      <c r="D302" s="2" t="inlineStr">
        <is>
          <t>1.09</t>
        </is>
      </c>
      <c r="E302" s="2" t="inlineStr">
        <is>
          <t>km</t>
        </is>
      </c>
      <c r="F302" s="2" t="inlineStr">
        <is>
          <t>EEA Natura 2000</t>
        </is>
      </c>
      <c r="G302" s="2" t="inlineStr">
        <is>
          <t>256.0 km2; onshore point west of Terminal 2, superseded in v1.1</t>
        </is>
      </c>
      <c r="H302" s="2" t="inlineStr"/>
    </row>
    <row r="303">
      <c r="A303" s="5" t="inlineStr">
        <is>
          <t>CC-017</t>
        </is>
      </c>
      <c r="B303" s="2" t="inlineStr">
        <is>
          <t>CC-017:8</t>
        </is>
      </c>
      <c r="C303" s="2" t="inlineStr">
        <is>
          <t>Distance from new land at Terminal 2, 2023 -&gt; 2026 to marine SPA MT0000111</t>
        </is>
      </c>
      <c r="D303" s="2" t="inlineStr">
        <is>
          <t>0.4</t>
        </is>
      </c>
      <c r="E303" s="2" t="inlineStr">
        <is>
          <t>km</t>
        </is>
      </c>
      <c r="F303" s="2" t="inlineStr">
        <is>
          <t>EEA Natura 2000</t>
        </is>
      </c>
      <c r="G303" s="2" t="inlineStr">
        <is>
          <t>shortest distance, UTM 33N</t>
        </is>
      </c>
      <c r="H303" s="2" t="inlineStr"/>
    </row>
    <row r="304">
      <c r="A304" s="5" t="inlineStr">
        <is>
          <t>CC-017</t>
        </is>
      </c>
      <c r="B304" s="2" t="inlineStr">
        <is>
          <t>CC-017:9</t>
        </is>
      </c>
      <c r="C304" s="2" t="inlineStr">
        <is>
          <t>Distance from new land at Terminal 2, 2023 -&gt; 2026 to cliff sites MT0000024 / MT0000033</t>
        </is>
      </c>
      <c r="D304" s="2" t="inlineStr">
        <is>
          <t>0.51 / 0.51</t>
        </is>
      </c>
      <c r="E304" s="2" t="inlineStr">
        <is>
          <t>km</t>
        </is>
      </c>
      <c r="F304" s="2" t="inlineStr">
        <is>
          <t>EEA Natura 2000</t>
        </is>
      </c>
      <c r="G304" s="2" t="inlineStr">
        <is>
          <t>shortest distance, UTM 33N</t>
        </is>
      </c>
      <c r="H304" s="2" t="inlineStr"/>
    </row>
    <row r="305">
      <c r="A305" s="5" t="inlineStr">
        <is>
          <t>CC-017</t>
        </is>
      </c>
      <c r="B305" s="2" t="inlineStr">
        <is>
          <t>CC-017:10</t>
        </is>
      </c>
      <c r="C305" s="2" t="inlineStr">
        <is>
          <t>Distance from the Terminal 2 window to marine SPA MT0000111</t>
        </is>
      </c>
      <c r="D305" s="2" t="inlineStr">
        <is>
          <t>0.33</t>
        </is>
      </c>
      <c r="E305" s="2" t="inlineStr">
        <is>
          <t>km</t>
        </is>
      </c>
      <c r="F305" s="2" t="inlineStr">
        <is>
          <t>EEA Natura 2000</t>
        </is>
      </c>
      <c r="G305" s="2" t="inlineStr">
        <is>
          <t>shortest distance, UTM 33N</t>
        </is>
      </c>
      <c r="H305" s="2" t="inlineStr"/>
    </row>
    <row r="306">
      <c r="A306" s="5" t="inlineStr">
        <is>
          <t>CC-017</t>
        </is>
      </c>
      <c r="B306" s="2" t="inlineStr">
        <is>
          <t>CC-017:11</t>
        </is>
      </c>
      <c r="C306" s="2" t="inlineStr">
        <is>
          <t>Distance from the Terminal 2 window to cliff sites MT0000024 / MT0000033</t>
        </is>
      </c>
      <c r="D306" s="2" t="inlineStr">
        <is>
          <t>0.43 / 0.43</t>
        </is>
      </c>
      <c r="E306" s="2" t="inlineStr">
        <is>
          <t>km</t>
        </is>
      </c>
      <c r="F306" s="2" t="inlineStr">
        <is>
          <t>EEA Natura 2000</t>
        </is>
      </c>
      <c r="G306" s="2" t="inlineStr">
        <is>
          <t>shortest distance, UTM 33N</t>
        </is>
      </c>
      <c r="H306" s="2" t="inlineStr"/>
    </row>
    <row r="307">
      <c r="A307" s="5" t="inlineStr">
        <is>
          <t>CC-017</t>
        </is>
      </c>
      <c r="B307" s="2" t="inlineStr">
        <is>
          <t>CC-017:12</t>
        </is>
      </c>
      <c r="C307" s="2" t="inlineStr">
        <is>
          <t>Natura 2000 designations within 1.5 km of the new land at Terminal 2</t>
        </is>
      </c>
      <c r="D307" s="2" t="inlineStr">
        <is>
          <t>3</t>
        </is>
      </c>
      <c r="E307" s="2" t="inlineStr">
        <is>
          <t>sites</t>
        </is>
      </c>
      <c r="F307" s="2" t="inlineStr">
        <is>
          <t>EEA Natura 2000</t>
        </is>
      </c>
      <c r="G307" s="2" t="inlineStr">
        <is>
          <t>MT0000033 SPA lies 99.9% inside MT0000024 SAC: two designations, same cliffs</t>
        </is>
      </c>
      <c r="H307" s="2" t="inlineStr"/>
    </row>
    <row r="308">
      <c r="A308" s="5" t="inlineStr">
        <is>
          <t>CC-017</t>
        </is>
      </c>
      <c r="B308" s="2" t="inlineStr">
        <is>
          <t>CC-017:13</t>
        </is>
      </c>
      <c r="C308" s="2" t="inlineStr">
        <is>
          <t>Land reclamation allocated in budgets 2023 / 2024 / 2025</t>
        </is>
      </c>
      <c r="D308" s="2" t="inlineStr">
        <is>
          <t>500,000 / 100,000 / 10,000</t>
        </is>
      </c>
      <c r="E308" s="2" t="inlineStr">
        <is>
          <t>EUR</t>
        </is>
      </c>
      <c r="F308" s="2" t="inlineStr">
        <is>
          <t>MaltaToday analysis, 15 Apr 2025 (second-hand)</t>
        </is>
      </c>
      <c r="G308" s="2" t="inlineStr">
        <is>
          <t>EUR 9,500 spent of the 2023 allocation</t>
        </is>
      </c>
      <c r="H308" s="2" t="inlineStr"/>
    </row>
    <row r="309">
      <c r="A309" s="5" t="inlineStr">
        <is>
          <t>CC-017</t>
        </is>
      </c>
      <c r="B309" s="2" t="inlineStr">
        <is>
          <t>CC-017:14</t>
        </is>
      </c>
      <c r="C309" s="2" t="inlineStr">
        <is>
          <t>Years since the seabed study was said to be the basis for a Cabinet decision</t>
        </is>
      </c>
      <c r="D309" s="2" t="inlineStr">
        <is>
          <t>7</t>
        </is>
      </c>
      <c r="E309" s="2" t="inlineStr">
        <is>
          <t>years</t>
        </is>
      </c>
      <c r="F309" s="2" t="inlineStr">
        <is>
          <t>calculated</t>
        </is>
      </c>
      <c r="G309" s="2" t="inlineStr">
        <is>
          <t>MaltaToday, Sep 2019; study not published</t>
        </is>
      </c>
      <c r="H309" s="2" t="inlineStr"/>
    </row>
    <row r="310">
      <c r="A310" s="5" t="inlineStr">
        <is>
          <t>CC-017</t>
        </is>
      </c>
      <c r="B310" s="2" t="inlineStr">
        <is>
          <t>CC-017:15</t>
        </is>
      </c>
      <c r="C310" s="2" t="inlineStr">
        <is>
          <t>Mapped P. oceanica within 0.5 km of the new land at Terminal 2 (EMODnet)</t>
        </is>
      </c>
      <c r="D310" s="2" t="inlineStr">
        <is>
          <t>20.8</t>
        </is>
      </c>
      <c r="E310" s="2" t="inlineStr">
        <is>
          <t>ha</t>
        </is>
      </c>
      <c r="F310" s="2" t="inlineStr">
        <is>
          <t>EMODnet Seabed Habitats (2025)</t>
        </is>
      </c>
      <c r="G310" s="2" t="inlineStr">
        <is>
          <t>map EUSM16me (2016), grid cells about 188 x 231 m; of which on land (OpenStreetMap coastline): 0.7 ha</t>
        </is>
      </c>
      <c r="H310" s="2" t="inlineStr"/>
    </row>
    <row r="311">
      <c r="A311" s="5" t="inlineStr">
        <is>
          <t>CC-017</t>
        </is>
      </c>
      <c r="B311" s="2" t="inlineStr">
        <is>
          <t>CC-017:16</t>
        </is>
      </c>
      <c r="C311" s="2" t="inlineStr">
        <is>
          <t>Mapped P. oceanica within 1 km of the new land at Terminal 2 (EMODnet)</t>
        </is>
      </c>
      <c r="D311" s="2" t="inlineStr">
        <is>
          <t>72.1</t>
        </is>
      </c>
      <c r="E311" s="2" t="inlineStr">
        <is>
          <t>ha</t>
        </is>
      </c>
      <c r="F311" s="2" t="inlineStr">
        <is>
          <t>EMODnet Seabed Habitats (2025)</t>
        </is>
      </c>
      <c r="G311" s="2" t="inlineStr">
        <is>
          <t>map EUSM16me (2016), grid cells about 188 x 231 m; of which on land (OpenStreetMap coastline): 2.3 ha</t>
        </is>
      </c>
      <c r="H311" s="2" t="inlineStr"/>
    </row>
    <row r="312">
      <c r="A312" s="5" t="inlineStr">
        <is>
          <t>CC-017</t>
        </is>
      </c>
      <c r="B312" s="2" t="inlineStr">
        <is>
          <t>CC-017:17</t>
        </is>
      </c>
      <c r="C312" s="2" t="inlineStr">
        <is>
          <t>Shortest distance from the new land to mapped P. oceanica (EMODnet)</t>
        </is>
      </c>
      <c r="D312" s="2" t="inlineStr">
        <is>
          <t>0.01</t>
        </is>
      </c>
      <c r="E312" s="2" t="inlineStr">
        <is>
          <t>km</t>
        </is>
      </c>
      <c r="F312" s="2" t="inlineStr">
        <is>
          <t>EMODnet Seabed Habitats (2025)</t>
        </is>
      </c>
      <c r="G312" s="2" t="inlineStr">
        <is>
          <t>to the nearest grid cell; cells about 188 x 231 m, so the map cannot place a meadow's edge more precisely than about one cell</t>
        </is>
      </c>
      <c r="H312" s="2" t="inlineStr"/>
    </row>
    <row r="313">
      <c r="A313" s="5" t="inlineStr">
        <is>
          <t>CC-017</t>
        </is>
      </c>
      <c r="B313" s="2" t="inlineStr">
        <is>
          <t>CC-017:18</t>
        </is>
      </c>
      <c r="C313" s="2" t="inlineStr">
        <is>
          <t>Mapped P. oceanica in the map frame (EMODnet)</t>
        </is>
      </c>
      <c r="D313" s="2" t="inlineStr">
        <is>
          <t>195.9</t>
        </is>
      </c>
      <c r="E313" s="2" t="inlineStr">
        <is>
          <t>ha</t>
        </is>
      </c>
      <c r="F313" s="2" t="inlineStr">
        <is>
          <t>EMODnet Seabed Habitats (2025)</t>
        </is>
      </c>
      <c r="G313" s="2" t="inlineStr">
        <is>
          <t>frame (14.505, 35.795, 14.6, 35.862); 6 polygons, about 45 grid cells; on land (OpenStreetMap coastline): 2.5 ha</t>
        </is>
      </c>
      <c r="H313" s="2" t="inlineStr"/>
    </row>
    <row r="314">
      <c r="A314" s="5" t="inlineStr">
        <is>
          <t>CC-017</t>
        </is>
      </c>
      <c r="B314" s="2" t="inlineStr">
        <is>
          <t>CC-017:19</t>
        </is>
      </c>
      <c r="C314" s="2" t="inlineStr">
        <is>
          <t>Depth of the sea within 0.5 km of the new land, 10th / 50th / 90th percentile</t>
        </is>
      </c>
      <c r="D314" s="2" t="inlineStr">
        <is>
          <t>11 / 18 / 27</t>
        </is>
      </c>
      <c r="E314" s="2" t="inlineStr">
        <is>
          <t>m</t>
        </is>
      </c>
      <c r="F314" s="2" t="inlineStr">
        <is>
          <t>EMODnet DTM 2024</t>
        </is>
      </c>
      <c r="G314" s="2" t="inlineStr">
        <is>
          <t>125 grid cells; shallower than 10 m: 9%; shallower than 20 m: 58%</t>
        </is>
      </c>
      <c r="H314" s="2" t="inlineStr"/>
    </row>
    <row r="315">
      <c r="A315" s="5" t="inlineStr">
        <is>
          <t>CC-017</t>
        </is>
      </c>
      <c r="B315" s="2" t="inlineStr">
        <is>
          <t>CC-017:20</t>
        </is>
      </c>
      <c r="C315" s="2" t="inlineStr">
        <is>
          <t>Depth of the sea within 1 km of the new land, 10th / 50th / 90th percentile</t>
        </is>
      </c>
      <c r="D315" s="2" t="inlineStr">
        <is>
          <t>5 / 18 / 30</t>
        </is>
      </c>
      <c r="E315" s="2" t="inlineStr">
        <is>
          <t>m</t>
        </is>
      </c>
      <c r="F315" s="2" t="inlineStr">
        <is>
          <t>EMODnet DTM 2024</t>
        </is>
      </c>
      <c r="G315" s="2" t="inlineStr">
        <is>
          <t>324 grid cells; shallower than 10 m: 20%; shallower than 20 m: 56%</t>
        </is>
      </c>
      <c r="H315" s="2" t="inlineStr"/>
    </row>
    <row r="316">
      <c r="A316" s="5" t="inlineStr">
        <is>
          <t>CC-017</t>
        </is>
      </c>
      <c r="B316" s="2" t="inlineStr">
        <is>
          <t>CC-017:21</t>
        </is>
      </c>
      <c r="C316" s="2" t="inlineStr">
        <is>
          <t>Depth of mapped P. oceanica in the map frame, 10th / 50th / 90th percentile</t>
        </is>
      </c>
      <c r="D316" s="2" t="inlineStr">
        <is>
          <t>11 / 26 / 35</t>
        </is>
      </c>
      <c r="E316" s="2" t="inlineStr">
        <is>
          <t>m</t>
        </is>
      </c>
      <c r="F316" s="2" t="inlineStr">
        <is>
          <t>EMODnet DTM 2024 x EMODnet seagrass</t>
        </is>
      </c>
      <c r="G316" s="2" t="inlineStr">
        <is>
          <t>170 grid cells</t>
        </is>
      </c>
      <c r="H316" s="2" t="inlineStr"/>
    </row>
    <row r="317">
      <c r="A317" s="5" t="inlineStr">
        <is>
          <t>CC-017</t>
        </is>
      </c>
      <c r="B317" s="2" t="inlineStr">
        <is>
          <t>CC-017:22</t>
        </is>
      </c>
      <c r="C317" s="2" t="inlineStr">
        <is>
          <t>Depth of mapped P. oceanica within 1 km of the new land, 10th / 50th / 90th percentile</t>
        </is>
      </c>
      <c r="D317" s="2" t="inlineStr">
        <is>
          <t>21 / 29 / 32</t>
        </is>
      </c>
      <c r="E317" s="2" t="inlineStr">
        <is>
          <t>m</t>
        </is>
      </c>
      <c r="F317" s="2" t="inlineStr">
        <is>
          <t>EMODnet DTM 2024 x EMODnet seagrass</t>
        </is>
      </c>
      <c r="G317" s="2" t="inlineStr">
        <is>
          <t>58 grid cells</t>
        </is>
      </c>
      <c r="H317" s="2" t="inlineStr"/>
    </row>
    <row r="318">
      <c r="A318" s="5" t="inlineStr">
        <is>
          <t>CC-017</t>
        </is>
      </c>
      <c r="B318" s="2" t="inlineStr">
        <is>
          <t>CC-017:23</t>
        </is>
      </c>
      <c r="C318" s="2" t="inlineStr">
        <is>
          <t>Article 17, Malta, Posidonia beds (1120), 2013-2018: overall status / trend</t>
        </is>
      </c>
      <c r="D318" s="2" t="inlineStr">
        <is>
          <t>FV / =</t>
        </is>
      </c>
      <c r="E318" s="2" t="inlineStr"/>
      <c r="F318" s="2" t="inlineStr">
        <is>
          <t>EEA Article 17 web tool</t>
        </is>
      </c>
      <c r="G318" s="2" t="inlineStr">
        <is>
          <t>area 68.46 km2 (method a); good condition 66.38 - 68.46 km2, not good N/A - 2.08 km2; FV = favourable</t>
        </is>
      </c>
      <c r="H318" s="2" t="inlineStr"/>
    </row>
    <row r="319">
      <c r="A319" s="5" t="inlineStr">
        <is>
          <t>CC-017</t>
        </is>
      </c>
      <c r="B319" s="2" t="inlineStr">
        <is>
          <t>CC-017:24</t>
        </is>
      </c>
      <c r="C319" s="2" t="inlineStr">
        <is>
          <t>Article 17, Malta, Posidonia beds (1120), 2019-2024: overall status / trend</t>
        </is>
      </c>
      <c r="D319" s="2" t="inlineStr">
        <is>
          <t>FV / S</t>
        </is>
      </c>
      <c r="E319" s="2" t="inlineStr"/>
      <c r="F319" s="2" t="inlineStr">
        <is>
          <t>EEA Article 17 web tool</t>
        </is>
      </c>
      <c r="G319" s="2" t="inlineStr">
        <is>
          <t>area 68.46 km2 (method estimatePartial); good condition 66.38 - 66.38 km2, not good 2.08 - 2.08 km2; FV = favourable</t>
        </is>
      </c>
      <c r="H319" s="2" t="inlineStr"/>
    </row>
    <row r="320">
      <c r="A320" s="5" t="inlineStr">
        <is>
          <t>CC-018</t>
        </is>
      </c>
      <c r="B320" s="2" t="inlineStr">
        <is>
          <t>CC-018:2</t>
        </is>
      </c>
      <c r="C320" s="2" t="inlineStr">
        <is>
          <t>Malta: price-to-income ratio, 2015 -&gt; 2024</t>
        </is>
      </c>
      <c r="D320" s="2" t="inlineStr">
        <is>
          <t>-10.7</t>
        </is>
      </c>
      <c r="E320" s="2" t="inlineStr">
        <is>
          <t>% change</t>
        </is>
      </c>
      <c r="F320" s="2" t="inlineStr">
        <is>
          <t>Eurostat tipsho60</t>
        </is>
      </c>
      <c r="G320" s="2" t="inlineStr"/>
      <c r="H320" s="2" t="inlineStr"/>
    </row>
    <row r="321">
      <c r="A321" s="5" t="inlineStr">
        <is>
          <t>CC-018</t>
        </is>
      </c>
      <c r="B321" s="2" t="inlineStr">
        <is>
          <t>CC-018:3</t>
        </is>
      </c>
      <c r="C321" s="2" t="inlineStr">
        <is>
          <t>Malta: price-to-income ratio vs long-term average, 2024</t>
        </is>
      </c>
      <c r="D321" s="2" t="inlineStr">
        <is>
          <t>92.9</t>
        </is>
      </c>
      <c r="E321" s="2" t="inlineStr">
        <is>
          <t>index (100 = average)</t>
        </is>
      </c>
      <c r="F321" s="2" t="inlineStr">
        <is>
          <t>Eurostat tipsho60</t>
        </is>
      </c>
      <c r="G321" s="2" t="inlineStr"/>
      <c r="H321" s="2" t="inlineStr"/>
    </row>
    <row r="322">
      <c r="A322" s="5" t="inlineStr">
        <is>
          <t>CC-018</t>
        </is>
      </c>
      <c r="B322" s="2" t="inlineStr">
        <is>
          <t>CC-018:4</t>
        </is>
      </c>
      <c r="C322" s="2" t="inlineStr">
        <is>
          <t>Malta: years 2020-2024 with a rising ratio</t>
        </is>
      </c>
      <c r="D322" s="2" t="inlineStr">
        <is>
          <t>1</t>
        </is>
      </c>
      <c r="E322" s="2" t="inlineStr">
        <is>
          <t>of 5</t>
        </is>
      </c>
      <c r="F322" s="2" t="inlineStr">
        <is>
          <t>Eurostat tipsho60</t>
        </is>
      </c>
      <c r="G322" s="2" t="inlineStr"/>
      <c r="H322" s="2" t="inlineStr"/>
    </row>
    <row r="323">
      <c r="A323" s="5" t="inlineStr">
        <is>
          <t>CC-018</t>
        </is>
      </c>
      <c r="B323" s="2" t="inlineStr">
        <is>
          <t>CC-018:5</t>
        </is>
      </c>
      <c r="C323" s="2" t="inlineStr">
        <is>
          <t>EU-27: price-to-income ratio, 2015 -&gt; 2024</t>
        </is>
      </c>
      <c r="D323" s="2" t="inlineStr">
        <is>
          <t>5.7</t>
        </is>
      </c>
      <c r="E323" s="2" t="inlineStr">
        <is>
          <t>% change</t>
        </is>
      </c>
      <c r="F323" s="2" t="inlineStr">
        <is>
          <t>Eurostat tipsho60</t>
        </is>
      </c>
      <c r="G323" s="2" t="inlineStr"/>
      <c r="H323" s="2" t="inlineStr"/>
    </row>
    <row r="324">
      <c r="A324" s="5" t="inlineStr">
        <is>
          <t>CC-018</t>
        </is>
      </c>
      <c r="B324" s="2" t="inlineStr">
        <is>
          <t>CC-018:6</t>
        </is>
      </c>
      <c r="C324" s="2" t="inlineStr">
        <is>
          <t>EU-27: price-to-income ratio vs long-term average, 2024</t>
        </is>
      </c>
      <c r="D324" s="2" t="inlineStr">
        <is>
          <t>98.94</t>
        </is>
      </c>
      <c r="E324" s="2" t="inlineStr">
        <is>
          <t>index (100 = average)</t>
        </is>
      </c>
      <c r="F324" s="2" t="inlineStr">
        <is>
          <t>Eurostat tipsho60</t>
        </is>
      </c>
      <c r="G324" s="2" t="inlineStr"/>
      <c r="H324" s="2" t="inlineStr"/>
    </row>
    <row r="325">
      <c r="A325" s="5" t="inlineStr">
        <is>
          <t>CC-018</t>
        </is>
      </c>
      <c r="B325" s="2" t="inlineStr">
        <is>
          <t>CC-018:7</t>
        </is>
      </c>
      <c r="C325" s="2" t="inlineStr">
        <is>
          <t>EU-27: years 2020-2024 with a rising ratio</t>
        </is>
      </c>
      <c r="D325" s="2" t="inlineStr">
        <is>
          <t>3</t>
        </is>
      </c>
      <c r="E325" s="2" t="inlineStr">
        <is>
          <t>of 5</t>
        </is>
      </c>
      <c r="F325" s="2" t="inlineStr">
        <is>
          <t>Eurostat tipsho60</t>
        </is>
      </c>
      <c r="G325" s="2" t="inlineStr"/>
      <c r="H325" s="2" t="inlineStr"/>
    </row>
    <row r="326">
      <c r="A326" s="5" t="inlineStr">
        <is>
          <t>CC-018</t>
        </is>
      </c>
      <c r="B326" s="2" t="inlineStr">
        <is>
          <t>CC-018:8</t>
        </is>
      </c>
      <c r="C326" s="2" t="inlineStr">
        <is>
          <t>Malta: peak of price-to-income ratio since 2010</t>
        </is>
      </c>
      <c r="D326" s="2" t="inlineStr">
        <is>
          <t>2010</t>
        </is>
      </c>
      <c r="E326" s="2" t="inlineStr">
        <is>
          <t>year</t>
        </is>
      </c>
      <c r="F326" s="2" t="inlineStr">
        <is>
          <t>Eurostat tipsho60</t>
        </is>
      </c>
      <c r="G326" s="2" t="inlineStr"/>
      <c r="H326" s="2" t="inlineStr"/>
    </row>
    <row r="327">
      <c r="A327" s="5" t="inlineStr">
        <is>
          <t>CC-018</t>
        </is>
      </c>
      <c r="B327" s="2" t="inlineStr">
        <is>
          <t>CC-018:9</t>
        </is>
      </c>
      <c r="C327" s="2" t="inlineStr">
        <is>
          <t>Banks: real estate and construction share of private loans</t>
        </is>
      </c>
      <c r="D327" s="2" t="inlineStr">
        <is>
          <t>61 -&gt; 72</t>
        </is>
      </c>
      <c r="E327" s="2" t="inlineStr">
        <is>
          <t>%</t>
        </is>
      </c>
      <c r="F327" s="2" t="inlineStr">
        <is>
          <t>IMF CR 26/29 p.19</t>
        </is>
      </c>
      <c r="G327" s="2" t="inlineStr"/>
      <c r="H327" s="2" t="inlineStr"/>
    </row>
    <row r="328">
      <c r="A328" s="5" t="inlineStr">
        <is>
          <t>CC-018</t>
        </is>
      </c>
      <c r="B328" s="2" t="inlineStr">
        <is>
          <t>CC-018:10</t>
        </is>
      </c>
      <c r="C328" s="2" t="inlineStr">
        <is>
          <t>Banks: residential mortgages share of private lending</t>
        </is>
      </c>
      <c r="D328" s="2" t="inlineStr">
        <is>
          <t>44 -&gt; 57</t>
        </is>
      </c>
      <c r="E328" s="2" t="inlineStr">
        <is>
          <t>%</t>
        </is>
      </c>
      <c r="F328" s="2" t="inlineStr">
        <is>
          <t>IMF CR 26/29 p.19</t>
        </is>
      </c>
      <c r="G328" s="2" t="inlineStr"/>
      <c r="H328" s="2" t="inlineStr"/>
    </row>
    <row r="329">
      <c r="A329" s="5" t="inlineStr">
        <is>
          <t>CC-018</t>
        </is>
      </c>
      <c r="B329" s="2" t="inlineStr">
        <is>
          <t>CC-018:11</t>
        </is>
      </c>
      <c r="C329" s="2" t="inlineStr">
        <is>
          <t>Malta: housing-cost overburden 2015 -&gt; 2022 (before Malta's series break)</t>
        </is>
      </c>
      <c r="D329" s="2" t="inlineStr">
        <is>
          <t>1.1 -&gt; 2.9</t>
        </is>
      </c>
      <c r="E329" s="2" t="inlineStr">
        <is>
          <t>% of people</t>
        </is>
      </c>
      <c r="F329" s="2" t="inlineStr">
        <is>
          <t>Eurostat ilc_lvho07a</t>
        </is>
      </c>
      <c r="G329" s="2" t="inlineStr">
        <is>
          <t>affordability, not covered by the IMF assessment</t>
        </is>
      </c>
      <c r="H329" s="2" t="inlineStr"/>
    </row>
    <row r="330">
      <c r="A330" s="5" t="inlineStr">
        <is>
          <t>CC-018</t>
        </is>
      </c>
      <c r="B330" s="2" t="inlineStr">
        <is>
          <t>CC-018:12</t>
        </is>
      </c>
      <c r="C330" s="2" t="inlineStr">
        <is>
          <t>Malta: housing-cost overburden 2023 -&gt; 2025 (after the break)</t>
        </is>
      </c>
      <c r="D330" s="2" t="inlineStr">
        <is>
          <t>6.0 / 5.9 / 6.0</t>
        </is>
      </c>
      <c r="E330" s="2" t="inlineStr">
        <is>
          <t>% of people</t>
        </is>
      </c>
      <c r="F330" s="2" t="inlineStr">
        <is>
          <t>Eurostat ilc_lvho07a</t>
        </is>
      </c>
      <c r="G330" s="2" t="inlineStr">
        <is>
          <t>Malta 2023 flagged b (break in time series)</t>
        </is>
      </c>
      <c r="H330" s="2" t="inlineStr"/>
    </row>
    <row r="331">
      <c r="A331" s="5" t="inlineStr">
        <is>
          <t>CC-018</t>
        </is>
      </c>
      <c r="B331" s="2" t="inlineStr">
        <is>
          <t>CC-018:13</t>
        </is>
      </c>
      <c r="C331" s="2" t="inlineStr">
        <is>
          <t>EU-27: housing-cost overburden 2015 -&gt; 2022 (before Malta's series break)</t>
        </is>
      </c>
      <c r="D331" s="2" t="inlineStr">
        <is>
          <t>11.2 -&gt; 8.7</t>
        </is>
      </c>
      <c r="E331" s="2" t="inlineStr">
        <is>
          <t>% of people</t>
        </is>
      </c>
      <c r="F331" s="2" t="inlineStr">
        <is>
          <t>Eurostat ilc_lvho07a</t>
        </is>
      </c>
      <c r="G331" s="2" t="inlineStr">
        <is>
          <t>affordability, not covered by the IMF assessment</t>
        </is>
      </c>
      <c r="H331" s="2" t="inlineStr"/>
    </row>
    <row r="332">
      <c r="A332" s="5" t="inlineStr">
        <is>
          <t>CC-018</t>
        </is>
      </c>
      <c r="B332" s="2" t="inlineStr">
        <is>
          <t>CC-018:14</t>
        </is>
      </c>
      <c r="C332" s="2" t="inlineStr">
        <is>
          <t>EU-27: housing-cost overburden 2023 -&gt; 2025 (after the break)</t>
        </is>
      </c>
      <c r="D332" s="2" t="inlineStr">
        <is>
          <t>8.8 / 8.2 / 7.7</t>
        </is>
      </c>
      <c r="E332" s="2" t="inlineStr">
        <is>
          <t>% of people</t>
        </is>
      </c>
      <c r="F332" s="2" t="inlineStr">
        <is>
          <t>Eurostat ilc_lvho07a</t>
        </is>
      </c>
      <c r="G332" s="2" t="inlineStr"/>
      <c r="H332" s="2" t="inlineStr"/>
    </row>
    <row r="333">
      <c r="A333" s="5" t="inlineStr">
        <is>
          <t>CC-018</t>
        </is>
      </c>
      <c r="B333" s="2" t="inlineStr">
        <is>
          <t>CC-018:15</t>
        </is>
      </c>
      <c r="C333" s="2" t="inlineStr">
        <is>
          <t>Malta: real house prices 2015 -&gt; 2025</t>
        </is>
      </c>
      <c r="D333" s="2" t="inlineStr">
        <is>
          <t>34</t>
        </is>
      </c>
      <c r="E333" s="2" t="inlineStr">
        <is>
          <t>%</t>
        </is>
      </c>
      <c r="F333" s="2" t="inlineStr">
        <is>
          <t>Eurostat tipsho10</t>
        </is>
      </c>
      <c r="G333" s="2" t="inlineStr"/>
      <c r="H333" s="2" t="inlineStr"/>
    </row>
    <row r="334">
      <c r="A334" s="5" t="inlineStr">
        <is>
          <t>CC-018</t>
        </is>
      </c>
      <c r="B334" s="2" t="inlineStr">
        <is>
          <t>CC-018:16</t>
        </is>
      </c>
      <c r="C334" s="2" t="inlineStr">
        <is>
          <t>MDA-commissioned study: price-to-income 2024 -&gt; 2025</t>
        </is>
      </c>
      <c r="D334" s="2" t="inlineStr">
        <is>
          <t>14.0 -&gt; 14.5</t>
        </is>
      </c>
      <c r="E334" s="2" t="inlineStr">
        <is>
          <t>ratio</t>
        </is>
      </c>
      <c r="F334" s="2" t="inlineStr">
        <is>
          <t>MaltaToday, 8 Feb 2026 (second-hand)</t>
        </is>
      </c>
      <c r="G334" s="2" t="inlineStr">
        <is>
          <t>different measure from Eurostat's; method not seen</t>
        </is>
      </c>
      <c r="H334" s="2" t="inlineStr"/>
    </row>
    <row r="335">
      <c r="A335" s="5" t="inlineStr">
        <is>
          <t>CC-018</t>
        </is>
      </c>
      <c r="B335" s="2" t="inlineStr">
        <is>
          <t>CC-018:17</t>
        </is>
      </c>
      <c r="C335" s="2" t="inlineStr">
        <is>
          <t>EU members on the IMF's 24-month Article IV cycle in their latest staff report (2025-26)</t>
        </is>
      </c>
      <c r="D335" s="2" t="inlineStr">
        <is>
          <t>1 of 27 (Malta)</t>
        </is>
      </c>
      <c r="E335" s="2" t="inlineStr">
        <is>
          <t>members</t>
        </is>
      </c>
      <c r="F335" s="2" t="inlineStr">
        <is>
          <t>IMF eLibrary, latest staff reports</t>
        </is>
      </c>
      <c r="G335" s="2" t="inlineStr">
        <is>
          <t>all others: 12-month cycle</t>
        </is>
      </c>
      <c r="H335" s="2" t="inlineStr"/>
    </row>
    <row r="336">
      <c r="A336" s="5" t="inlineStr">
        <is>
          <t>CC-018</t>
        </is>
      </c>
      <c r="B336" s="2" t="inlineStr">
        <is>
          <t>CC-018:18</t>
        </is>
      </c>
      <c r="C336" s="2" t="inlineStr">
        <is>
          <t>Earlier EU member placed on the 24-month cycle</t>
        </is>
      </c>
      <c r="D336" s="2" t="inlineStr">
        <is>
          <t>Luxembourg (2000); Luxembourg (2002)</t>
        </is>
      </c>
      <c r="E336" s="2" t="inlineStr"/>
      <c r="F336" s="2" t="inlineStr">
        <is>
          <t>IMF CR 00/65 para. 45; CR 02/118 para. 34</t>
        </is>
      </c>
      <c r="G336" s="2" t="inlineStr">
        <is>
          <t>Luxembourg, an EU member then as now: 2000 and 2002 consultations two years apart</t>
        </is>
      </c>
      <c r="H336" s="2" t="inlineStr"/>
    </row>
    <row r="337">
      <c r="A337" s="5" t="inlineStr">
        <is>
          <t>CC-018</t>
        </is>
      </c>
      <c r="B337" s="2" t="inlineStr">
        <is>
          <t>CC-018:19</t>
        </is>
      </c>
      <c r="C337" s="2" t="inlineStr">
        <is>
          <t>IMF: per capita income 2013 -&gt; 2024 (US$ thousand)</t>
        </is>
      </c>
      <c r="D337" s="2" t="inlineStr">
        <is>
          <t>25 -&gt; 45 (x1.80)</t>
        </is>
      </c>
      <c r="E337" s="2" t="inlineStr">
        <is>
          <t>ratio</t>
        </is>
      </c>
      <c r="F337" s="2" t="inlineStr">
        <is>
          <t>IMF CR 26/29 p.8</t>
        </is>
      </c>
      <c r="G337" s="2" t="inlineStr">
        <is>
          <t>the IMF's own 'nearly doubled'</t>
        </is>
      </c>
      <c r="H337" s="2" t="inlineStr"/>
    </row>
    <row r="338">
      <c r="A338" s="5" t="inlineStr">
        <is>
          <t>CC-018</t>
        </is>
      </c>
      <c r="B338" s="2" t="inlineStr">
        <is>
          <t>CC-018:20</t>
        </is>
      </c>
      <c r="C338" s="2" t="inlineStr">
        <is>
          <t>Malta: GDP per head, current prices, 2013 -&gt; 2025</t>
        </is>
      </c>
      <c r="D338" s="2" t="inlineStr">
        <is>
          <t>19,120 -&gt; 42,390 (x2.22)</t>
        </is>
      </c>
      <c r="E338" s="2" t="inlineStr">
        <is>
          <t>EUR</t>
        </is>
      </c>
      <c r="F338" s="2" t="inlineStr">
        <is>
          <t>Eurostat nama_10_pc CP_EUR_HAB</t>
        </is>
      </c>
      <c r="G338" s="2" t="inlineStr">
        <is>
          <t>2013 -&gt; 2024: x2.12</t>
        </is>
      </c>
      <c r="H338" s="2" t="inlineStr"/>
    </row>
    <row r="339">
      <c r="A339" s="5" t="inlineStr">
        <is>
          <t>CC-018</t>
        </is>
      </c>
      <c r="B339" s="2" t="inlineStr">
        <is>
          <t>CC-018:21</t>
        </is>
      </c>
      <c r="C339" s="2" t="inlineStr">
        <is>
          <t>Malta: GDP per head, chain-linked volumes (2020 prices), 2013 -&gt; 2025</t>
        </is>
      </c>
      <c r="D339" s="2" t="inlineStr">
        <is>
          <t>22,600 -&gt; 34,360 (x1.52)</t>
        </is>
      </c>
      <c r="E339" s="2" t="inlineStr">
        <is>
          <t>EUR (2020 prices)</t>
        </is>
      </c>
      <c r="F339" s="2" t="inlineStr">
        <is>
          <t>Eurostat nama_10_pc CLV20_EUR_HAB</t>
        </is>
      </c>
      <c r="G339" s="2" t="inlineStr">
        <is>
          <t>real terms: about half again, not nearly double</t>
        </is>
      </c>
      <c r="H339" s="2" t="inlineStr"/>
    </row>
    <row r="340">
      <c r="A340" s="5" t="inlineStr">
        <is>
          <t>CC-018</t>
        </is>
      </c>
      <c r="B340" s="2" t="inlineStr">
        <is>
          <t>CC-018:22</t>
        </is>
      </c>
      <c r="C340" s="2" t="inlineStr">
        <is>
          <t>Malta vs EU-27: GDP per head at market prices, 2025</t>
        </is>
      </c>
      <c r="D340" s="2" t="inlineStr">
        <is>
          <t>42,390 vs 41,700 (101.7% of EU)</t>
        </is>
      </c>
      <c r="E340" s="2" t="inlineStr">
        <is>
          <t>EUR</t>
        </is>
      </c>
      <c r="F340" s="2" t="inlineStr">
        <is>
          <t>Eurostat nama_10_pc</t>
        </is>
      </c>
      <c r="G340" s="2" t="inlineStr">
        <is>
          <t>+1.7% above the EU average</t>
        </is>
      </c>
      <c r="H340" s="2" t="inlineStr"/>
    </row>
    <row r="341">
      <c r="A341" s="5" t="inlineStr">
        <is>
          <t>CC-018</t>
        </is>
      </c>
      <c r="B341" s="2" t="inlineStr">
        <is>
          <t>CC-018:23</t>
        </is>
      </c>
      <c r="C341" s="2" t="inlineStr">
        <is>
          <t>Malta vs EU-27: GDP per head in purchasing power standards, 2025</t>
        </is>
      </c>
      <c r="D341" s="2" t="inlineStr">
        <is>
          <t>110.2</t>
        </is>
      </c>
      <c r="E341" s="2" t="inlineStr">
        <is>
          <t>index (EU-27 = 100)</t>
        </is>
      </c>
      <c r="F341" s="2" t="inlineStr">
        <is>
          <t>Eurostat nama_10_pc PC_EU27_2020_HAB_MPPS_CP</t>
        </is>
      </c>
      <c r="G341" s="2" t="inlineStr">
        <is>
          <t>2013: 91</t>
        </is>
      </c>
      <c r="H341" s="2" t="inlineStr"/>
    </row>
    <row r="342">
      <c r="A342" s="5" t="inlineStr">
        <is>
          <t>CC-018</t>
        </is>
      </c>
      <c r="B342" s="2" t="inlineStr">
        <is>
          <t>CC-018:24</t>
        </is>
      </c>
      <c r="C342" s="2" t="inlineStr">
        <is>
          <t>Malta: house prices, annual change by quarter, 2024</t>
        </is>
      </c>
      <c r="D342" s="2" t="inlineStr">
        <is>
          <t>6.7 / 6.9 / 7 / 6.4</t>
        </is>
      </c>
      <c r="E342" s="2" t="inlineStr">
        <is>
          <t>% y/y</t>
        </is>
      </c>
      <c r="F342" s="2" t="inlineStr">
        <is>
          <t>Eurostat prc_hpi_q RCH_A</t>
        </is>
      </c>
      <c r="G342" s="2" t="inlineStr">
        <is>
          <t>before the IMF's 'moderated in early 2025'</t>
        </is>
      </c>
      <c r="H342" s="2" t="inlineStr"/>
    </row>
    <row r="343">
      <c r="A343" s="5" t="inlineStr">
        <is>
          <t>CC-018</t>
        </is>
      </c>
      <c r="B343" s="2" t="inlineStr">
        <is>
          <t>CC-018:25</t>
        </is>
      </c>
      <c r="C343" s="2" t="inlineStr">
        <is>
          <t>Malta: house prices, annual change, 2025-Q1 / Q2</t>
        </is>
      </c>
      <c r="D343" s="2" t="inlineStr">
        <is>
          <t>5.9 / 5.6</t>
        </is>
      </c>
      <c r="E343" s="2" t="inlineStr">
        <is>
          <t>% y/y</t>
        </is>
      </c>
      <c r="F343" s="2" t="inlineStr">
        <is>
          <t>Eurostat prc_hpi_q RCH_A</t>
        </is>
      </c>
      <c r="G343" s="2" t="inlineStr">
        <is>
          <t>the IMF's 'moderated in early 2025'</t>
        </is>
      </c>
      <c r="H343" s="2" t="inlineStr"/>
    </row>
    <row r="344">
      <c r="A344" s="5" t="inlineStr">
        <is>
          <t>CC-018</t>
        </is>
      </c>
      <c r="B344" s="2" t="inlineStr">
        <is>
          <t>CC-018:26</t>
        </is>
      </c>
      <c r="C344" s="2" t="inlineStr">
        <is>
          <t>Malta: house prices, annual change, 2026-Q1 / 2026-Q2</t>
        </is>
      </c>
      <c r="D344" s="2" t="inlineStr">
        <is>
          <t>6.8 / 6.9</t>
        </is>
      </c>
      <c r="E344" s="2" t="inlineStr">
        <is>
          <t>% y/y</t>
        </is>
      </c>
      <c r="F344" s="2" t="inlineStr">
        <is>
          <t>Eurostat prc_hpi_q RCH_A</t>
        </is>
      </c>
      <c r="G344" s="2" t="inlineStr">
        <is>
          <t>flag p, p (p = provisional)</t>
        </is>
      </c>
      <c r="H344" s="2" t="inlineStr"/>
    </row>
    <row r="345">
      <c r="A345" s="5" t="inlineStr">
        <is>
          <t>CC-018</t>
        </is>
      </c>
      <c r="B345" s="2" t="inlineStr">
        <is>
          <t>CC-018:27</t>
        </is>
      </c>
      <c r="C345" s="2" t="inlineStr">
        <is>
          <t>Malta: house prices, annual average change, 2025</t>
        </is>
      </c>
      <c r="D345" s="2" t="inlineStr">
        <is>
          <t>6.0</t>
        </is>
      </c>
      <c r="E345" s="2" t="inlineStr">
        <is>
          <t>%</t>
        </is>
      </c>
      <c r="F345" s="2" t="inlineStr">
        <is>
          <t>Eurostat prc_hpi_a RCH_A_AVG</t>
        </is>
      </c>
      <c r="G345" s="2" t="inlineStr">
        <is>
          <t>flag p</t>
        </is>
      </c>
      <c r="H345" s="2" t="inlineStr"/>
    </row>
    <row r="346">
      <c r="A346" s="5" t="inlineStr">
        <is>
          <t>CC-018</t>
        </is>
      </c>
      <c r="B346" s="2" t="inlineStr">
        <is>
          <t>CC-018:28</t>
        </is>
      </c>
      <c r="C346" s="2" t="inlineStr">
        <is>
          <t>Malta: household gross disposable income per head, 2015 -&gt; 2024</t>
        </is>
      </c>
      <c r="D346" s="2" t="inlineStr">
        <is>
          <t>12,340 -&gt; 22,605 (index 183.2)</t>
        </is>
      </c>
      <c r="E346" s="2" t="inlineStr">
        <is>
          <t>EUR</t>
        </is>
      </c>
      <c r="F346" s="2" t="inlineStr">
        <is>
          <t>Eurostat nasa_10_nf_tr B6G S14_S15 / nama_10_pe POP_NC</t>
        </is>
      </c>
      <c r="G346" s="2" t="inlineStr">
        <is>
          <t>2024 flagged p; no data after 2024</t>
        </is>
      </c>
      <c r="H346" s="2" t="inlineStr"/>
    </row>
    <row r="347">
      <c r="A347" s="5" t="inlineStr">
        <is>
          <t>CC-018</t>
        </is>
      </c>
      <c r="B347" s="2" t="inlineStr">
        <is>
          <t>CC-018:29</t>
        </is>
      </c>
      <c r="C347" s="2" t="inlineStr">
        <is>
          <t>Malta: house price index 2024 (2015 = 100)</t>
        </is>
      </c>
      <c r="D347" s="2" t="inlineStr">
        <is>
          <t>163.77</t>
        </is>
      </c>
      <c r="E347" s="2" t="inlineStr">
        <is>
          <t>index</t>
        </is>
      </c>
      <c r="F347" s="2" t="inlineStr">
        <is>
          <t>Eurostat prc_hpi_a I15_A_AVG</t>
        </is>
      </c>
      <c r="G347" s="2" t="inlineStr"/>
      <c r="H347" s="2" t="inlineStr"/>
    </row>
    <row r="348">
      <c r="A348" s="5" t="inlineStr">
        <is>
          <t>CC-018</t>
        </is>
      </c>
      <c r="B348" s="2" t="inlineStr">
        <is>
          <t>CC-018:30</t>
        </is>
      </c>
      <c r="C348" s="2" t="inlineStr">
        <is>
          <t>Malta: house prices relative to income per head, 2015 -&gt; 2024</t>
        </is>
      </c>
      <c r="D348" s="2" t="inlineStr">
        <is>
          <t>-10.6</t>
        </is>
      </c>
      <c r="E348" s="2" t="inlineStr">
        <is>
          <t>% change</t>
        </is>
      </c>
      <c r="F348" s="2" t="inlineStr">
        <is>
          <t>calculated</t>
        </is>
      </c>
      <c r="G348" s="2" t="inlineStr">
        <is>
          <t>cross-check of tipsho60 (-10.7%)</t>
        </is>
      </c>
      <c r="H348" s="2" t="inlineStr"/>
    </row>
    <row r="349">
      <c r="A349" s="5" t="inlineStr">
        <is>
          <t>CC-018</t>
        </is>
      </c>
      <c r="B349" s="2" t="inlineStr">
        <is>
          <t>CC-018:31</t>
        </is>
      </c>
      <c r="C349" s="2" t="inlineStr">
        <is>
          <t>Malta: house price index, 2026-Q2 (2015 = 100)</t>
        </is>
      </c>
      <c r="D349" s="2" t="inlineStr">
        <is>
          <t>183.86</t>
        </is>
      </c>
      <c r="E349" s="2" t="inlineStr">
        <is>
          <t>index</t>
        </is>
      </c>
      <c r="F349" s="2" t="inlineStr">
        <is>
          <t>Eurostat prc_hpi_q I15_Q</t>
        </is>
      </c>
      <c r="G349" s="2" t="inlineStr">
        <is>
          <t>flag p</t>
        </is>
      </c>
      <c r="H349" s="2" t="inlineStr"/>
    </row>
    <row r="350">
      <c r="A350" s="5" t="inlineStr">
        <is>
          <t>CC-018</t>
        </is>
      </c>
      <c r="B350" s="2" t="inlineStr">
        <is>
          <t>CC-018:32</t>
        </is>
      </c>
      <c r="C350" s="2" t="inlineStr">
        <is>
          <t>Malta: GDP per head index 2025 (2015 = 100)</t>
        </is>
      </c>
      <c r="D350" s="2" t="inlineStr">
        <is>
          <t>184.3</t>
        </is>
      </c>
      <c r="E350" s="2" t="inlineStr">
        <is>
          <t>index</t>
        </is>
      </c>
      <c r="F350" s="2" t="inlineStr">
        <is>
          <t>Eurostat nama_10_pc CP_EUR_HAB</t>
        </is>
      </c>
      <c r="G350" s="2" t="inlineStr">
        <is>
          <t>proxy for income after the last household-income year</t>
        </is>
      </c>
      <c r="H350" s="2" t="inlineStr"/>
    </row>
    <row r="351">
      <c r="A351" s="5" t="inlineStr">
        <is>
          <t>CC-019</t>
        </is>
      </c>
      <c r="B351" s="2" t="inlineStr">
        <is>
          <t>CC-019:2</t>
        </is>
      </c>
      <c r="C351" s="2" t="inlineStr">
        <is>
          <t>Malta's land area (OSM outlines)</t>
        </is>
      </c>
      <c r="D351" s="2" t="inlineStr">
        <is>
          <t>314.4</t>
        </is>
      </c>
      <c r="E351" s="2" t="inlineStr">
        <is>
          <t>km2</t>
        </is>
      </c>
      <c r="F351" s="2" t="inlineStr">
        <is>
          <t>OpenStreetMap via geo.json</t>
        </is>
      </c>
      <c r="G351" s="2" t="inlineStr"/>
      <c r="H351" s="2" t="inlineStr"/>
    </row>
    <row r="352">
      <c r="A352" s="5" t="inlineStr">
        <is>
          <t>CC-019</t>
        </is>
      </c>
      <c r="B352" s="2" t="inlineStr">
        <is>
          <t>CC-019:3</t>
        </is>
      </c>
      <c r="C352" s="2" t="inlineStr">
        <is>
          <t>830,000 m2 as a share of the land area</t>
        </is>
      </c>
      <c r="D352" s="2" t="inlineStr">
        <is>
          <t>0.264</t>
        </is>
      </c>
      <c r="E352" s="2" t="inlineStr">
        <is>
          <t>%</t>
        </is>
      </c>
      <c r="F352" s="2" t="inlineStr">
        <is>
          <t>calculated</t>
        </is>
      </c>
      <c r="G352" s="2" t="inlineStr">
        <is>
          <t>Amphora: 0.26%</t>
        </is>
      </c>
      <c r="H352" s="2" t="inlineStr"/>
    </row>
    <row r="353">
      <c r="A353" s="5" t="inlineStr">
        <is>
          <t>CC-019</t>
        </is>
      </c>
      <c r="B353" s="2" t="inlineStr">
        <is>
          <t>CC-019:4</t>
        </is>
      </c>
      <c r="C353" s="2" t="inlineStr">
        <is>
          <t>830,000 m2 in FIFA pitches (105 x 68 m)</t>
        </is>
      </c>
      <c r="D353" s="2" t="inlineStr">
        <is>
          <t>116</t>
        </is>
      </c>
      <c r="E353" s="2" t="inlineStr">
        <is>
          <t>pitches</t>
        </is>
      </c>
      <c r="F353" s="2" t="inlineStr">
        <is>
          <t>calculated</t>
        </is>
      </c>
      <c r="G353" s="2" t="inlineStr">
        <is>
          <t>Amphora: 116</t>
        </is>
      </c>
      <c r="H353" s="2" t="inlineStr"/>
    </row>
    <row r="354">
      <c r="A354" s="5" t="inlineStr">
        <is>
          <t>CC-019</t>
        </is>
      </c>
      <c r="B354" s="2" t="inlineStr">
        <is>
          <t>CC-019:5</t>
        </is>
      </c>
      <c r="C354" s="2" t="inlineStr">
        <is>
          <t>830,000 m2 vs Comino (OSM outline)</t>
        </is>
      </c>
      <c r="D354" s="2" t="inlineStr">
        <is>
          <t>0.3</t>
        </is>
      </c>
      <c r="E354" s="2" t="inlineStr">
        <is>
          <t>x Comino</t>
        </is>
      </c>
      <c r="F354" s="2" t="inlineStr">
        <is>
          <t>calculated</t>
        </is>
      </c>
      <c r="G354" s="2" t="inlineStr">
        <is>
          <t>Comino 2.77 km2 in OSM; Amphora: roughly a quarter</t>
        </is>
      </c>
      <c r="H354" s="2" t="inlineStr"/>
    </row>
    <row r="355">
      <c r="A355" s="5" t="inlineStr">
        <is>
          <t>CC-019</t>
        </is>
      </c>
      <c r="B355" s="2" t="inlineStr">
        <is>
          <t>CC-019:6</t>
        </is>
      </c>
      <c r="C355" s="2" t="inlineStr">
        <is>
          <t>830,000 m2 vs Comino at 3.5 km2 (area often quoted)</t>
        </is>
      </c>
      <c r="D355" s="2" t="inlineStr">
        <is>
          <t>0.24</t>
        </is>
      </c>
      <c r="E355" s="2" t="inlineStr">
        <is>
          <t>x Comino</t>
        </is>
      </c>
      <c r="F355" s="2" t="inlineStr">
        <is>
          <t>calculated</t>
        </is>
      </c>
      <c r="G355" s="2" t="inlineStr">
        <is>
          <t>Amphora: roughly a quarter</t>
        </is>
      </c>
      <c r="H355" s="2" t="inlineStr"/>
    </row>
    <row r="356">
      <c r="A356" s="5" t="inlineStr">
        <is>
          <t>CC-019</t>
        </is>
      </c>
      <c r="B356" s="2" t="inlineStr">
        <is>
          <t>CC-019:7</t>
        </is>
      </c>
      <c r="C356" s="2" t="inlineStr">
        <is>
          <t>830,000 m2 vs Manoel Island</t>
        </is>
      </c>
      <c r="D356" s="2" t="inlineStr">
        <is>
          <t>2.7</t>
        </is>
      </c>
      <c r="E356" s="2" t="inlineStr">
        <is>
          <t>x Manoel</t>
        </is>
      </c>
      <c r="F356" s="2" t="inlineStr">
        <is>
          <t>calculated</t>
        </is>
      </c>
      <c r="G356" s="2" t="inlineStr">
        <is>
          <t>Amphora: two</t>
        </is>
      </c>
      <c r="H356" s="2" t="inlineStr"/>
    </row>
    <row r="357">
      <c r="A357" s="5" t="inlineStr">
        <is>
          <t>CC-019</t>
        </is>
      </c>
      <c r="B357" s="2" t="inlineStr">
        <is>
          <t>CC-019:8</t>
        </is>
      </c>
      <c r="C357" s="2" t="inlineStr">
        <is>
          <t>EEA 2006-2012 + 2012-2018 + Amphora 2018-2023</t>
        </is>
      </c>
      <c r="D357" s="2" t="inlineStr">
        <is>
          <t>1.94</t>
        </is>
      </c>
      <c r="E357" s="2" t="inlineStr">
        <is>
          <t>km2</t>
        </is>
      </c>
      <c r="F357" s="2" t="inlineStr">
        <is>
          <t>calculated</t>
        </is>
      </c>
      <c r="G357" s="2" t="inlineStr">
        <is>
          <t>Amphora: at least 1.94 km2 (methods differ)</t>
        </is>
      </c>
      <c r="H357" s="2" t="inlineStr"/>
    </row>
    <row r="358">
      <c r="A358" s="5" t="inlineStr">
        <is>
          <t>CC-019</t>
        </is>
      </c>
      <c r="B358" s="2" t="inlineStr">
        <is>
          <t>CC-019:9</t>
        </is>
      </c>
      <c r="C358" s="2" t="inlineStr">
        <is>
          <t>IO land cover, new built-up first mapped as built in 2020-2021 (3-year rule)</t>
        </is>
      </c>
      <c r="D358" s="2" t="inlineStr">
        <is>
          <t>1.905</t>
        </is>
      </c>
      <c r="E358" s="2" t="inlineStr">
        <is>
          <t>km2</t>
        </is>
      </c>
      <c r="F358" s="2" t="inlineStr">
        <is>
          <t>Impact Observatory LULC v2</t>
        </is>
      </c>
      <c r="G358" s="2" t="inlineStr">
        <is>
          <t>reverse change 0.496 km2; net 1.409 km2</t>
        </is>
      </c>
      <c r="H358" s="2" t="inlineStr"/>
    </row>
    <row r="359">
      <c r="A359" s="5" t="inlineStr">
        <is>
          <t>CC-019</t>
        </is>
      </c>
      <c r="B359" s="2" t="inlineStr">
        <is>
          <t>CC-019:10</t>
        </is>
      </c>
      <c r="C359" s="2" t="inlineStr">
        <is>
          <t>IO land cover, new built-up from crops / rangeland (3-year rule)</t>
        </is>
      </c>
      <c r="D359" s="2" t="inlineStr">
        <is>
          <t>64.9 / 31.1</t>
        </is>
      </c>
      <c r="E359" s="2" t="inlineStr">
        <is>
          <t>%</t>
        </is>
      </c>
      <c r="F359" s="2" t="inlineStr">
        <is>
          <t>Impact Observatory LULC v2</t>
        </is>
      </c>
      <c r="G359" s="2" t="inlineStr">
        <is>
          <t>Amphora: nearly 95% farmland</t>
        </is>
      </c>
      <c r="H359" s="2" t="inlineStr"/>
    </row>
    <row r="360">
      <c r="A360" s="5" t="inlineStr">
        <is>
          <t>CC-019</t>
        </is>
      </c>
      <c r="B360" s="2" t="inlineStr">
        <is>
          <t>CC-019:11</t>
        </is>
      </c>
      <c r="C360" s="2" t="inlineStr">
        <is>
          <t>IO land cover, new built-up first mapped as built in 2019-2022 (2-year rule)</t>
        </is>
      </c>
      <c r="D360" s="2" t="inlineStr">
        <is>
          <t>4.978</t>
        </is>
      </c>
      <c r="E360" s="2" t="inlineStr">
        <is>
          <t>km2</t>
        </is>
      </c>
      <c r="F360" s="2" t="inlineStr">
        <is>
          <t>Impact Observatory LULC v2</t>
        </is>
      </c>
      <c r="G360" s="2" t="inlineStr">
        <is>
          <t>reverse change 2.013 km2; net 2.965 km2</t>
        </is>
      </c>
      <c r="H360" s="2" t="inlineStr"/>
    </row>
    <row r="361">
      <c r="A361" s="5" t="inlineStr">
        <is>
          <t>CC-019</t>
        </is>
      </c>
      <c r="B361" s="2" t="inlineStr">
        <is>
          <t>CC-019:12</t>
        </is>
      </c>
      <c r="C361" s="2" t="inlineStr">
        <is>
          <t>IO land cover, new built-up from crops / rangeland (2-year rule)</t>
        </is>
      </c>
      <c r="D361" s="2" t="inlineStr">
        <is>
          <t>65.1 / 29.9</t>
        </is>
      </c>
      <c r="E361" s="2" t="inlineStr">
        <is>
          <t>%</t>
        </is>
      </c>
      <c r="F361" s="2" t="inlineStr">
        <is>
          <t>Impact Observatory LULC v2</t>
        </is>
      </c>
      <c r="G361" s="2" t="inlineStr">
        <is>
          <t>Amphora: nearly 95% farmland</t>
        </is>
      </c>
      <c r="H361" s="2" t="inlineStr"/>
    </row>
    <row r="362">
      <c r="A362" s="5" t="inlineStr">
        <is>
          <t>CC-019</t>
        </is>
      </c>
      <c r="B362" s="2" t="inlineStr">
        <is>
          <t>CC-019:13</t>
        </is>
      </c>
      <c r="C362" s="2" t="inlineStr">
        <is>
          <t>IO land cover, simple 2018 vs 2023 comparison (single-year maps)</t>
        </is>
      </c>
      <c r="D362" s="2" t="inlineStr">
        <is>
          <t>24.231</t>
        </is>
      </c>
      <c r="E362" s="2" t="inlineStr">
        <is>
          <t>km2</t>
        </is>
      </c>
      <c r="F362" s="2" t="inlineStr">
        <is>
          <t>Impact Observatory LULC v2</t>
        </is>
      </c>
      <c r="G362" s="2" t="inlineStr">
        <is>
          <t>reverse change 5.328 km2; net 18.903 km2 (noise, not credible)</t>
        </is>
      </c>
      <c r="H362" s="2" t="inlineStr"/>
    </row>
    <row r="363">
      <c r="A363" s="5" t="inlineStr">
        <is>
          <t>CC-019</t>
        </is>
      </c>
      <c r="B363" s="2" t="inlineStr">
        <is>
          <t>CC-019:14</t>
        </is>
      </c>
      <c r="C363" s="2" t="inlineStr">
        <is>
          <t>IO built-up total, change from one year to the next (largest / smallest)</t>
        </is>
      </c>
      <c r="D363" s="2" t="inlineStr">
        <is>
          <t>26.6 / 3.2</t>
        </is>
      </c>
      <c r="E363" s="2" t="inlineStr">
        <is>
          <t>km2</t>
        </is>
      </c>
      <c r="F363" s="2" t="inlineStr">
        <is>
          <t>Impact Observatory LULC v2</t>
        </is>
      </c>
      <c r="G363" s="2" t="inlineStr">
        <is>
          <t>2017-&gt;2018 -18.4; 2018-&gt;2019 -3.2; 2019-&gt;2020 +26.6; 2020-&gt;2021 -20.0; 2021-&gt;2022 +8.8; 2022-&gt;2023 +6.6</t>
        </is>
      </c>
      <c r="H363" s="2" t="inlineStr"/>
    </row>
    <row r="364">
      <c r="A364" s="5" t="inlineStr">
        <is>
          <t>CC-019</t>
        </is>
      </c>
      <c r="B364" s="2" t="inlineStr">
        <is>
          <t>CC-019:15</t>
        </is>
      </c>
      <c r="C364" s="2" t="inlineStr">
        <is>
          <t>EEA chart: Malta land take 2012-2018</t>
        </is>
      </c>
      <c r="D364" s="2" t="inlineStr">
        <is>
          <t>0.91-0.94</t>
        </is>
      </c>
      <c r="E364" s="2" t="inlineStr">
        <is>
          <t>km2</t>
        </is>
      </c>
      <c r="F364" s="2" t="inlineStr">
        <is>
          <t>EEA chart x land area</t>
        </is>
      </c>
      <c r="G364" s="2" t="inlineStr">
        <is>
          <t>Amphora quotes 920,000 m2 (0.92 km2)</t>
        </is>
      </c>
      <c r="H364" s="2" t="inlineStr"/>
    </row>
    <row r="365">
      <c r="A365" s="5" t="inlineStr">
        <is>
          <t>CC-019</t>
        </is>
      </c>
      <c r="B365" s="2" t="inlineStr">
        <is>
          <t>CC-019:16</t>
        </is>
      </c>
      <c r="C365" s="2" t="inlineStr">
        <is>
          <t>EEA chart: Malta's rank for land take 2012-2018</t>
        </is>
      </c>
      <c r="D365" s="2" t="inlineStr">
        <is>
          <t>1</t>
        </is>
      </c>
      <c r="E365" s="2" t="inlineStr">
        <is>
          <t>of 39</t>
        </is>
      </c>
      <c r="F365" s="2" t="inlineStr">
        <is>
          <t>EEA chart</t>
        </is>
      </c>
      <c r="G365" s="2" t="inlineStr">
        <is>
          <t>proportion of country area</t>
        </is>
      </c>
      <c r="H365" s="2" t="inlineStr"/>
    </row>
    <row r="366">
      <c r="A366" s="5" t="inlineStr">
        <is>
          <t>CC-019</t>
        </is>
      </c>
      <c r="B366" s="2" t="inlineStr">
        <is>
          <t>CC-019:17</t>
        </is>
      </c>
      <c r="C366" s="2" t="inlineStr">
        <is>
          <t>Amphora figure vs IO net change (3-year rule)</t>
        </is>
      </c>
      <c r="D366" s="2" t="inlineStr">
        <is>
          <t>0.59</t>
        </is>
      </c>
      <c r="E366" s="2" t="inlineStr">
        <is>
          <t>ratio</t>
        </is>
      </c>
      <c r="F366" s="2" t="inlineStr">
        <is>
          <t>calculated</t>
        </is>
      </c>
      <c r="G366" s="2" t="inlineStr">
        <is>
          <t>below 1 = Amphora lower than the independent estimate; periods differ (Amphora 2018-2023, IO first built 2020-21)</t>
        </is>
      </c>
      <c r="H366" s="2" t="inlineStr"/>
    </row>
    <row r="367">
      <c r="A367" s="5" t="inlineStr">
        <is>
          <t>CC-019</t>
        </is>
      </c>
      <c r="B367" s="2" t="inlineStr">
        <is>
          <t>CC-019:18</t>
        </is>
      </c>
      <c r="C367" s="2" t="inlineStr">
        <is>
          <t>Amphora polygons: number and total area (geometry, UTM 33N)</t>
        </is>
      </c>
      <c r="D367" s="2" t="inlineStr">
        <is>
          <t>397 / 828,429</t>
        </is>
      </c>
      <c r="E367" s="2" t="inlineStr">
        <is>
          <t>- / m2</t>
        </is>
      </c>
      <c r="F367" s="2" t="inlineStr">
        <is>
          <t>Amphora GeoJSON (crosscheck.py)</t>
        </is>
      </c>
      <c r="G367" s="2" t="inlineStr">
        <is>
          <t>the file's own area_m2 field sums to 745,042</t>
        </is>
      </c>
      <c r="H367" s="2" t="inlineStr"/>
    </row>
    <row r="368">
      <c r="A368" s="5" t="inlineStr">
        <is>
          <t>CC-019</t>
        </is>
      </c>
      <c r="B368" s="2" t="inlineStr">
        <is>
          <t>CC-019:19</t>
        </is>
      </c>
      <c r="C368" s="2" t="inlineStr">
        <is>
          <t>Amphora: cropland + grass, share of the area with a known 2018 class (geometry / area field / count)</t>
        </is>
      </c>
      <c r="D368" s="2" t="inlineStr">
        <is>
          <t>95.7 / 95.6 / 95.3</t>
        </is>
      </c>
      <c r="E368" s="2" t="inlineStr">
        <is>
          <t>%</t>
        </is>
      </c>
      <c r="F368" s="2" t="inlineStr">
        <is>
          <t>Amphora GeoJSON</t>
        </is>
      </c>
      <c r="G368" s="2" t="inlineStr">
        <is>
          <t>cropland 34.3%, grass 61.4%; Amphora: nearly 95% farmland (basis not stated; this is our reading)</t>
        </is>
      </c>
      <c r="H368" s="2" t="inlineStr"/>
    </row>
    <row r="369">
      <c r="A369" s="5" t="inlineStr">
        <is>
          <t>CC-019</t>
        </is>
      </c>
      <c r="B369" s="2" t="inlineStr">
        <is>
          <t>CC-019:20</t>
        </is>
      </c>
      <c r="C369" s="2" t="inlineStr">
        <is>
          <t>Amphora: area with no 2018 class ('unknown')</t>
        </is>
      </c>
      <c r="D369" s="2" t="inlineStr">
        <is>
          <t>37.4</t>
        </is>
      </c>
      <c r="E369" s="2" t="inlineStr">
        <is>
          <t>%</t>
        </is>
      </c>
      <c r="F369" s="2" t="inlineStr">
        <is>
          <t>Amphora GeoJSON</t>
        </is>
      </c>
      <c r="G369" s="2" t="inlineStr">
        <is>
          <t>162 polygons</t>
        </is>
      </c>
      <c r="H369" s="2" t="inlineStr"/>
    </row>
    <row r="370">
      <c r="A370" s="5" t="inlineStr">
        <is>
          <t>CC-019</t>
        </is>
      </c>
      <c r="B370" s="2" t="inlineStr">
        <is>
          <t>CC-019:21</t>
        </is>
      </c>
      <c r="C370" s="2" t="inlineStr">
        <is>
          <t>Amphora: cropland share of all area / if every unknown area were farmland</t>
        </is>
      </c>
      <c r="D370" s="2" t="inlineStr">
        <is>
          <t>21.5 / 97.3</t>
        </is>
      </c>
      <c r="E370" s="2" t="inlineStr">
        <is>
          <t>%</t>
        </is>
      </c>
      <c r="F370" s="2" t="inlineStr">
        <is>
          <t>calculated</t>
        </is>
      </c>
      <c r="G370" s="2" t="inlineStr">
        <is>
          <t>bounds for 'farmland' depending on how grass and unknown are counted</t>
        </is>
      </c>
      <c r="H370" s="2" t="inlineStr"/>
    </row>
    <row r="371">
      <c r="A371" s="5" t="inlineStr">
        <is>
          <t>CC-019</t>
        </is>
      </c>
      <c r="B371" s="2" t="inlineStr">
        <is>
          <t>CC-019:22</t>
        </is>
      </c>
      <c r="C371" s="2" t="inlineStr">
        <is>
          <t>Amphora: polygons classed as water in 2018</t>
        </is>
      </c>
      <c r="D371" s="2" t="inlineStr">
        <is>
          <t>2 / 4429</t>
        </is>
      </c>
      <c r="E371" s="2" t="inlineStr">
        <is>
          <t>- / m2</t>
        </is>
      </c>
      <c r="F371" s="2" t="inlineStr">
        <is>
          <t>Amphora GeoJSON</t>
        </is>
      </c>
      <c r="G371" s="2" t="inlineStr">
        <is>
          <t>Gżira and Sliema waterfronts: sea in 2018, not green land</t>
        </is>
      </c>
      <c r="H371" s="2" t="inlineStr"/>
    </row>
    <row r="372">
      <c r="A372" s="5" t="inlineStr">
        <is>
          <t>CC-019</t>
        </is>
      </c>
      <c r="B372" s="2" t="inlineStr">
        <is>
          <t>CC-019:23</t>
        </is>
      </c>
      <c r="C372" s="2" t="inlineStr">
        <is>
          <t>Amphora's area already built in the IO 2018 map (all pixels / &gt;= 20 m inside edges)</t>
        </is>
      </c>
      <c r="D372" s="2" t="inlineStr">
        <is>
          <t>68.3 / 69.1</t>
        </is>
      </c>
      <c r="E372" s="2" t="inlineStr">
        <is>
          <t>%</t>
        </is>
      </c>
      <c r="F372" s="2" t="inlineStr">
        <is>
          <t>IO x Amphora</t>
        </is>
      </c>
      <c r="G372" s="2" t="inlineStr">
        <is>
          <t>built in all of 2017-19: 60.8%</t>
        </is>
      </c>
      <c r="H372" s="2" t="inlineStr"/>
    </row>
    <row r="373">
      <c r="A373" s="5" t="inlineStr">
        <is>
          <t>CC-019</t>
        </is>
      </c>
      <c r="B373" s="2" t="inlineStr">
        <is>
          <t>CC-019:24</t>
        </is>
      </c>
      <c r="C373" s="2" t="inlineStr">
        <is>
          <t>Share of Amphora's area that IO maps as new built-up (persistence rules)</t>
        </is>
      </c>
      <c r="D373" s="2" t="inlineStr">
        <is>
          <t>5.9-14.1</t>
        </is>
      </c>
      <c r="E373" s="2" t="inlineStr">
        <is>
          <t>%</t>
        </is>
      </c>
      <c r="F373" s="2" t="inlineStr">
        <is>
          <t>IO x Amphora</t>
        </is>
      </c>
      <c r="G373" s="2" t="inlineStr">
        <is>
          <t>strict 5.9; two-year 13.6; strict-2025 10.9; two-year-2025 14.1</t>
        </is>
      </c>
      <c r="H373" s="2" t="inlineStr"/>
    </row>
    <row r="374">
      <c r="A374" s="5" t="inlineStr">
        <is>
          <t>CC-019</t>
        </is>
      </c>
      <c r="B374" s="2" t="inlineStr">
        <is>
          <t>CC-019:25</t>
        </is>
      </c>
      <c r="C374" s="2" t="inlineStr">
        <is>
          <t>Share of IO new built-up inside Amphora's polygons (persistence rules)</t>
        </is>
      </c>
      <c r="D374" s="2" t="inlineStr">
        <is>
          <t>2.3-2.7</t>
        </is>
      </c>
      <c r="E374" s="2" t="inlineStr">
        <is>
          <t>%</t>
        </is>
      </c>
      <c r="F374" s="2" t="inlineStr">
        <is>
          <t>IO x Amphora</t>
        </is>
      </c>
      <c r="G374" s="2" t="inlineStr">
        <is>
          <t>within 20 m: 5.3-7.1%</t>
        </is>
      </c>
      <c r="H374" s="2" t="inlineStr"/>
    </row>
    <row r="375">
      <c r="A375" s="5" t="inlineStr">
        <is>
          <t>CC-019</t>
        </is>
      </c>
      <c r="B375" s="2" t="inlineStr">
        <is>
          <t>CC-019:26</t>
        </is>
      </c>
      <c r="C375" s="2" t="inlineStr">
        <is>
          <t>IO net new built-up, all persistence rules incl. 2024-2025 maps</t>
        </is>
      </c>
      <c r="D375" s="2" t="inlineStr">
        <is>
          <t>1.409 / 2.964 / 2.105 / -0.059</t>
        </is>
      </c>
      <c r="E375" s="2" t="inlineStr">
        <is>
          <t>km2</t>
        </is>
      </c>
      <c r="F375" s="2" t="inlineStr">
        <is>
          <t>Impact Observatory / Esri 2017-2025</t>
        </is>
      </c>
      <c r="G375" s="2" t="inlineStr">
        <is>
          <t>strict: first mapped as built in 2020-21; two-year: first mapped as built in 2019-22; strict-2025: first mapped as built in 2020-23; two-year-2025: first mapped as built in 2019-24</t>
        </is>
      </c>
      <c r="H375" s="2" t="inlineStr"/>
    </row>
    <row r="376">
      <c r="A376" s="5" t="inlineStr">
        <is>
          <t>CC-019</t>
        </is>
      </c>
      <c r="B376" s="2" t="inlineStr">
        <is>
          <t>CC-019:27</t>
        </is>
      </c>
      <c r="C376" s="2" t="inlineStr">
        <is>
          <t>Esri 2017-2023 maps identical to the Planetary Computer maps</t>
        </is>
      </c>
      <c r="D376" s="2" t="inlineStr">
        <is>
          <t>100.0</t>
        </is>
      </c>
      <c r="E376" s="2" t="inlineStr">
        <is>
          <t>% of pixels</t>
        </is>
      </c>
      <c r="F376" s="2" t="inlineStr">
        <is>
          <t>both</t>
        </is>
      </c>
      <c r="G376" s="2" t="inlineStr"/>
      <c r="H376" s="2" t="inlineStr"/>
    </row>
    <row r="377">
      <c r="A377" s="5" t="inlineStr">
        <is>
          <t>CC-019</t>
        </is>
      </c>
      <c r="B377" s="2" t="inlineStr">
        <is>
          <t>CC-019:28</t>
        </is>
      </c>
      <c r="C377" s="2" t="inlineStr">
        <is>
          <t>IO built-up total, change 2023-&gt;2024 / 2024-&gt;2025</t>
        </is>
      </c>
      <c r="D377" s="2" t="inlineStr">
        <is>
          <t>-21.2 / +23.3</t>
        </is>
      </c>
      <c r="E377" s="2" t="inlineStr">
        <is>
          <t>km2</t>
        </is>
      </c>
      <c r="F377" s="2" t="inlineStr">
        <is>
          <t>Impact Observatory / Esri</t>
        </is>
      </c>
      <c r="G377" s="2" t="inlineStr"/>
      <c r="H377" s="2" t="inlineStr"/>
    </row>
    <row r="378">
      <c r="A378" s="5" t="inlineStr">
        <is>
          <t>CC-019</t>
        </is>
      </c>
      <c r="B378" s="2" t="inlineStr">
        <is>
          <t>CC-019:29</t>
        </is>
      </c>
      <c r="C378" s="2" t="inlineStr">
        <is>
          <t>CORINE change polygons 2006-2012: change to artificial land (CLC class 1)</t>
        </is>
      </c>
      <c r="D378" s="2" t="inlineStr">
        <is>
          <t>20.6</t>
        </is>
      </c>
      <c r="E378" s="2" t="inlineStr">
        <is>
          <t>ha</t>
        </is>
      </c>
      <c r="F378" s="2" t="inlineStr">
        <is>
          <t>EEA CORINE Land Cover change layer</t>
        </is>
      </c>
      <c r="G378" s="2" t="inlineStr">
        <is>
          <t>1 polygon; Amphora quotes 19 ha; changes under 5 ha are not mapped</t>
        </is>
      </c>
      <c r="H378" s="2" t="inlineStr"/>
    </row>
    <row r="379">
      <c r="A379" s="5" t="inlineStr">
        <is>
          <t>CC-019</t>
        </is>
      </c>
      <c r="B379" s="2" t="inlineStr">
        <is>
          <t>CC-019:30</t>
        </is>
      </c>
      <c r="C379" s="2" t="inlineStr">
        <is>
          <t>CORINE change polygons 2012-2018: change to artificial land (CLC class 1)</t>
        </is>
      </c>
      <c r="D379" s="2" t="inlineStr">
        <is>
          <t>93.7</t>
        </is>
      </c>
      <c r="E379" s="2" t="inlineStr">
        <is>
          <t>ha</t>
        </is>
      </c>
      <c r="F379" s="2" t="inlineStr">
        <is>
          <t>EEA CORINE Land Cover change layer</t>
        </is>
      </c>
      <c r="G379" s="2" t="inlineStr">
        <is>
          <t>9 polygons; Amphora quotes 92 ha; changes under 5 ha are not mapped</t>
        </is>
      </c>
      <c r="H379" s="2" t="inlineStr"/>
    </row>
    <row r="380">
      <c r="A380" s="5" t="inlineStr">
        <is>
          <t>CC-019</t>
        </is>
      </c>
      <c r="B380" s="2" t="inlineStr">
        <is>
          <t>CC-019:31</t>
        </is>
      </c>
      <c r="C380" s="2" t="inlineStr">
        <is>
          <t>CORINE 2012-2018: share of land take that became quarries (CLC 131)</t>
        </is>
      </c>
      <c r="D380" s="2" t="inlineStr">
        <is>
          <t>33.8</t>
        </is>
      </c>
      <c r="E380" s="2" t="inlineStr">
        <is>
          <t>%</t>
        </is>
      </c>
      <c r="F380" s="2" t="inlineStr">
        <is>
          <t>EEA CORINE Land Cover change layer</t>
        </is>
      </c>
      <c r="G380" s="2" t="inlineStr">
        <is>
          <t>31.7 ha; airport (CLC 124) from farmland 15.7 ha</t>
        </is>
      </c>
      <c r="H380" s="2" t="inlineStr"/>
    </row>
    <row r="381">
      <c r="A381" s="5" t="inlineStr">
        <is>
          <t>CC-019</t>
        </is>
      </c>
      <c r="B381" s="2" t="inlineStr">
        <is>
          <t>CC-019:32</t>
        </is>
      </c>
      <c r="C381" s="2" t="inlineStr">
        <is>
          <t>Imagery spot-check: share of Amphora's area confirmed green to grey (40 PPS draws, 39 polygons)</t>
        </is>
      </c>
      <c r="D381" s="2" t="inlineStr">
        <is>
          <t>72.5 (57.2-83.9)</t>
        </is>
      </c>
      <c r="E381" s="2" t="inlineStr">
        <is>
          <t>% (95% CI)</t>
        </is>
      </c>
      <c r="F381" s="2" t="inlineStr">
        <is>
          <t>Esri World Imagery Wayback x Amphora (spotcheck.py)</t>
        </is>
      </c>
      <c r="G381" s="2" t="inlineStr">
        <is>
          <t>partial 7.5, already grey 2.5, still open 0.0, unclear 17.5; confirmed + half of partial 76.2; seed 20261005; classified by eye</t>
        </is>
      </c>
      <c r="H381" s="2" t="inlineStr"/>
    </row>
    <row r="382">
      <c r="A382" s="5" t="inlineStr">
        <is>
          <t>CC-019</t>
        </is>
      </c>
      <c r="B382" s="2" t="inlineStr">
        <is>
          <t>CC-019:33</t>
        </is>
      </c>
      <c r="C382" s="2" t="inlineStr">
        <is>
          <t>Imagery spot-check: sampled area open in 2015-16 but mostly being developed by 4 Sep 2018 (unclear, timing)</t>
        </is>
      </c>
      <c r="D382" s="2" t="inlineStr">
        <is>
          <t>15.0</t>
        </is>
      </c>
      <c r="E382" s="2" t="inlineStr">
        <is>
          <t>%</t>
        </is>
      </c>
      <c r="F382" s="2" t="inlineStr">
        <is>
          <t>Esri World Imagery Wayback x Amphora</t>
        </is>
      </c>
      <c r="G382" s="2" t="inlineStr">
        <is>
          <t>no imagery of these spots from Aug 2016 to Sep 2018</t>
        </is>
      </c>
      <c r="H382" s="2" t="inlineStr"/>
    </row>
    <row r="383">
      <c r="A383" s="5" t="inlineStr">
        <is>
          <t>CC-019</t>
        </is>
      </c>
      <c r="B383" s="2" t="inlineStr">
        <is>
          <t>CC-019:34</t>
        </is>
      </c>
      <c r="C383" s="2" t="inlineStr">
        <is>
          <t>Imagery spot-check: confirmed area already mostly grey by 6 May 2023</t>
        </is>
      </c>
      <c r="D383" s="2" t="inlineStr">
        <is>
          <t>75.9</t>
        </is>
      </c>
      <c r="E383" s="2" t="inlineStr">
        <is>
          <t>% of confirmed</t>
        </is>
      </c>
      <c r="F383" s="2" t="inlineStr">
        <is>
          <t>Esri World Imagery Wayback x Amphora</t>
        </is>
      </c>
      <c r="G383" s="2" t="inlineStr">
        <is>
          <t>partly 13.8, not yet 10.3; article: 2018-2023, map file: 2018-2025</t>
        </is>
      </c>
      <c r="H383" s="2" t="inlineStr"/>
    </row>
    <row r="384">
      <c r="A384" s="5" t="inlineStr">
        <is>
          <t>CC-019</t>
        </is>
      </c>
      <c r="B384" s="2" t="inlineStr">
        <is>
          <t>CC-019:35</t>
        </is>
      </c>
      <c r="C384" s="2" t="inlineStr">
        <is>
          <t>Imagery spot-check: share of Amphora's area confirmed and mostly grey by 6 May 2023</t>
        </is>
      </c>
      <c r="D384" s="2" t="inlineStr">
        <is>
          <t>55.0 (39.8-69.3)</t>
        </is>
      </c>
      <c r="E384" s="2" t="inlineStr">
        <is>
          <t>% (95% CI)</t>
        </is>
      </c>
      <c r="F384" s="2" t="inlineStr">
        <is>
          <t>Esri World Imagery Wayback x Amphora</t>
        </is>
      </c>
      <c r="G384" s="2" t="inlineStr">
        <is>
          <t>the article's window, 2018-2023</t>
        </is>
      </c>
      <c r="H384" s="2" t="inlineStr"/>
    </row>
    <row r="385">
      <c r="A385" s="5" t="inlineStr">
        <is>
          <t>CC-019</t>
        </is>
      </c>
      <c r="B385" s="2" t="inlineStr">
        <is>
          <t>CC-019:36</t>
        </is>
      </c>
      <c r="C385" s="2" t="inlineStr">
        <is>
          <t>Imagery spot-check: fields (cultivated + fallow) / with orchards, share of the sampled land open before</t>
        </is>
      </c>
      <c r="D385" s="2" t="inlineStr">
        <is>
          <t>59.0 / 64.1</t>
        </is>
      </c>
      <c r="E385" s="2" t="inlineStr">
        <is>
          <t>%</t>
        </is>
      </c>
      <c r="F385" s="2" t="inlineStr">
        <is>
          <t>Esri World Imagery Wayback x Amphora</t>
        </is>
      </c>
      <c r="G385" s="2" t="inlineStr">
        <is>
          <t>95% CI 43.4-72.9 / 48.4-77.3; scrub, garrigue or rough grass 35.9; Amphora: nearly 95% farmland</t>
        </is>
      </c>
      <c r="H385" s="2" t="inlineStr"/>
    </row>
    <row r="386">
      <c r="A386" s="5" t="inlineStr">
        <is>
          <t>CC-020</t>
        </is>
      </c>
      <c r="B386" s="2" t="inlineStr">
        <is>
          <t>CC-020:2</t>
        </is>
      </c>
      <c r="C386" s="2" t="inlineStr">
        <is>
          <t>Malta: population reporting noise from neighbours or street, 2023</t>
        </is>
      </c>
      <c r="D386" s="2" t="inlineStr">
        <is>
          <t>31.3</t>
        </is>
      </c>
      <c r="E386" s="2" t="inlineStr">
        <is>
          <t>%</t>
        </is>
      </c>
      <c r="F386" s="2" t="inlineStr">
        <is>
          <t>Eurostat ilc_mddw01</t>
        </is>
      </c>
      <c r="G386" s="2" t="inlineStr"/>
      <c r="H386" s="2" t="inlineStr"/>
    </row>
    <row r="387">
      <c r="A387" s="5" t="inlineStr">
        <is>
          <t>CC-020</t>
        </is>
      </c>
      <c r="B387" s="2" t="inlineStr">
        <is>
          <t>CC-020:3</t>
        </is>
      </c>
      <c r="C387" s="2" t="inlineStr">
        <is>
          <t>EU-27: same, 2023</t>
        </is>
      </c>
      <c r="D387" s="2" t="inlineStr">
        <is>
          <t>18.1</t>
        </is>
      </c>
      <c r="E387" s="2" t="inlineStr">
        <is>
          <t>%</t>
        </is>
      </c>
      <c r="F387" s="2" t="inlineStr">
        <is>
          <t>Eurostat ilc_mddw01</t>
        </is>
      </c>
      <c r="G387" s="2" t="inlineStr"/>
      <c r="H387" s="2" t="inlineStr"/>
    </row>
    <row r="388">
      <c r="A388" s="5" t="inlineStr">
        <is>
          <t>CC-020</t>
        </is>
      </c>
      <c r="B388" s="2" t="inlineStr">
        <is>
          <t>CC-020:4</t>
        </is>
      </c>
      <c r="C388" s="2" t="inlineStr">
        <is>
          <t>Malta minus EU-27, 2023</t>
        </is>
      </c>
      <c r="D388" s="2" t="inlineStr">
        <is>
          <t>13.2</t>
        </is>
      </c>
      <c r="E388" s="2" t="inlineStr">
        <is>
          <t>points</t>
        </is>
      </c>
      <c r="F388" s="2" t="inlineStr">
        <is>
          <t>calculated</t>
        </is>
      </c>
      <c r="G388" s="2" t="inlineStr"/>
      <c r="H388" s="2" t="inlineStr"/>
    </row>
    <row r="389">
      <c r="A389" s="5" t="inlineStr">
        <is>
          <t>CC-020</t>
        </is>
      </c>
      <c r="B389" s="2" t="inlineStr">
        <is>
          <t>CC-020:5</t>
        </is>
      </c>
      <c r="C389" s="2" t="inlineStr">
        <is>
          <t>Malta / EU-27, 2023</t>
        </is>
      </c>
      <c r="D389" s="2" t="inlineStr">
        <is>
          <t>1.73</t>
        </is>
      </c>
      <c r="E389" s="2" t="inlineStr">
        <is>
          <t>ratio</t>
        </is>
      </c>
      <c r="F389" s="2" t="inlineStr">
        <is>
          <t>calculated</t>
        </is>
      </c>
      <c r="G389" s="2" t="inlineStr"/>
      <c r="H389" s="2" t="inlineStr"/>
    </row>
    <row r="390">
      <c r="A390" s="5" t="inlineStr">
        <is>
          <t>CC-020</t>
        </is>
      </c>
      <c r="B390" s="2" t="inlineStr">
        <is>
          <t>CC-020:6</t>
        </is>
      </c>
      <c r="C390" s="2" t="inlineStr">
        <is>
          <t>Malta's rank among EU-27, 2023 (1 = most affected)</t>
        </is>
      </c>
      <c r="D390" s="2" t="inlineStr">
        <is>
          <t>1</t>
        </is>
      </c>
      <c r="E390" s="2" t="inlineStr">
        <is>
          <t>of 27</t>
        </is>
      </c>
      <c r="F390" s="2" t="inlineStr">
        <is>
          <t>calculated</t>
        </is>
      </c>
      <c r="G390" s="2" t="inlineStr">
        <is>
          <t>next: LU 30.2%</t>
        </is>
      </c>
      <c r="H390" s="2" t="inlineStr"/>
    </row>
    <row r="391">
      <c r="A391" s="5" t="inlineStr">
        <is>
          <t>CC-020</t>
        </is>
      </c>
      <c r="B391" s="2" t="inlineStr">
        <is>
          <t>CC-020:7</t>
        </is>
      </c>
      <c r="C391" s="2" t="inlineStr">
        <is>
          <t>Years 2010-2023 (available) with Malta above EU-27</t>
        </is>
      </c>
      <c r="D391" s="2" t="inlineStr">
        <is>
          <t>12</t>
        </is>
      </c>
      <c r="E391" s="2" t="inlineStr">
        <is>
          <t>of 12</t>
        </is>
      </c>
      <c r="F391" s="2" t="inlineStr">
        <is>
          <t>calculated</t>
        </is>
      </c>
      <c r="G391" s="2" t="inlineStr"/>
      <c r="H391" s="2" t="inlineStr"/>
    </row>
    <row r="392">
      <c r="A392" s="5" t="inlineStr">
        <is>
          <t>CC-020</t>
        </is>
      </c>
      <c r="B392" s="2" t="inlineStr">
        <is>
          <t>CC-020:8</t>
        </is>
      </c>
      <c r="C392" s="2" t="inlineStr">
        <is>
          <t>Malta change 2010 -&gt; 2023</t>
        </is>
      </c>
      <c r="D392" s="2" t="inlineStr">
        <is>
          <t>27.5 -&gt; 31.3</t>
        </is>
      </c>
      <c r="E392" s="2" t="inlineStr">
        <is>
          <t>%</t>
        </is>
      </c>
      <c r="F392" s="2" t="inlineStr">
        <is>
          <t>Eurostat ilc_mddw01</t>
        </is>
      </c>
      <c r="G392" s="2" t="inlineStr">
        <is>
          <t>2015 shows a drop to 24.6 then recovery; possible series effect not checked</t>
        </is>
      </c>
      <c r="H392" s="2" t="inlineStr"/>
    </row>
    <row r="393">
      <c r="A393" s="5" t="inlineStr">
        <is>
          <t>CC-020</t>
        </is>
      </c>
      <c r="B393" s="2" t="inlineStr">
        <is>
          <t>CC-020:9</t>
        </is>
      </c>
      <c r="C393" s="2" t="inlineStr">
        <is>
          <t>Malta share above END Lden 55 dB (study, EEA 2025a)</t>
        </is>
      </c>
      <c r="D393" s="2" t="inlineStr">
        <is>
          <t>13.0</t>
        </is>
      </c>
      <c r="E393" s="2" t="inlineStr">
        <is>
          <t>%</t>
        </is>
      </c>
      <c r="F393" s="2" t="inlineStr">
        <is>
          <t>study section 2.3</t>
        </is>
      </c>
      <c r="G393" s="2" t="inlineStr">
        <is>
          <t>roads and air only, major infrastructure</t>
        </is>
      </c>
      <c r="H393" s="2" t="inlineStr"/>
    </row>
    <row r="394">
      <c r="A394" s="5" t="inlineStr">
        <is>
          <t>CC-020</t>
        </is>
      </c>
      <c r="B394" s="2" t="inlineStr">
        <is>
          <t>CC-020:10</t>
        </is>
      </c>
      <c r="C394" s="2" t="inlineStr">
        <is>
          <t>Self-reported noise problem vs END-threshold exposure</t>
        </is>
      </c>
      <c r="D394" s="2" t="inlineStr">
        <is>
          <t>2.4</t>
        </is>
      </c>
      <c r="E394" s="2" t="inlineStr">
        <is>
          <t>times</t>
        </is>
      </c>
      <c r="F394" s="2" t="inlineStr">
        <is>
          <t>calculated</t>
        </is>
      </c>
      <c r="G394" s="2" t="inlineStr">
        <is>
          <t>different concepts: perception of all sources vs modelled exposure to END sources</t>
        </is>
      </c>
      <c r="H394" s="2" t="inlineStr"/>
    </row>
    <row r="395">
      <c r="A395" s="5" t="inlineStr">
        <is>
          <t>CC-020</t>
        </is>
      </c>
      <c r="B395" s="2" t="inlineStr">
        <is>
          <t>CC-020:11</t>
        </is>
      </c>
      <c r="C395" s="2" t="inlineStr">
        <is>
          <t>END Lnight threshold minus WHO road Lnight level</t>
        </is>
      </c>
      <c r="D395" s="2" t="inlineStr">
        <is>
          <t>5.0</t>
        </is>
      </c>
      <c r="E395" s="2" t="inlineStr">
        <is>
          <t>dB</t>
        </is>
      </c>
      <c r="F395" s="2" t="inlineStr">
        <is>
          <t>study section 2.1</t>
        </is>
      </c>
      <c r="G395" s="2" t="inlineStr">
        <is>
          <t>END 50 dB, WHO 45 dB</t>
        </is>
      </c>
      <c r="H395" s="2" t="inlineStr"/>
    </row>
    <row r="396">
      <c r="A396" s="5" t="inlineStr">
        <is>
          <t>CC-020</t>
        </is>
      </c>
      <c r="B396" s="2" t="inlineStr">
        <is>
          <t>CC-020:12</t>
        </is>
      </c>
      <c r="C396" s="2" t="inlineStr">
        <is>
          <t>END Lden threshold minus WHO road Lden level</t>
        </is>
      </c>
      <c r="D396" s="2" t="inlineStr">
        <is>
          <t>2.0</t>
        </is>
      </c>
      <c r="E396" s="2" t="inlineStr">
        <is>
          <t>dB</t>
        </is>
      </c>
      <c r="F396" s="2" t="inlineStr">
        <is>
          <t>study section 2.1</t>
        </is>
      </c>
      <c r="G396" s="2" t="inlineStr">
        <is>
          <t>END 55 dB, WHO 53 dB</t>
        </is>
      </c>
      <c r="H396" s="2" t="inlineStr"/>
    </row>
    <row r="397">
      <c r="A397" s="5" t="inlineStr">
        <is>
          <t>CC-020</t>
        </is>
      </c>
      <c r="B397" s="2" t="inlineStr">
        <is>
          <t>CC-020:13</t>
        </is>
      </c>
      <c r="C397" s="2" t="inlineStr">
        <is>
          <t>END Lden threshold minus WHO aircraft Lden level</t>
        </is>
      </c>
      <c r="D397" s="2" t="inlineStr">
        <is>
          <t>10.0</t>
        </is>
      </c>
      <c r="E397" s="2" t="inlineStr">
        <is>
          <t>dB</t>
        </is>
      </c>
      <c r="F397" s="2" t="inlineStr">
        <is>
          <t>study section 2.1</t>
        </is>
      </c>
      <c r="G397" s="2" t="inlineStr">
        <is>
          <t>END 55 dB, WHO 45 dB</t>
        </is>
      </c>
      <c r="H397" s="2" t="inlineStr"/>
    </row>
    <row r="398">
      <c r="A398" s="5" t="inlineStr">
        <is>
          <t>CC-020</t>
        </is>
      </c>
      <c r="B398" s="2" t="inlineStr">
        <is>
          <t>CC-020:14</t>
        </is>
      </c>
      <c r="C398" s="2" t="inlineStr">
        <is>
          <t>EEA-32 road exposure: WHO levels / END thresholds</t>
        </is>
      </c>
      <c r="D398" s="2" t="inlineStr">
        <is>
          <t>1.26</t>
        </is>
      </c>
      <c r="E398" s="2" t="inlineStr">
        <is>
          <t>ratio</t>
        </is>
      </c>
      <c r="F398" s="2" t="inlineStr">
        <is>
          <t>study section 2.1</t>
        </is>
      </c>
      <c r="G398" s="2" t="inlineStr"/>
      <c r="H398" s="2" t="inlineStr"/>
    </row>
    <row r="399">
      <c r="A399" s="5" t="inlineStr">
        <is>
          <t>CC-020</t>
        </is>
      </c>
      <c r="B399" s="2" t="inlineStr">
        <is>
          <t>CC-020:15</t>
        </is>
      </c>
      <c r="C399" s="2" t="inlineStr">
        <is>
          <t>Transposition table rows marked No (approx.)</t>
        </is>
      </c>
      <c r="D399" s="2" t="inlineStr">
        <is>
          <t>14</t>
        </is>
      </c>
      <c r="E399" s="2" t="inlineStr">
        <is>
          <t>of 219</t>
        </is>
      </c>
      <c r="F399" s="2" t="inlineStr">
        <is>
          <t>study Annex 1, our count</t>
        </is>
      </c>
      <c r="G399" s="2" t="inlineStr">
        <is>
          <t>6.4%; authors judge 2 meaningful</t>
        </is>
      </c>
      <c r="H399" s="2" t="inlineStr"/>
    </row>
    <row r="400">
      <c r="A400" s="5" t="inlineStr">
        <is>
          <t>CC-020</t>
        </is>
      </c>
      <c r="B400" s="2" t="inlineStr">
        <is>
          <t>CC-020:16</t>
        </is>
      </c>
      <c r="C400" s="2" t="inlineStr">
        <is>
          <t>Survey: Malta vs EU28 ratio (21% vs 9%)</t>
        </is>
      </c>
      <c r="D400" s="2" t="inlineStr">
        <is>
          <t>2.33</t>
        </is>
      </c>
      <c r="E400" s="2" t="inlineStr">
        <is>
          <t>ratio</t>
        </is>
      </c>
      <c r="F400" s="2" t="inlineStr">
        <is>
          <t>study chapter 6, citing ERA 2023c</t>
        </is>
      </c>
      <c r="G400" s="2" t="inlineStr">
        <is>
          <t>in ERA annex pp. 5-6 (read 6 Oct 2026; no survey named); not in Marmara 2019 summary; origin unidentified</t>
        </is>
      </c>
      <c r="H400" s="2" t="inlineStr"/>
    </row>
    <row r="401">
      <c r="A401" s="5" t="inlineStr">
        <is>
          <t>CC-022</t>
        </is>
      </c>
      <c r="B401" s="2" t="inlineStr">
        <is>
          <t>CC-022:2</t>
        </is>
      </c>
      <c r="C401" s="2" t="inlineStr">
        <is>
          <t>Malta rank, PPS price per kWh, 2024-S2 (1 = cheapest)</t>
        </is>
      </c>
      <c r="D401" s="2" t="inlineStr">
        <is>
          <t>1</t>
        </is>
      </c>
      <c r="E401" s="2" t="inlineStr">
        <is>
          <t>of 27</t>
        </is>
      </c>
      <c r="F401" s="2" t="inlineStr">
        <is>
          <t>Eurostat nrg_pc_204</t>
        </is>
      </c>
      <c r="G401" s="2" t="inlineStr">
        <is>
          <t>claim: lowest</t>
        </is>
      </c>
      <c r="H401" s="2" t="inlineStr"/>
    </row>
    <row r="402">
      <c r="A402" s="5" t="inlineStr">
        <is>
          <t>CC-022</t>
        </is>
      </c>
      <c r="B402" s="2" t="inlineStr">
        <is>
          <t>CC-022:3</t>
        </is>
      </c>
      <c r="C402" s="2" t="inlineStr">
        <is>
          <t>Malta price 2024-S2, PPS per 100 kWh</t>
        </is>
      </c>
      <c r="D402" s="2" t="inlineStr">
        <is>
          <t>14.35</t>
        </is>
      </c>
      <c r="E402" s="2" t="inlineStr">
        <is>
          <t>PPS</t>
        </is>
      </c>
      <c r="F402" s="2" t="inlineStr">
        <is>
          <t>Eurostat nrg_pc_204</t>
        </is>
      </c>
      <c r="G402" s="2" t="inlineStr">
        <is>
          <t>claim: 14.33</t>
        </is>
      </c>
      <c r="H402" s="2" t="inlineStr"/>
    </row>
    <row r="403">
      <c r="A403" s="5" t="inlineStr">
        <is>
          <t>CC-022</t>
        </is>
      </c>
      <c r="B403" s="2" t="inlineStr">
        <is>
          <t>CC-022:4</t>
        </is>
      </c>
      <c r="C403" s="2" t="inlineStr">
        <is>
          <t>CZ price 2024-S2, PPS per 100 kWh</t>
        </is>
      </c>
      <c r="D403" s="2" t="inlineStr">
        <is>
          <t>41.0</t>
        </is>
      </c>
      <c r="E403" s="2" t="inlineStr">
        <is>
          <t>PPS</t>
        </is>
      </c>
      <c r="F403" s="2" t="inlineStr">
        <is>
          <t>Eurostat nrg_pc_204</t>
        </is>
      </c>
      <c r="G403" s="2" t="inlineStr">
        <is>
          <t>claim: 41.00</t>
        </is>
      </c>
      <c r="H403" s="2" t="inlineStr"/>
    </row>
    <row r="404">
      <c r="A404" s="5" t="inlineStr">
        <is>
          <t>CC-022</t>
        </is>
      </c>
      <c r="B404" s="2" t="inlineStr">
        <is>
          <t>CC-022:5</t>
        </is>
      </c>
      <c r="C404" s="2" t="inlineStr">
        <is>
          <t>CY price 2024-S2, PPS per 100 kWh</t>
        </is>
      </c>
      <c r="D404" s="2" t="inlineStr">
        <is>
          <t>35.7</t>
        </is>
      </c>
      <c r="E404" s="2" t="inlineStr">
        <is>
          <t>PPS</t>
        </is>
      </c>
      <c r="F404" s="2" t="inlineStr">
        <is>
          <t>Eurostat nrg_pc_204</t>
        </is>
      </c>
      <c r="G404" s="2" t="inlineStr">
        <is>
          <t>claim: 35.70</t>
        </is>
      </c>
      <c r="H404" s="2" t="inlineStr"/>
    </row>
    <row r="405">
      <c r="A405" s="5" t="inlineStr">
        <is>
          <t>CC-022</t>
        </is>
      </c>
      <c r="B405" s="2" t="inlineStr">
        <is>
          <t>CC-022:6</t>
        </is>
      </c>
      <c r="C405" s="2" t="inlineStr">
        <is>
          <t>DE price 2024-S2, PPS per 100 kWh</t>
        </is>
      </c>
      <c r="D405" s="2" t="inlineStr">
        <is>
          <t>35.23</t>
        </is>
      </c>
      <c r="E405" s="2" t="inlineStr">
        <is>
          <t>PPS</t>
        </is>
      </c>
      <c r="F405" s="2" t="inlineStr">
        <is>
          <t>Eurostat nrg_pc_204</t>
        </is>
      </c>
      <c r="G405" s="2" t="inlineStr">
        <is>
          <t>claim: 35.23</t>
        </is>
      </c>
      <c r="H405" s="2" t="inlineStr"/>
    </row>
    <row r="406">
      <c r="A406" s="5" t="inlineStr">
        <is>
          <t>CC-022</t>
        </is>
      </c>
      <c r="B406" s="2" t="inlineStr">
        <is>
          <t>CC-022:7</t>
        </is>
      </c>
      <c r="C406" s="2" t="inlineStr">
        <is>
          <t>Malta rank, nominal EUR price, 2024-S2</t>
        </is>
      </c>
      <c r="D406" s="2" t="inlineStr">
        <is>
          <t>3</t>
        </is>
      </c>
      <c r="E406" s="2" t="inlineStr">
        <is>
          <t>of 27</t>
        </is>
      </c>
      <c r="F406" s="2" t="inlineStr">
        <is>
          <t>Eurostat nrg_pc_204</t>
        </is>
      </c>
      <c r="G406" s="2" t="inlineStr">
        <is>
          <t>claim: third lowest</t>
        </is>
      </c>
      <c r="H406" s="2" t="inlineStr"/>
    </row>
    <row r="407">
      <c r="A407" s="5" t="inlineStr">
        <is>
          <t>CC-022</t>
        </is>
      </c>
      <c r="B407" s="2" t="inlineStr">
        <is>
          <t>CC-022:8</t>
        </is>
      </c>
      <c r="C407" s="2" t="inlineStr">
        <is>
          <t>Malta nominal price 2024-S2</t>
        </is>
      </c>
      <c r="D407" s="2" t="inlineStr">
        <is>
          <t>0.1303</t>
        </is>
      </c>
      <c r="E407" s="2" t="inlineStr">
        <is>
          <t>EUR/kWh</t>
        </is>
      </c>
      <c r="F407" s="2" t="inlineStr">
        <is>
          <t>Eurostat nrg_pc_204</t>
        </is>
      </c>
      <c r="G407" s="2" t="inlineStr">
        <is>
          <t>claim: 0.131</t>
        </is>
      </c>
      <c r="H407" s="2" t="inlineStr"/>
    </row>
    <row r="408">
      <c r="A408" s="5" t="inlineStr">
        <is>
          <t>CC-022</t>
        </is>
      </c>
      <c r="B408" s="2" t="inlineStr">
        <is>
          <t>CC-022:9</t>
        </is>
      </c>
      <c r="C408" s="2" t="inlineStr">
        <is>
          <t>Malta vs EU-27 nominal price 2024-S2</t>
        </is>
      </c>
      <c r="D408" s="2" t="inlineStr">
        <is>
          <t>0.45</t>
        </is>
      </c>
      <c r="E408" s="2" t="inlineStr">
        <is>
          <t>ratio</t>
        </is>
      </c>
      <c r="F408" s="2" t="inlineStr">
        <is>
          <t>Eurostat nrg_pc_204</t>
        </is>
      </c>
      <c r="G408" s="2" t="inlineStr"/>
      <c r="H408" s="2" t="inlineStr"/>
    </row>
    <row r="409">
      <c r="A409" s="5" t="inlineStr">
        <is>
          <t>CC-022</t>
        </is>
      </c>
      <c r="B409" s="2" t="inlineStr">
        <is>
          <t>CC-022:10</t>
        </is>
      </c>
      <c r="C409" s="2" t="inlineStr">
        <is>
          <t>MT nominal price change 2020-S1 -&gt; 2025-S2</t>
        </is>
      </c>
      <c r="D409" s="2" t="inlineStr">
        <is>
          <t>-0.2</t>
        </is>
      </c>
      <c r="E409" s="2" t="inlineStr">
        <is>
          <t>%</t>
        </is>
      </c>
      <c r="F409" s="2" t="inlineStr">
        <is>
          <t>Eurostat nrg_pc_204</t>
        </is>
      </c>
      <c r="G409" s="2" t="inlineStr"/>
      <c r="H409" s="2" t="inlineStr"/>
    </row>
    <row r="410">
      <c r="A410" s="5" t="inlineStr">
        <is>
          <t>CC-022</t>
        </is>
      </c>
      <c r="B410" s="2" t="inlineStr">
        <is>
          <t>CC-022:11</t>
        </is>
      </c>
      <c r="C410" s="2" t="inlineStr">
        <is>
          <t>EU27_2020 nominal price change 2020-S1 -&gt; 2025-S2</t>
        </is>
      </c>
      <c r="D410" s="2" t="inlineStr">
        <is>
          <t>35.4</t>
        </is>
      </c>
      <c r="E410" s="2" t="inlineStr">
        <is>
          <t>%</t>
        </is>
      </c>
      <c r="F410" s="2" t="inlineStr">
        <is>
          <t>Eurostat nrg_pc_204</t>
        </is>
      </c>
      <c r="G410" s="2" t="inlineStr"/>
      <c r="H410" s="2" t="inlineStr"/>
    </row>
    <row r="411">
      <c r="A411" s="5" t="inlineStr">
        <is>
          <t>CC-022</t>
        </is>
      </c>
      <c r="B411" s="2" t="inlineStr">
        <is>
          <t>CC-022:12</t>
        </is>
      </c>
      <c r="C411" s="2" t="inlineStr">
        <is>
          <t>Malta rank, PPS price, 2025-S2 (latest)</t>
        </is>
      </c>
      <c r="D411" s="2" t="inlineStr">
        <is>
          <t>1</t>
        </is>
      </c>
      <c r="E411" s="2" t="inlineStr">
        <is>
          <t>of 27</t>
        </is>
      </c>
      <c r="F411" s="2" t="inlineStr">
        <is>
          <t>Eurostat nrg_pc_204</t>
        </is>
      </c>
      <c r="G411" s="2" t="inlineStr"/>
      <c r="H411" s="2" t="inlineStr"/>
    </row>
    <row r="412">
      <c r="A412" s="5" t="inlineStr">
        <is>
          <t>CC-022</t>
        </is>
      </c>
      <c r="B412" s="2" t="inlineStr">
        <is>
          <t>CC-022:13</t>
        </is>
      </c>
      <c r="C412" s="2" t="inlineStr">
        <is>
          <t>Energy subsidies 2022</t>
        </is>
      </c>
      <c r="D412" s="2" t="inlineStr">
        <is>
          <t>325</t>
        </is>
      </c>
      <c r="E412" s="2" t="inlineStr">
        <is>
          <t>EUR million</t>
        </is>
      </c>
      <c r="F412" s="2" t="inlineStr">
        <is>
          <t>IMF CR 26/29 x Eurostat GDP</t>
        </is>
      </c>
      <c r="G412" s="2" t="inlineStr">
        <is>
          <t>1.8% of GDP</t>
        </is>
      </c>
      <c r="H412" s="2" t="inlineStr"/>
    </row>
    <row r="413">
      <c r="A413" s="5" t="inlineStr">
        <is>
          <t>CC-022</t>
        </is>
      </c>
      <c r="B413" s="2" t="inlineStr">
        <is>
          <t>CC-022:14</t>
        </is>
      </c>
      <c r="C413" s="2" t="inlineStr">
        <is>
          <t>Energy subsidies 2023</t>
        </is>
      </c>
      <c r="D413" s="2" t="inlineStr">
        <is>
          <t>293</t>
        </is>
      </c>
      <c r="E413" s="2" t="inlineStr">
        <is>
          <t>EUR million</t>
        </is>
      </c>
      <c r="F413" s="2" t="inlineStr">
        <is>
          <t>IMF CR 26/29 x Eurostat GDP</t>
        </is>
      </c>
      <c r="G413" s="2" t="inlineStr">
        <is>
          <t>1.4% of GDP</t>
        </is>
      </c>
      <c r="H413" s="2" t="inlineStr"/>
    </row>
    <row r="414">
      <c r="A414" s="5" t="inlineStr">
        <is>
          <t>CC-022</t>
        </is>
      </c>
      <c r="B414" s="2" t="inlineStr">
        <is>
          <t>CC-022:15</t>
        </is>
      </c>
      <c r="C414" s="2" t="inlineStr">
        <is>
          <t>Energy subsidies 2024</t>
        </is>
      </c>
      <c r="D414" s="2" t="inlineStr">
        <is>
          <t>208</t>
        </is>
      </c>
      <c r="E414" s="2" t="inlineStr">
        <is>
          <t>EUR million</t>
        </is>
      </c>
      <c r="F414" s="2" t="inlineStr">
        <is>
          <t>IMF CR 26/29 x Eurostat GDP</t>
        </is>
      </c>
      <c r="G414" s="2" t="inlineStr">
        <is>
          <t>0.9% of GDP</t>
        </is>
      </c>
      <c r="H414" s="2" t="inlineStr"/>
    </row>
    <row r="415">
      <c r="A415" s="5" t="inlineStr">
        <is>
          <t>CC-022</t>
        </is>
      </c>
      <c r="B415" s="2" t="inlineStr">
        <is>
          <t>CC-022:16</t>
        </is>
      </c>
      <c r="C415" s="2" t="inlineStr">
        <is>
          <t>Energy subsidies 2025</t>
        </is>
      </c>
      <c r="D415" s="2" t="inlineStr">
        <is>
          <t>197</t>
        </is>
      </c>
      <c r="E415" s="2" t="inlineStr">
        <is>
          <t>EUR million</t>
        </is>
      </c>
      <c r="F415" s="2" t="inlineStr">
        <is>
          <t>IMF CR 26/29 x Eurostat GDP</t>
        </is>
      </c>
      <c r="G415" s="2" t="inlineStr">
        <is>
          <t>0.8% of GDP</t>
        </is>
      </c>
      <c r="H415" s="2" t="inlineStr"/>
    </row>
    <row r="416">
      <c r="A416" s="5" t="inlineStr">
        <is>
          <t>CC-022</t>
        </is>
      </c>
      <c r="B416" s="2" t="inlineStr">
        <is>
          <t>CC-022:17</t>
        </is>
      </c>
      <c r="C416" s="2" t="inlineStr">
        <is>
          <t>Energy subsidies 2022-2025, total</t>
        </is>
      </c>
      <c r="D416" s="2" t="inlineStr">
        <is>
          <t>1022</t>
        </is>
      </c>
      <c r="E416" s="2" t="inlineStr">
        <is>
          <t>EUR million</t>
        </is>
      </c>
      <c r="F416" s="2" t="inlineStr">
        <is>
          <t>calculated</t>
        </is>
      </c>
      <c r="G416" s="2" t="inlineStr"/>
      <c r="H416" s="2" t="inlineStr"/>
    </row>
    <row r="417">
      <c r="A417" s="5" t="inlineStr">
        <is>
          <t>CC-022</t>
        </is>
      </c>
      <c r="B417" s="2" t="inlineStr">
        <is>
          <t>CC-022:18</t>
        </is>
      </c>
      <c r="C417" s="2" t="inlineStr">
        <is>
          <t>Malta rank, PPS price, 2024-S2, band under 1,000 kWh (DA)</t>
        </is>
      </c>
      <c r="D417" s="2" t="inlineStr">
        <is>
          <t>16</t>
        </is>
      </c>
      <c r="E417" s="2" t="inlineStr">
        <is>
          <t>of 27</t>
        </is>
      </c>
      <c r="F417" s="2" t="inlineStr">
        <is>
          <t>Eurostat nrg_pc_204</t>
        </is>
      </c>
      <c r="G417" s="2" t="inlineStr">
        <is>
          <t>Malta 39.13 PPS/100 kWh</t>
        </is>
      </c>
      <c r="H417" s="2" t="inlineStr"/>
    </row>
    <row r="418">
      <c r="A418" s="5" t="inlineStr">
        <is>
          <t>CC-022</t>
        </is>
      </c>
      <c r="B418" s="2" t="inlineStr">
        <is>
          <t>CC-022:19</t>
        </is>
      </c>
      <c r="C418" s="2" t="inlineStr">
        <is>
          <t>Malta rank, PPS price, 2024-S2, band 1,000-2,499 kWh (DB)</t>
        </is>
      </c>
      <c r="D418" s="2" t="inlineStr">
        <is>
          <t>3</t>
        </is>
      </c>
      <c r="E418" s="2" t="inlineStr">
        <is>
          <t>of 27</t>
        </is>
      </c>
      <c r="F418" s="2" t="inlineStr">
        <is>
          <t>Eurostat nrg_pc_204</t>
        </is>
      </c>
      <c r="G418" s="2" t="inlineStr">
        <is>
          <t>Malta 16.70 PPS/100 kWh</t>
        </is>
      </c>
      <c r="H418" s="2" t="inlineStr"/>
    </row>
    <row r="419">
      <c r="A419" s="5" t="inlineStr">
        <is>
          <t>CC-022</t>
        </is>
      </c>
      <c r="B419" s="2" t="inlineStr">
        <is>
          <t>CC-022:20</t>
        </is>
      </c>
      <c r="C419" s="2" t="inlineStr">
        <is>
          <t>Malta rank, PPS price, 2024-S2, band 2,500-4,999 kWh (DC, standard household)</t>
        </is>
      </c>
      <c r="D419" s="2" t="inlineStr">
        <is>
          <t>1</t>
        </is>
      </c>
      <c r="E419" s="2" t="inlineStr">
        <is>
          <t>of 27</t>
        </is>
      </c>
      <c r="F419" s="2" t="inlineStr">
        <is>
          <t>Eurostat nrg_pc_204</t>
        </is>
      </c>
      <c r="G419" s="2" t="inlineStr">
        <is>
          <t>Malta 14.35 PPS/100 kWh</t>
        </is>
      </c>
      <c r="H419" s="2" t="inlineStr"/>
    </row>
    <row r="420">
      <c r="A420" s="5" t="inlineStr">
        <is>
          <t>CC-022</t>
        </is>
      </c>
      <c r="B420" s="2" t="inlineStr">
        <is>
          <t>CC-022:21</t>
        </is>
      </c>
      <c r="C420" s="2" t="inlineStr">
        <is>
          <t>Malta rank, PPS price, 2024-S2, band 5,000-14,999 kWh (DD)</t>
        </is>
      </c>
      <c r="D420" s="2" t="inlineStr">
        <is>
          <t>2</t>
        </is>
      </c>
      <c r="E420" s="2" t="inlineStr">
        <is>
          <t>of 27</t>
        </is>
      </c>
      <c r="F420" s="2" t="inlineStr">
        <is>
          <t>Eurostat nrg_pc_204</t>
        </is>
      </c>
      <c r="G420" s="2" t="inlineStr">
        <is>
          <t>Malta 15.75 PPS/100 kWh</t>
        </is>
      </c>
      <c r="H420" s="2" t="inlineStr"/>
    </row>
    <row r="421">
      <c r="A421" s="5" t="inlineStr">
        <is>
          <t>CC-022</t>
        </is>
      </c>
      <c r="B421" s="2" t="inlineStr">
        <is>
          <t>CC-022:22</t>
        </is>
      </c>
      <c r="C421" s="2" t="inlineStr">
        <is>
          <t>Malta rank, PPS price, 2024-S2, band 15,000 kWh or more (DE)</t>
        </is>
      </c>
      <c r="D421" s="2" t="inlineStr">
        <is>
          <t>23</t>
        </is>
      </c>
      <c r="E421" s="2" t="inlineStr">
        <is>
          <t>of 27</t>
        </is>
      </c>
      <c r="F421" s="2" t="inlineStr">
        <is>
          <t>Eurostat nrg_pc_204</t>
        </is>
      </c>
      <c r="G421" s="2" t="inlineStr">
        <is>
          <t>Malta 31.91 PPS/100 kWh</t>
        </is>
      </c>
      <c r="H421" s="2" t="inlineStr"/>
    </row>
    <row r="422">
      <c r="A422" s="5" t="inlineStr">
        <is>
          <t>CC-022</t>
        </is>
      </c>
      <c r="B422" s="2" t="inlineStr">
        <is>
          <t>CC-022:23</t>
        </is>
      </c>
      <c r="C422" s="2" t="inlineStr">
        <is>
          <t>Malta rank, PPS price, 2024-S2, band all bands (Eurostat average)</t>
        </is>
      </c>
      <c r="D422" s="2" t="inlineStr">
        <is>
          <t>4</t>
        </is>
      </c>
      <c r="E422" s="2" t="inlineStr">
        <is>
          <t>of 26</t>
        </is>
      </c>
      <c r="F422" s="2" t="inlineStr">
        <is>
          <t>Eurostat nrg_pc_204</t>
        </is>
      </c>
      <c r="G422" s="2" t="inlineStr">
        <is>
          <t>Malta 16.58 PPS/100 kWh</t>
        </is>
      </c>
      <c r="H422" s="2" t="inlineStr"/>
    </row>
    <row r="423">
      <c r="A423" s="5" t="inlineStr">
        <is>
          <t>CC-022</t>
        </is>
      </c>
      <c r="B423" s="2" t="inlineStr">
        <is>
          <t>CC-022:24</t>
        </is>
      </c>
      <c r="C423" s="2" t="inlineStr">
        <is>
          <t>Malta rank, PPS price, 2025-S2, band under 1,000 kWh (DA)</t>
        </is>
      </c>
      <c r="D423" s="2" t="inlineStr">
        <is>
          <t>9</t>
        </is>
      </c>
      <c r="E423" s="2" t="inlineStr">
        <is>
          <t>of 27</t>
        </is>
      </c>
      <c r="F423" s="2" t="inlineStr">
        <is>
          <t>Eurostat nrg_pc_204</t>
        </is>
      </c>
      <c r="G423" s="2" t="inlineStr">
        <is>
          <t>Malta 34.48 PPS/100 kWh (flag p)</t>
        </is>
      </c>
      <c r="H423" s="2" t="inlineStr"/>
    </row>
    <row r="424">
      <c r="A424" s="5" t="inlineStr">
        <is>
          <t>CC-022</t>
        </is>
      </c>
      <c r="B424" s="2" t="inlineStr">
        <is>
          <t>CC-022:25</t>
        </is>
      </c>
      <c r="C424" s="2" t="inlineStr">
        <is>
          <t>Malta rank, PPS price, 2025-S2, band 1,000-2,499 kWh (DB)</t>
        </is>
      </c>
      <c r="D424" s="2" t="inlineStr">
        <is>
          <t>2</t>
        </is>
      </c>
      <c r="E424" s="2" t="inlineStr">
        <is>
          <t>of 27</t>
        </is>
      </c>
      <c r="F424" s="2" t="inlineStr">
        <is>
          <t>Eurostat nrg_pc_204</t>
        </is>
      </c>
      <c r="G424" s="2" t="inlineStr">
        <is>
          <t>Malta 15.75 PPS/100 kWh (flag p)</t>
        </is>
      </c>
      <c r="H424" s="2" t="inlineStr"/>
    </row>
    <row r="425">
      <c r="A425" s="5" t="inlineStr">
        <is>
          <t>CC-022</t>
        </is>
      </c>
      <c r="B425" s="2" t="inlineStr">
        <is>
          <t>CC-022:26</t>
        </is>
      </c>
      <c r="C425" s="2" t="inlineStr">
        <is>
          <t>Malta rank, PPS price, 2025-S2, band 2,500-4,999 kWh (DC, standard household)</t>
        </is>
      </c>
      <c r="D425" s="2" t="inlineStr">
        <is>
          <t>1</t>
        </is>
      </c>
      <c r="E425" s="2" t="inlineStr">
        <is>
          <t>of 27</t>
        </is>
      </c>
      <c r="F425" s="2" t="inlineStr">
        <is>
          <t>Eurostat nrg_pc_204</t>
        </is>
      </c>
      <c r="G425" s="2" t="inlineStr">
        <is>
          <t>Malta 14.09 PPS/100 kWh (flag p)</t>
        </is>
      </c>
      <c r="H425" s="2" t="inlineStr"/>
    </row>
    <row r="426">
      <c r="A426" s="5" t="inlineStr">
        <is>
          <t>CC-022</t>
        </is>
      </c>
      <c r="B426" s="2" t="inlineStr">
        <is>
          <t>CC-022:27</t>
        </is>
      </c>
      <c r="C426" s="2" t="inlineStr">
        <is>
          <t>Malta rank, PPS price, 2025-S2, band 5,000-14,999 kWh (DD)</t>
        </is>
      </c>
      <c r="D426" s="2" t="inlineStr">
        <is>
          <t>2</t>
        </is>
      </c>
      <c r="E426" s="2" t="inlineStr">
        <is>
          <t>of 27</t>
        </is>
      </c>
      <c r="F426" s="2" t="inlineStr">
        <is>
          <t>Eurostat nrg_pc_204</t>
        </is>
      </c>
      <c r="G426" s="2" t="inlineStr">
        <is>
          <t>Malta 15.57 PPS/100 kWh (flag p)</t>
        </is>
      </c>
      <c r="H426" s="2" t="inlineStr"/>
    </row>
    <row r="427">
      <c r="A427" s="5" t="inlineStr">
        <is>
          <t>CC-022</t>
        </is>
      </c>
      <c r="B427" s="2" t="inlineStr">
        <is>
          <t>CC-022:28</t>
        </is>
      </c>
      <c r="C427" s="2" t="inlineStr">
        <is>
          <t>Malta rank, PPS price, 2025-S2, band 15,000 kWh or more (DE)</t>
        </is>
      </c>
      <c r="D427" s="2" t="inlineStr">
        <is>
          <t>24</t>
        </is>
      </c>
      <c r="E427" s="2" t="inlineStr">
        <is>
          <t>of 27</t>
        </is>
      </c>
      <c r="F427" s="2" t="inlineStr">
        <is>
          <t>Eurostat nrg_pc_204</t>
        </is>
      </c>
      <c r="G427" s="2" t="inlineStr">
        <is>
          <t>Malta 33.06 PPS/100 kWh (flag p)</t>
        </is>
      </c>
      <c r="H427" s="2" t="inlineStr"/>
    </row>
    <row r="428">
      <c r="A428" s="5" t="inlineStr">
        <is>
          <t>CC-022</t>
        </is>
      </c>
      <c r="B428" s="2" t="inlineStr">
        <is>
          <t>CC-022:29</t>
        </is>
      </c>
      <c r="C428" s="2" t="inlineStr">
        <is>
          <t>Malta rank, PPS price, 2025-S2, band all bands (Eurostat average)</t>
        </is>
      </c>
      <c r="D428" s="2" t="inlineStr">
        <is>
          <t>3</t>
        </is>
      </c>
      <c r="E428" s="2" t="inlineStr">
        <is>
          <t>of 27</t>
        </is>
      </c>
      <c r="F428" s="2" t="inlineStr">
        <is>
          <t>Eurostat nrg_pc_204</t>
        </is>
      </c>
      <c r="G428" s="2" t="inlineStr">
        <is>
          <t>Malta 16.19 PPS/100 kWh</t>
        </is>
      </c>
      <c r="H428" s="2" t="inlineStr"/>
    </row>
    <row r="429">
      <c r="A429" s="5" t="inlineStr">
        <is>
          <t>CC-022</t>
        </is>
      </c>
      <c r="B429" s="2" t="inlineStr">
        <is>
          <t>CC-022:30</t>
        </is>
      </c>
      <c r="C429" s="2" t="inlineStr">
        <is>
          <t>Malta nominal price 2013-S2, band DC</t>
        </is>
      </c>
      <c r="D429" s="2" t="inlineStr">
        <is>
          <t>0.1689</t>
        </is>
      </c>
      <c r="E429" s="2" t="inlineStr">
        <is>
          <t>EUR/kWh</t>
        </is>
      </c>
      <c r="F429" s="2" t="inlineStr">
        <is>
          <t>Eurostat nrg_pc_204</t>
        </is>
      </c>
      <c r="G429" s="2" t="inlineStr"/>
      <c r="H429" s="2" t="inlineStr"/>
    </row>
    <row r="430">
      <c r="A430" s="5" t="inlineStr">
        <is>
          <t>CC-022</t>
        </is>
      </c>
      <c r="B430" s="2" t="inlineStr">
        <is>
          <t>CC-022:31</t>
        </is>
      </c>
      <c r="C430" s="2" t="inlineStr">
        <is>
          <t>Malta nominal price 2014-S1, band DC</t>
        </is>
      </c>
      <c r="D430" s="2" t="inlineStr">
        <is>
          <t>0.1474</t>
        </is>
      </c>
      <c r="E430" s="2" t="inlineStr">
        <is>
          <t>EUR/kWh</t>
        </is>
      </c>
      <c r="F430" s="2" t="inlineStr">
        <is>
          <t>Eurostat nrg_pc_204</t>
        </is>
      </c>
      <c r="G430" s="2" t="inlineStr"/>
      <c r="H430" s="2" t="inlineStr"/>
    </row>
    <row r="431">
      <c r="A431" s="5" t="inlineStr">
        <is>
          <t>CC-022</t>
        </is>
      </c>
      <c r="B431" s="2" t="inlineStr">
        <is>
          <t>CC-022:32</t>
        </is>
      </c>
      <c r="C431" s="2" t="inlineStr">
        <is>
          <t>Malta nominal price 2014-S2, band DC</t>
        </is>
      </c>
      <c r="D431" s="2" t="inlineStr">
        <is>
          <t>0.1248</t>
        </is>
      </c>
      <c r="E431" s="2" t="inlineStr">
        <is>
          <t>EUR/kWh</t>
        </is>
      </c>
      <c r="F431" s="2" t="inlineStr">
        <is>
          <t>Eurostat nrg_pc_204</t>
        </is>
      </c>
      <c r="G431" s="2" t="inlineStr"/>
      <c r="H431" s="2" t="inlineStr"/>
    </row>
    <row r="432">
      <c r="A432" s="5" t="inlineStr">
        <is>
          <t>CC-022</t>
        </is>
      </c>
      <c r="B432" s="2" t="inlineStr">
        <is>
          <t>CC-022:33</t>
        </is>
      </c>
      <c r="C432" s="2" t="inlineStr">
        <is>
          <t>Malta nominal price range 2014-S2 to 2025-S2, band DC</t>
        </is>
      </c>
      <c r="D432" s="2" t="inlineStr">
        <is>
          <t>0.1248 to 0.1328</t>
        </is>
      </c>
      <c r="E432" s="2" t="inlineStr">
        <is>
          <t>EUR/kWh</t>
        </is>
      </c>
      <c r="F432" s="2" t="inlineStr">
        <is>
          <t>Eurostat nrg_pc_204</t>
        </is>
      </c>
      <c r="G432" s="2" t="inlineStr">
        <is>
          <t>2025-S2 flag p</t>
        </is>
      </c>
      <c r="H432" s="2" t="inlineStr"/>
    </row>
    <row r="433">
      <c r="A433" s="5" t="inlineStr">
        <is>
          <t>CC-022</t>
        </is>
      </c>
      <c r="B433" s="2" t="inlineStr">
        <is>
          <t>CC-022:34</t>
        </is>
      </c>
      <c r="C433" s="2" t="inlineStr">
        <is>
          <t>Unable to keep home adequately warm, 2025: Malta vs EU-27</t>
        </is>
      </c>
      <c r="D433" s="2" t="inlineStr">
        <is>
          <t>7.6 vs 8.8</t>
        </is>
      </c>
      <c r="E433" s="2" t="inlineStr">
        <is>
          <t>% of people</t>
        </is>
      </c>
      <c r="F433" s="2" t="inlineStr">
        <is>
          <t>Eurostat ilc_mdes01</t>
        </is>
      </c>
      <c r="G433" s="2" t="inlineStr"/>
      <c r="H433" s="2" t="inlineStr"/>
    </row>
    <row r="434">
      <c r="A434" s="5" t="inlineStr">
        <is>
          <t>CC-022</t>
        </is>
      </c>
      <c r="B434" s="2" t="inlineStr">
        <is>
          <t>CC-022:35</t>
        </is>
      </c>
      <c r="C434" s="2" t="inlineStr">
        <is>
          <t>Arrears on utility bills, 2025: Malta vs EU-27</t>
        </is>
      </c>
      <c r="D434" s="2" t="inlineStr">
        <is>
          <t>4.5 vs 7.0</t>
        </is>
      </c>
      <c r="E434" s="2" t="inlineStr">
        <is>
          <t>% of people</t>
        </is>
      </c>
      <c r="F434" s="2" t="inlineStr">
        <is>
          <t>Eurostat ilc_mdes07</t>
        </is>
      </c>
      <c r="G434" s="2" t="inlineStr"/>
      <c r="H434" s="2" t="inlineStr"/>
    </row>
    <row r="435">
      <c r="A435" s="5" t="inlineStr">
        <is>
          <t>CC-022</t>
        </is>
      </c>
      <c r="B435" s="2" t="inlineStr">
        <is>
          <t>CC-022:36</t>
        </is>
      </c>
      <c r="C435" s="2" t="inlineStr">
        <is>
          <t>Burden M1 bill 2500 kWh / median income (SILC 2025)</t>
        </is>
      </c>
      <c r="D435" s="2" t="inlineStr">
        <is>
          <t>1.461</t>
        </is>
      </c>
      <c r="E435" s="2" t="inlineStr"/>
      <c r="F435" s="2" t="inlineStr">
        <is>
          <t>Eurostat nrg_pc_204, ilc_di03, retrieved 5 Oct 2026</t>
        </is>
      </c>
      <c r="G435" s="2" t="inlineStr">
        <is>
          <t>EU-27 3.162; Malta rank 2 of 27</t>
        </is>
      </c>
      <c r="H435" s="2" t="inlineStr"/>
    </row>
    <row r="436">
      <c r="A436" s="5" t="inlineStr">
        <is>
          <t>CC-022</t>
        </is>
      </c>
      <c r="B436" s="2" t="inlineStr">
        <is>
          <t>CC-022:37</t>
        </is>
      </c>
      <c r="C436" s="2" t="inlineStr">
        <is>
          <t>Burden M1 bill 2500 kWh / median income (SILC 2024)</t>
        </is>
      </c>
      <c r="D436" s="2" t="inlineStr">
        <is>
          <t>1.634</t>
        </is>
      </c>
      <c r="E436" s="2" t="inlineStr"/>
      <c r="F436" s="2" t="inlineStr">
        <is>
          <t>Eurostat nrg_pc_204, ilc_di03, retrieved 5 Oct 2026</t>
        </is>
      </c>
      <c r="G436" s="2" t="inlineStr">
        <is>
          <t>EU-27 3.361; Malta rank 2 of 27</t>
        </is>
      </c>
      <c r="H436" s="2" t="inlineStr"/>
    </row>
    <row r="437">
      <c r="A437" s="5" t="inlineStr">
        <is>
          <t>CC-022</t>
        </is>
      </c>
      <c r="B437" s="2" t="inlineStr">
        <is>
          <t>CC-022:38</t>
        </is>
      </c>
      <c r="C437" s="2" t="inlineStr">
        <is>
          <t>Burden M1 bill 3750 kWh / median income (SILC 2025) (main)</t>
        </is>
      </c>
      <c r="D437" s="2" t="inlineStr">
        <is>
          <t>2.191</t>
        </is>
      </c>
      <c r="E437" s="2" t="inlineStr"/>
      <c r="F437" s="2" t="inlineStr">
        <is>
          <t>Eurostat nrg_pc_204, ilc_di03, retrieved 5 Oct 2026</t>
        </is>
      </c>
      <c r="G437" s="2" t="inlineStr">
        <is>
          <t>EU-27 4.743; Malta rank 2 of 27</t>
        </is>
      </c>
      <c r="H437" s="2" t="inlineStr"/>
    </row>
    <row r="438">
      <c r="A438" s="5" t="inlineStr">
        <is>
          <t>CC-022</t>
        </is>
      </c>
      <c r="B438" s="2" t="inlineStr">
        <is>
          <t>CC-022:39</t>
        </is>
      </c>
      <c r="C438" s="2" t="inlineStr">
        <is>
          <t>Burden M1 bill 3750 kWh / median income (SILC 2024)</t>
        </is>
      </c>
      <c r="D438" s="2" t="inlineStr">
        <is>
          <t>2.451</t>
        </is>
      </c>
      <c r="E438" s="2" t="inlineStr"/>
      <c r="F438" s="2" t="inlineStr">
        <is>
          <t>Eurostat nrg_pc_204, ilc_di03, retrieved 5 Oct 2026</t>
        </is>
      </c>
      <c r="G438" s="2" t="inlineStr">
        <is>
          <t>EU-27 5.042; Malta rank 2 of 27</t>
        </is>
      </c>
      <c r="H438" s="2" t="inlineStr"/>
    </row>
    <row r="439">
      <c r="A439" s="5" t="inlineStr">
        <is>
          <t>CC-022</t>
        </is>
      </c>
      <c r="B439" s="2" t="inlineStr">
        <is>
          <t>CC-022:40</t>
        </is>
      </c>
      <c r="C439" s="2" t="inlineStr">
        <is>
          <t>Burden M1 bill 5000 kWh / median income (SILC 2025)</t>
        </is>
      </c>
      <c r="D439" s="2" t="inlineStr">
        <is>
          <t>2.922</t>
        </is>
      </c>
      <c r="E439" s="2" t="inlineStr"/>
      <c r="F439" s="2" t="inlineStr">
        <is>
          <t>Eurostat nrg_pc_204, ilc_di03, retrieved 5 Oct 2026</t>
        </is>
      </c>
      <c r="G439" s="2" t="inlineStr">
        <is>
          <t>EU-27 6.324; Malta rank 2 of 27</t>
        </is>
      </c>
      <c r="H439" s="2" t="inlineStr"/>
    </row>
    <row r="440">
      <c r="A440" s="5" t="inlineStr">
        <is>
          <t>CC-022</t>
        </is>
      </c>
      <c r="B440" s="2" t="inlineStr">
        <is>
          <t>CC-022:41</t>
        </is>
      </c>
      <c r="C440" s="2" t="inlineStr">
        <is>
          <t>Burden M1 bill 5000 kWh / median income (SILC 2024)</t>
        </is>
      </c>
      <c r="D440" s="2" t="inlineStr">
        <is>
          <t>3.268</t>
        </is>
      </c>
      <c r="E440" s="2" t="inlineStr"/>
      <c r="F440" s="2" t="inlineStr">
        <is>
          <t>Eurostat nrg_pc_204, ilc_di03, retrieved 5 Oct 2026</t>
        </is>
      </c>
      <c r="G440" s="2" t="inlineStr">
        <is>
          <t>EU-27 6.722; Malta rank 2 of 27</t>
        </is>
      </c>
      <c r="H440" s="2" t="inlineStr"/>
    </row>
    <row r="441">
      <c r="A441" s="5" t="inlineStr">
        <is>
          <t>CC-022</t>
        </is>
      </c>
      <c r="B441" s="2" t="inlineStr">
        <is>
          <t>CC-022:42</t>
        </is>
      </c>
      <c r="C441" s="2" t="inlineStr">
        <is>
          <t>Burden M1b bill 3750 kWh at 2025 prices / median income (SILC 2025)</t>
        </is>
      </c>
      <c r="D441" s="2" t="inlineStr">
        <is>
          <t>2.164</t>
        </is>
      </c>
      <c r="E441" s="2" t="inlineStr"/>
      <c r="F441" s="2" t="inlineStr">
        <is>
          <t>Eurostat nrg_pc_204, ilc_di03, retrieved 5 Oct 2026</t>
        </is>
      </c>
      <c r="G441" s="2" t="inlineStr">
        <is>
          <t>EU-27 4.720; Malta rank 2 of 27; flags: price 2025-S2 p</t>
        </is>
      </c>
      <c r="H441" s="2" t="inlineStr"/>
    </row>
    <row r="442">
      <c r="A442" s="5" t="inlineStr">
        <is>
          <t>CC-022</t>
        </is>
      </c>
      <c r="B442" s="2" t="inlineStr">
        <is>
          <t>CC-022:43</t>
        </is>
      </c>
      <c r="C442" s="2" t="inlineStr">
        <is>
          <t>Burden M3 bill 3750 kWh / 20th-percentile income (SILC 2025) (main)</t>
        </is>
      </c>
      <c r="D442" s="2" t="inlineStr">
        <is>
          <t>3.476</t>
        </is>
      </c>
      <c r="E442" s="2" t="inlineStr"/>
      <c r="F442" s="2" t="inlineStr">
        <is>
          <t>Eurostat nrg_pc_204, ilc_di01, ilc_di03, retrieved 5 Oct 2026</t>
        </is>
      </c>
      <c r="G442" s="2" t="inlineStr">
        <is>
          <t>EU-27 7.278; Malta rank 2 of 27</t>
        </is>
      </c>
      <c r="H442" s="2" t="inlineStr"/>
    </row>
    <row r="443">
      <c r="A443" s="5" t="inlineStr">
        <is>
          <t>CC-022</t>
        </is>
      </c>
      <c r="B443" s="2" t="inlineStr">
        <is>
          <t>CC-022:44</t>
        </is>
      </c>
      <c r="C443" s="2" t="inlineStr">
        <is>
          <t>Burden M3c bill 3750 kWh / 20th-percentile income (SILC 2024)</t>
        </is>
      </c>
      <c r="D443" s="2" t="inlineStr">
        <is>
          <t>3.938</t>
        </is>
      </c>
      <c r="E443" s="2" t="inlineStr"/>
      <c r="F443" s="2" t="inlineStr">
        <is>
          <t>Eurostat nrg_pc_204, ilc_di01, ilc_di03, retrieved 5 Oct 2026</t>
        </is>
      </c>
      <c r="G443" s="2" t="inlineStr">
        <is>
          <t>EU-27 7.727; Malta rank 2 of 27</t>
        </is>
      </c>
      <c r="H443" s="2" t="inlineStr"/>
    </row>
    <row r="444">
      <c r="A444" s="5" t="inlineStr">
        <is>
          <t>CC-022</t>
        </is>
      </c>
      <c r="B444" s="2" t="inlineStr">
        <is>
          <t>CC-022:45</t>
        </is>
      </c>
      <c r="C444" s="2" t="inlineStr">
        <is>
          <t>Burden M3b bill 3750 kWh / mean income of first quintile (SILC 2025)</t>
        </is>
      </c>
      <c r="D444" s="2" t="inlineStr">
        <is>
          <t>4.805</t>
        </is>
      </c>
      <c r="E444" s="2" t="inlineStr"/>
      <c r="F444" s="2" t="inlineStr">
        <is>
          <t>Eurostat nrg_pc_204, ilc_di01, ilc_di03, retrieved 5 Oct 2026</t>
        </is>
      </c>
      <c r="G444" s="2" t="inlineStr">
        <is>
          <t>EU-27 10.103; Malta rank 2 of 27</t>
        </is>
      </c>
      <c r="H444" s="2" t="inlineStr"/>
    </row>
    <row r="445">
      <c r="A445" s="5" t="inlineStr">
        <is>
          <t>CC-022</t>
        </is>
      </c>
      <c r="B445" s="2" t="inlineStr">
        <is>
          <t>CC-022:46</t>
        </is>
      </c>
      <c r="C445" s="2" t="inlineStr">
        <is>
          <t>Burden M2a electricity use per household, kWh (2024)</t>
        </is>
      </c>
      <c r="D445" s="2" t="inlineStr">
        <is>
          <t>4616.813</t>
        </is>
      </c>
      <c r="E445" s="2" t="inlineStr"/>
      <c r="F445" s="2" t="inlineStr">
        <is>
          <t>Eurostat nrg_d_hhq, lfst_hhnhtych, nrg_pc_204, nrg_pc_204_v, nasa_10_nf_tr, retrieved 5 Oct 2026</t>
        </is>
      </c>
      <c r="G445" s="2" t="inlineStr">
        <is>
          <t>EU-27 3523.817; Malta rank 21 of 27</t>
        </is>
      </c>
      <c r="H445" s="2" t="inlineStr"/>
    </row>
    <row r="446">
      <c r="A446" s="5" t="inlineStr">
        <is>
          <t>CC-022</t>
        </is>
      </c>
      <c r="B446" s="2" t="inlineStr">
        <is>
          <t>CC-022:47</t>
        </is>
      </c>
      <c r="C446" s="2" t="inlineStr">
        <is>
          <t>Burden M2b consumption-weighted price, EUR/kWh (2024)</t>
        </is>
      </c>
      <c r="D446" s="2" t="inlineStr">
        <is>
          <t>0.149</t>
        </is>
      </c>
      <c r="E446" s="2" t="inlineStr"/>
      <c r="F446" s="2" t="inlineStr">
        <is>
          <t>Eurostat nrg_d_hhq, lfst_hhnhtych, nrg_pc_204, nrg_pc_204_v, nasa_10_nf_tr, retrieved 5 Oct 2026</t>
        </is>
      </c>
      <c r="G446" s="2" t="inlineStr">
        <is>
          <t>EU-27 0.295; Malta rank 3 of 27</t>
        </is>
      </c>
      <c r="H446" s="2" t="inlineStr"/>
    </row>
    <row r="447">
      <c r="A447" s="5" t="inlineStr">
        <is>
          <t>CC-022</t>
        </is>
      </c>
      <c r="B447" s="2" t="inlineStr">
        <is>
          <t>CC-022:48</t>
        </is>
      </c>
      <c r="C447" s="2" t="inlineStr">
        <is>
          <t>Burden M2c annual bill, average household, EUR (2024)</t>
        </is>
      </c>
      <c r="D447" s="2" t="inlineStr">
        <is>
          <t>689.202</t>
        </is>
      </c>
      <c r="E447" s="2" t="inlineStr"/>
      <c r="F447" s="2" t="inlineStr">
        <is>
          <t>Eurostat nrg_d_hhq, lfst_hhnhtych, nrg_pc_204, nrg_pc_204_v, nasa_10_nf_tr, retrieved 5 Oct 2026</t>
        </is>
      </c>
      <c r="G447" s="2" t="inlineStr">
        <is>
          <t>EU-27 1041.288; Malta rank 12 of 27</t>
        </is>
      </c>
      <c r="H447" s="2" t="inlineStr"/>
    </row>
    <row r="448">
      <c r="A448" s="5" t="inlineStr">
        <is>
          <t>CC-022</t>
        </is>
      </c>
      <c r="B448" s="2" t="inlineStr">
        <is>
          <t>CC-022:49</t>
        </is>
      </c>
      <c r="C448" s="2" t="inlineStr">
        <is>
          <t>Burden M2 bill / disposable income per household (2024) (main)</t>
        </is>
      </c>
      <c r="D448" s="2" t="inlineStr">
        <is>
          <t>1.26</t>
        </is>
      </c>
      <c r="E448" s="2" t="inlineStr"/>
      <c r="F448" s="2" t="inlineStr">
        <is>
          <t>Eurostat nrg_d_hhq, lfst_hhnhtych, nrg_pc_204, nrg_pc_204_v, nasa_10_nf_tr, retrieved 5 Oct 2026</t>
        </is>
      </c>
      <c r="G448" s="2" t="inlineStr">
        <is>
          <t>EU-27 1.912; Malta rank 5 of 26; flags: hhincome 2024 p</t>
        </is>
      </c>
      <c r="H448" s="2" t="inlineStr"/>
    </row>
    <row r="449">
      <c r="A449" s="5" t="inlineStr">
        <is>
          <t>CC-022</t>
        </is>
      </c>
      <c r="B449" s="2" t="inlineStr">
        <is>
          <t>CC-022:50</t>
        </is>
      </c>
      <c r="C449" s="2" t="inlineStr">
        <is>
          <t>Burden M4 electricity share of consumption spending, % (HBS 2020) (main)</t>
        </is>
      </c>
      <c r="D449" s="2" t="inlineStr">
        <is>
          <t>2.3</t>
        </is>
      </c>
      <c r="E449" s="2" t="inlineStr"/>
      <c r="F449" s="2" t="inlineStr">
        <is>
          <t>Eurostat hbs_str_t211, retrieved 5 Oct 2026</t>
        </is>
      </c>
      <c r="G449" s="2" t="inlineStr">
        <is>
          <t>Malta rank joint 7 of 24; flags: spending 2020 e</t>
        </is>
      </c>
      <c r="H449" s="2" t="inlineStr"/>
    </row>
    <row r="450">
      <c r="A450" s="5" t="inlineStr">
        <is>
          <t>CC-022</t>
        </is>
      </c>
      <c r="B450" s="2" t="inlineStr">
        <is>
          <t>CC-022:51</t>
        </is>
      </c>
      <c r="C450" s="2" t="inlineStr">
        <is>
          <t>Burden M5 arrears on utility bills, % (all, 2025) (main)</t>
        </is>
      </c>
      <c r="D450" s="2" t="inlineStr">
        <is>
          <t>4.5</t>
        </is>
      </c>
      <c r="E450" s="2" t="inlineStr"/>
      <c r="F450" s="2" t="inlineStr">
        <is>
          <t>Eurostat ilc_mdes07, ilc_mdes01, ilc_hcmp03, retrieved 5 Oct 2026</t>
        </is>
      </c>
      <c r="G450" s="2" t="inlineStr">
        <is>
          <t>EU-27 7.000; Malta rank 9 of 27</t>
        </is>
      </c>
      <c r="H450" s="2" t="inlineStr"/>
    </row>
    <row r="451">
      <c r="A451" s="5" t="inlineStr">
        <is>
          <t>CC-022</t>
        </is>
      </c>
      <c r="B451" s="2" t="inlineStr">
        <is>
          <t>CC-022:52</t>
        </is>
      </c>
      <c r="C451" s="2" t="inlineStr">
        <is>
          <t>Burden M5 arrears on utility bills, % (below 60% of median income, 2025)</t>
        </is>
      </c>
      <c r="D451" s="2" t="inlineStr">
        <is>
          <t>9.2</t>
        </is>
      </c>
      <c r="E451" s="2" t="inlineStr"/>
      <c r="F451" s="2" t="inlineStr">
        <is>
          <t>Eurostat ilc_mdes07, ilc_mdes01, ilc_hcmp03, retrieved 5 Oct 2026</t>
        </is>
      </c>
      <c r="G451" s="2" t="inlineStr">
        <is>
          <t>EU-27 16.800; Malta rank 7 of 27</t>
        </is>
      </c>
      <c r="H451" s="2" t="inlineStr"/>
    </row>
    <row r="452">
      <c r="A452" s="5" t="inlineStr">
        <is>
          <t>CC-022</t>
        </is>
      </c>
      <c r="B452" s="2" t="inlineStr">
        <is>
          <t>CC-022:53</t>
        </is>
      </c>
      <c r="C452" s="2" t="inlineStr">
        <is>
          <t>Burden M5 unable to keep home warm, % (all, 2025) (main)</t>
        </is>
      </c>
      <c r="D452" s="2" t="inlineStr">
        <is>
          <t>7.6</t>
        </is>
      </c>
      <c r="E452" s="2" t="inlineStr"/>
      <c r="F452" s="2" t="inlineStr">
        <is>
          <t>Eurostat ilc_mdes07, ilc_mdes01, ilc_hcmp03, retrieved 5 Oct 2026</t>
        </is>
      </c>
      <c r="G452" s="2" t="inlineStr">
        <is>
          <t>EU-27 8.800; Malta rank 17 of 27</t>
        </is>
      </c>
      <c r="H452" s="2" t="inlineStr"/>
    </row>
    <row r="453">
      <c r="A453" s="5" t="inlineStr">
        <is>
          <t>CC-022</t>
        </is>
      </c>
      <c r="B453" s="2" t="inlineStr">
        <is>
          <t>CC-022:54</t>
        </is>
      </c>
      <c r="C453" s="2" t="inlineStr">
        <is>
          <t>Burden M5 unable to keep home warm, % (below 60% of median income, 2025)</t>
        </is>
      </c>
      <c r="D453" s="2" t="inlineStr">
        <is>
          <t>10.9</t>
        </is>
      </c>
      <c r="E453" s="2" t="inlineStr"/>
      <c r="F453" s="2" t="inlineStr">
        <is>
          <t>Eurostat ilc_mdes07, ilc_mdes01, ilc_hcmp03, retrieved 5 Oct 2026</t>
        </is>
      </c>
      <c r="G453" s="2" t="inlineStr">
        <is>
          <t>EU-27 19.600; Malta rank 9 of 27</t>
        </is>
      </c>
      <c r="H453" s="2" t="inlineStr"/>
    </row>
    <row r="454">
      <c r="A454" s="5" t="inlineStr">
        <is>
          <t>CC-022</t>
        </is>
      </c>
      <c r="B454" s="2" t="inlineStr">
        <is>
          <t>CC-022:55</t>
        </is>
      </c>
      <c r="C454" s="2" t="inlineStr">
        <is>
          <t>Burden M5 dwelling not comfortably cool in summer, % (all, 2012)</t>
        </is>
      </c>
      <c r="D454" s="2" t="inlineStr">
        <is>
          <t>35.4</t>
        </is>
      </c>
      <c r="E454" s="2" t="inlineStr"/>
      <c r="F454" s="2" t="inlineStr">
        <is>
          <t>Eurostat ilc_mdes07, ilc_mdes01, ilc_hcmp03, retrieved 5 Oct 2026</t>
        </is>
      </c>
      <c r="G454" s="2" t="inlineStr">
        <is>
          <t>EU-27 21.400; Malta rank 25 of 27</t>
        </is>
      </c>
      <c r="H454" s="2" t="inlineStr"/>
    </row>
    <row r="455">
      <c r="A455" s="5" t="inlineStr">
        <is>
          <t>CC-022</t>
        </is>
      </c>
      <c r="B455" s="2" t="inlineStr">
        <is>
          <t>CC-022:56</t>
        </is>
      </c>
      <c r="C455" s="2" t="inlineStr">
        <is>
          <t>Burden M5 dwelling not comfortably cool in summer, % (first quintile, 2012)</t>
        </is>
      </c>
      <c r="D455" s="2" t="inlineStr">
        <is>
          <t>41.2</t>
        </is>
      </c>
      <c r="E455" s="2" t="inlineStr"/>
      <c r="F455" s="2" t="inlineStr">
        <is>
          <t>Eurostat ilc_mdes07, ilc_mdes01, ilc_hcmp03, retrieved 5 Oct 2026</t>
        </is>
      </c>
      <c r="G455" s="2" t="inlineStr">
        <is>
          <t>EU-27 28.200; Malta rank joint 24 of 27</t>
        </is>
      </c>
      <c r="H455" s="2" t="inlineStr"/>
    </row>
    <row r="456">
      <c r="A456" s="5" t="inlineStr">
        <is>
          <t>CC-022</t>
        </is>
      </c>
      <c r="B456" s="2" t="inlineStr">
        <is>
          <t>CC-022:57</t>
        </is>
      </c>
      <c r="C456" s="2" t="inlineStr">
        <is>
          <t>Burden M2e share of household electricity used for space cooling, % (2024)</t>
        </is>
      </c>
      <c r="D456" s="2" t="inlineStr">
        <is>
          <t>19.486</t>
        </is>
      </c>
      <c r="E456" s="2" t="inlineStr"/>
      <c r="F456" s="2" t="inlineStr">
        <is>
          <t>Eurostat nrg_d_hhq, lfst_hhnhtych, nrg_pc_204, nrg_pc_204_v, nasa_10_nf_tr, retrieved 5 Oct 2026</t>
        </is>
      </c>
      <c r="G456" s="2" t="inlineStr">
        <is>
          <t>EU-27 3.135; Malta rank not ranked</t>
        </is>
      </c>
      <c r="H456" s="2" t="inlineStr"/>
    </row>
    <row r="457">
      <c r="A457" s="5" t="inlineStr">
        <is>
          <t>CC-022</t>
        </is>
      </c>
      <c r="B457" s="2" t="inlineStr">
        <is>
          <t>CC-022:58</t>
        </is>
      </c>
      <c r="C457" s="2" t="inlineStr">
        <is>
          <t>Burden M2e share of household electricity used for water heating, % (2024)</t>
        </is>
      </c>
      <c r="D457" s="2" t="inlineStr">
        <is>
          <t>25.829</t>
        </is>
      </c>
      <c r="E457" s="2" t="inlineStr"/>
      <c r="F457" s="2" t="inlineStr">
        <is>
          <t>Eurostat nrg_d_hhq, lfst_hhnhtych, nrg_pc_204, nrg_pc_204_v, nasa_10_nf_tr, retrieved 5 Oct 2026</t>
        </is>
      </c>
      <c r="G457" s="2" t="inlineStr">
        <is>
          <t>EU-27 11.368; Malta rank not ranked</t>
        </is>
      </c>
      <c r="H457" s="2" t="inlineStr"/>
    </row>
    <row r="458">
      <c r="A458" s="5" t="inlineStr">
        <is>
          <t>CC-022</t>
        </is>
      </c>
      <c r="B458" s="2" t="inlineStr">
        <is>
          <t>CC-022:59</t>
        </is>
      </c>
      <c r="C458" s="2" t="inlineStr">
        <is>
          <t>Burden M2e share of household electricity used for space heating, % (2024)</t>
        </is>
      </c>
      <c r="D458" s="2" t="inlineStr">
        <is>
          <t>7.981</t>
        </is>
      </c>
      <c r="E458" s="2" t="inlineStr"/>
      <c r="F458" s="2" t="inlineStr">
        <is>
          <t>Eurostat nrg_d_hhq, lfst_hhnhtych, nrg_pc_204, nrg_pc_204_v, nasa_10_nf_tr, retrieved 5 Oct 2026</t>
        </is>
      </c>
      <c r="G458" s="2" t="inlineStr">
        <is>
          <t>EU-27 15.985; Malta rank not ranked</t>
        </is>
      </c>
      <c r="H458" s="2" t="inlineStr"/>
    </row>
    <row r="459">
      <c r="A459" s="5" t="inlineStr">
        <is>
          <t>CC-022</t>
        </is>
      </c>
      <c r="B459" s="2" t="inlineStr">
        <is>
          <t>CC-022:60</t>
        </is>
      </c>
      <c r="C459" s="2" t="inlineStr">
        <is>
          <t>Burden M2e share of household electricity used for lighting and appliances, % (2024)</t>
        </is>
      </c>
      <c r="D459" s="2" t="inlineStr">
        <is>
          <t>41.89</t>
        </is>
      </c>
      <c r="E459" s="2" t="inlineStr"/>
      <c r="F459" s="2" t="inlineStr">
        <is>
          <t>Eurostat nrg_d_hhq, lfst_hhnhtych, nrg_pc_204, nrg_pc_204_v, nasa_10_nf_tr, retrieved 5 Oct 2026</t>
        </is>
      </c>
      <c r="G459" s="2" t="inlineStr">
        <is>
          <t>EU-27 54.902; Malta rank not ranked</t>
        </is>
      </c>
      <c r="H459" s="2" t="inlineStr"/>
    </row>
    <row r="460">
      <c r="A460" s="5" t="inlineStr">
        <is>
          <t>CC-022</t>
        </is>
      </c>
      <c r="B460" s="2" t="inlineStr">
        <is>
          <t>CC-022:61</t>
        </is>
      </c>
      <c r="C460" s="2" t="inlineStr">
        <is>
          <t>Malta consumption-weighted price 2024 vs Eurostat all-band average 2024-S2</t>
        </is>
      </c>
      <c r="D460" s="2" t="inlineStr">
        <is>
          <t>0.1493 vs 0.1505</t>
        </is>
      </c>
      <c r="E460" s="2" t="inlineStr">
        <is>
          <t>EUR/kWh</t>
        </is>
      </c>
      <c r="F460" s="2" t="inlineStr">
        <is>
          <t>Eurostat nrg_pc_204, nrg_pc_204_v</t>
        </is>
      </c>
      <c r="G460" s="2" t="inlineStr">
        <is>
          <t>cross-check of the weighting</t>
        </is>
      </c>
      <c r="H460" s="2" t="inlineStr"/>
    </row>
    <row r="461">
      <c r="A461" s="5" t="inlineStr">
        <is>
          <t>CC-024</t>
        </is>
      </c>
      <c r="B461" s="2" t="inlineStr">
        <is>
          <t>CC-024:2</t>
        </is>
      </c>
      <c r="C461" s="2" t="inlineStr">
        <is>
          <t>Malta RES share 2023: Eurostat vs plan's indicative target</t>
        </is>
      </c>
      <c r="D461" s="2" t="inlineStr">
        <is>
          <t>15.44 vs 14.7</t>
        </is>
      </c>
      <c r="E461" s="2" t="inlineStr">
        <is>
          <t>%</t>
        </is>
      </c>
      <c r="F461" s="2" t="inlineStr">
        <is>
          <t>Eurostat nrg_ind_ren, retrieved 5 Oct 2026 (updated 15 Sep 2026); Malta final updated NECP, Table 3 (p.83)</t>
        </is>
      </c>
      <c r="G461" s="2" t="inlineStr">
        <is>
          <t>+0.74 points</t>
        </is>
      </c>
      <c r="H461" s="2" t="inlineStr"/>
    </row>
    <row r="462">
      <c r="A462" s="5" t="inlineStr">
        <is>
          <t>CC-024</t>
        </is>
      </c>
      <c r="B462" s="2" t="inlineStr">
        <is>
          <t>CC-024:3</t>
        </is>
      </c>
      <c r="C462" s="2" t="inlineStr">
        <is>
          <t>Malta RES share 2024: Eurostat vs plan's indicative target</t>
        </is>
      </c>
      <c r="D462" s="2" t="inlineStr">
        <is>
          <t>17.21 vs 15.5</t>
        </is>
      </c>
      <c r="E462" s="2" t="inlineStr">
        <is>
          <t>%</t>
        </is>
      </c>
      <c r="F462" s="2" t="inlineStr">
        <is>
          <t>Eurostat nrg_ind_ren, retrieved 5 Oct 2026 (updated 15 Sep 2026); Malta final updated NECP, Table 3 (p.83)</t>
        </is>
      </c>
      <c r="G462" s="2" t="inlineStr">
        <is>
          <t>+1.71 points</t>
        </is>
      </c>
      <c r="H462" s="2" t="inlineStr"/>
    </row>
    <row r="463">
      <c r="A463" s="5" t="inlineStr">
        <is>
          <t>CC-024</t>
        </is>
      </c>
      <c r="B463" s="2" t="inlineStr">
        <is>
          <t>CC-024:4</t>
        </is>
      </c>
      <c r="C463" s="2" t="inlineStr">
        <is>
          <t>Malta RES share 2025: Eurostat vs plan's indicative target</t>
        </is>
      </c>
      <c r="D463" s="2" t="inlineStr">
        <is>
          <t>18.80 vs 16.5</t>
        </is>
      </c>
      <c r="E463" s="2" t="inlineStr">
        <is>
          <t>%</t>
        </is>
      </c>
      <c r="F463" s="2" t="inlineStr">
        <is>
          <t>Eurostat nrg_ind_ren, retrieved 5 Oct 2026 (updated 15 Sep 2026); Malta final updated NECP, Table 3 (p.83)</t>
        </is>
      </c>
      <c r="G463" s="2" t="inlineStr">
        <is>
          <t>+2.30 points (Eurostat flag p: provisional)</t>
        </is>
      </c>
      <c r="H463" s="2" t="inlineStr"/>
    </row>
    <row r="464">
      <c r="A464" s="5" t="inlineStr">
        <is>
          <t>CC-024</t>
        </is>
      </c>
      <c r="B464" s="2" t="inlineStr">
        <is>
          <t>CC-024:5</t>
        </is>
      </c>
      <c r="C464" s="2" t="inlineStr">
        <is>
          <t>Malta RES share 2025 (provisional) vs Commission reference point for 2025</t>
        </is>
      </c>
      <c r="D464" s="2" t="inlineStr">
        <is>
          <t>18.8 vs 18</t>
        </is>
      </c>
      <c r="E464" s="2" t="inlineStr">
        <is>
          <t>%</t>
        </is>
      </c>
      <c r="F464" s="2" t="inlineStr">
        <is>
          <t>Eurostat nrg_ind_ren, retrieved 5 Oct 2026 (updated 15 Sep 2026); Commission SWD(2025) 140 s.2.2</t>
        </is>
      </c>
      <c r="G464" s="2" t="inlineStr">
        <is>
          <t>+0.8 points; plan's own 2025 figure is 16.5% (below the 18% reference)</t>
        </is>
      </c>
      <c r="H464" s="2" t="inlineStr"/>
    </row>
    <row r="465">
      <c r="A465" s="5" t="inlineStr">
        <is>
          <t>CC-024</t>
        </is>
      </c>
      <c r="B465" s="2" t="inlineStr">
        <is>
          <t>CC-024:6</t>
        </is>
      </c>
      <c r="C465" s="2" t="inlineStr">
        <is>
          <t>Straight line 2020 outturn (10.71%) to 24.5% in 2030, value in 2024</t>
        </is>
      </c>
      <c r="D465" s="2" t="inlineStr">
        <is>
          <t>16.23</t>
        </is>
      </c>
      <c r="E465" s="2" t="inlineStr">
        <is>
          <t>%</t>
        </is>
      </c>
      <c r="F465" s="2" t="inlineStr">
        <is>
          <t>Eurostat nrg_ind_ren, retrieved 5 Oct 2026 (updated 15 Sep 2026); Malta final updated NECP, Table 3 (p.83)</t>
        </is>
      </c>
      <c r="G465" s="2" t="inlineStr">
        <is>
          <t>actual 17.21% = +0.98 points</t>
        </is>
      </c>
      <c r="H465" s="2" t="inlineStr"/>
    </row>
    <row r="466">
      <c r="A466" s="5" t="inlineStr">
        <is>
          <t>CC-024</t>
        </is>
      </c>
      <c r="B466" s="2" t="inlineStr">
        <is>
          <t>CC-024:7</t>
        </is>
      </c>
      <c r="C466" s="2" t="inlineStr">
        <is>
          <t>Straight line 2020 outturn (10.71%) to 24.5% in 2030, value in 2025</t>
        </is>
      </c>
      <c r="D466" s="2" t="inlineStr">
        <is>
          <t>17.61</t>
        </is>
      </c>
      <c r="E466" s="2" t="inlineStr">
        <is>
          <t>%</t>
        </is>
      </c>
      <c r="F466" s="2" t="inlineStr">
        <is>
          <t>Eurostat nrg_ind_ren, retrieved 5 Oct 2026 (updated 15 Sep 2026); Malta final updated NECP, Table 3 (p.83)</t>
        </is>
      </c>
      <c r="G466" s="2" t="inlineStr">
        <is>
          <t>actual 18.80% = +1.19 points</t>
        </is>
      </c>
      <c r="H466" s="2" t="inlineStr"/>
    </row>
    <row r="467">
      <c r="A467" s="5" t="inlineStr">
        <is>
          <t>CC-024</t>
        </is>
      </c>
      <c r="B467" s="2" t="inlineStr">
        <is>
          <t>CC-024:8</t>
        </is>
      </c>
      <c r="C467" s="2" t="inlineStr">
        <is>
          <t>Rise per year needed 2024 -&gt; 2030 to reach 24.5%</t>
        </is>
      </c>
      <c r="D467" s="2" t="inlineStr">
        <is>
          <t>1.21</t>
        </is>
      </c>
      <c r="E467" s="2" t="inlineStr">
        <is>
          <t>points/yr</t>
        </is>
      </c>
      <c r="F467" s="2" t="inlineStr">
        <is>
          <t>Eurostat nrg_ind_ren, retrieved 5 Oct 2026 (updated 15 Sep 2026); Malta final updated NECP, Table 3 (p.83)</t>
        </is>
      </c>
      <c r="G467" s="2" t="inlineStr"/>
      <c r="H467" s="2" t="inlineStr"/>
    </row>
    <row r="468">
      <c r="A468" s="5" t="inlineStr">
        <is>
          <t>CC-024</t>
        </is>
      </c>
      <c r="B468" s="2" t="inlineStr">
        <is>
          <t>CC-024:9</t>
        </is>
      </c>
      <c r="C468" s="2" t="inlineStr">
        <is>
          <t>Average rise per year 2020 -&gt; 2024</t>
        </is>
      </c>
      <c r="D468" s="2" t="inlineStr">
        <is>
          <t>1.62</t>
        </is>
      </c>
      <c r="E468" s="2" t="inlineStr">
        <is>
          <t>points/yr</t>
        </is>
      </c>
      <c r="F468" s="2" t="inlineStr">
        <is>
          <t>Eurostat nrg_ind_ren, retrieved 5 Oct 2026 (updated 15 Sep 2026)</t>
        </is>
      </c>
      <c r="G468" s="2" t="inlineStr"/>
      <c r="H468" s="2" t="inlineStr"/>
    </row>
    <row r="469">
      <c r="A469" s="5" t="inlineStr">
        <is>
          <t>CC-024</t>
        </is>
      </c>
      <c r="B469" s="2" t="inlineStr">
        <is>
          <t>CC-024:10</t>
        </is>
      </c>
      <c r="C469" s="2" t="inlineStr">
        <is>
          <t>Rise per year needed 2025 (provisional) -&gt; 2030</t>
        </is>
      </c>
      <c r="D469" s="2" t="inlineStr">
        <is>
          <t>1.14</t>
        </is>
      </c>
      <c r="E469" s="2" t="inlineStr">
        <is>
          <t>points/yr</t>
        </is>
      </c>
      <c r="F469" s="2" t="inlineStr">
        <is>
          <t>Eurostat nrg_ind_ren, retrieved 5 Oct 2026 (updated 15 Sep 2026); Malta final updated NECP, Table 3 (p.83)</t>
        </is>
      </c>
      <c r="G469" s="2" t="inlineStr"/>
      <c r="H469" s="2" t="inlineStr"/>
    </row>
    <row r="470">
      <c r="A470" s="5" t="inlineStr">
        <is>
          <t>CC-024</t>
        </is>
      </c>
      <c r="B470" s="2" t="inlineStr">
        <is>
          <t>CC-024:11</t>
        </is>
      </c>
      <c r="C470" s="2" t="inlineStr">
        <is>
          <t>Malta sector share, electricity: 2020 -&gt; 2024</t>
        </is>
      </c>
      <c r="D470" s="2" t="inlineStr">
        <is>
          <t>9.5 -&gt; 10.7</t>
        </is>
      </c>
      <c r="E470" s="2" t="inlineStr">
        <is>
          <t>%</t>
        </is>
      </c>
      <c r="F470" s="2" t="inlineStr">
        <is>
          <t>Eurostat nrg_ind_ren, retrieved 5 Oct 2026 (updated 15 Sep 2026)</t>
        </is>
      </c>
      <c r="G470" s="2" t="inlineStr">
        <is>
          <t>+1.2 points; EU-27 2024: 47.5%</t>
        </is>
      </c>
      <c r="H470" s="2" t="inlineStr"/>
    </row>
    <row r="471">
      <c r="A471" s="5" t="inlineStr">
        <is>
          <t>CC-024</t>
        </is>
      </c>
      <c r="B471" s="2" t="inlineStr">
        <is>
          <t>CC-024:12</t>
        </is>
      </c>
      <c r="C471" s="2" t="inlineStr">
        <is>
          <t>Malta sector share, heating and cooling: 2020 -&gt; 2024</t>
        </is>
      </c>
      <c r="D471" s="2" t="inlineStr">
        <is>
          <t>23.0 -&gt; 59.2</t>
        </is>
      </c>
      <c r="E471" s="2" t="inlineStr">
        <is>
          <t>%</t>
        </is>
      </c>
      <c r="F471" s="2" t="inlineStr">
        <is>
          <t>Eurostat nrg_ind_ren, retrieved 5 Oct 2026 (updated 15 Sep 2026)</t>
        </is>
      </c>
      <c r="G471" s="2" t="inlineStr">
        <is>
          <t>+36.2 points; EU-27 2024: 26.7%</t>
        </is>
      </c>
      <c r="H471" s="2" t="inlineStr"/>
    </row>
    <row r="472">
      <c r="A472" s="5" t="inlineStr">
        <is>
          <t>CC-024</t>
        </is>
      </c>
      <c r="B472" s="2" t="inlineStr">
        <is>
          <t>CC-024:13</t>
        </is>
      </c>
      <c r="C472" s="2" t="inlineStr">
        <is>
          <t>Malta sector share, transport: 2020 -&gt; 2024</t>
        </is>
      </c>
      <c r="D472" s="2" t="inlineStr">
        <is>
          <t>10.6 -&gt; 11.4</t>
        </is>
      </c>
      <c r="E472" s="2" t="inlineStr">
        <is>
          <t>%</t>
        </is>
      </c>
      <c r="F472" s="2" t="inlineStr">
        <is>
          <t>Eurostat nrg_ind_ren, retrieved 5 Oct 2026 (updated 15 Sep 2026)</t>
        </is>
      </c>
      <c r="G472" s="2" t="inlineStr">
        <is>
          <t>+0.8 points; EU-27 2024: 11.2%</t>
        </is>
      </c>
      <c r="H472" s="2" t="inlineStr"/>
    </row>
    <row r="473">
      <c r="A473" s="5" t="inlineStr">
        <is>
          <t>CC-024</t>
        </is>
      </c>
      <c r="B473" s="2" t="inlineStr">
        <is>
          <t>CC-024:14</t>
        </is>
      </c>
      <c r="C473" s="2" t="inlineStr">
        <is>
          <t>Malta electricity share, 2022 -&gt; 2024</t>
        </is>
      </c>
      <c r="D473" s="2" t="inlineStr">
        <is>
          <t>10.1 -&gt; 10.7</t>
        </is>
      </c>
      <c r="E473" s="2" t="inlineStr">
        <is>
          <t>%</t>
        </is>
      </c>
      <c r="F473" s="2" t="inlineStr">
        <is>
          <t>Eurostat nrg_ind_ren, retrieved 5 Oct 2026 (updated 15 Sep 2026)</t>
        </is>
      </c>
      <c r="G473" s="2" t="inlineStr">
        <is>
          <t>about one point in four years (9.5% in 2020)</t>
        </is>
      </c>
      <c r="H473" s="2" t="inlineStr"/>
    </row>
    <row r="474">
      <c r="A474" s="5" t="inlineStr">
        <is>
          <t>CC-024</t>
        </is>
      </c>
      <c r="B474" s="2" t="inlineStr">
        <is>
          <t>CC-024:15</t>
        </is>
      </c>
      <c r="C474" s="2" t="inlineStr">
        <is>
          <t>Cyprus total RES share 2020 -&gt; 2024 (island comparator)</t>
        </is>
      </c>
      <c r="D474" s="2" t="inlineStr">
        <is>
          <t>16.9 -&gt; 20.8</t>
        </is>
      </c>
      <c r="E474" s="2" t="inlineStr">
        <is>
          <t>%</t>
        </is>
      </c>
      <c r="F474" s="2" t="inlineStr">
        <is>
          <t>Eurostat nrg_ind_ren, retrieved 5 Oct 2026 (updated 15 Sep 2026)</t>
        </is>
      </c>
      <c r="G474" s="2" t="inlineStr">
        <is>
          <t>Cyprus reached 20.8% in 2024; EU-27 25.2%; Malta 17.2%</t>
        </is>
      </c>
      <c r="H474" s="2" t="inlineStr"/>
    </row>
    <row r="475">
      <c r="A475" s="5" t="inlineStr">
        <is>
          <t>CC-024</t>
        </is>
      </c>
      <c r="B475" s="2" t="inlineStr">
        <is>
          <t>CC-024:16</t>
        </is>
      </c>
      <c r="C475" s="2" t="inlineStr">
        <is>
          <t>Solar PV capacity end-2024</t>
        </is>
      </c>
      <c r="D475" s="2" t="inlineStr">
        <is>
          <t>252.255</t>
        </is>
      </c>
      <c r="E475" s="2" t="inlineStr">
        <is>
          <t>MWp</t>
        </is>
      </c>
      <c r="F475" s="2" t="inlineStr">
        <is>
          <t>NSO NR 111/2025 (second-hand)</t>
        </is>
      </c>
      <c r="G475" s="2" t="inlineStr">
        <is>
          <t>plan: 241 MWp end-2023 (p.74)</t>
        </is>
      </c>
      <c r="H475" s="2" t="inlineStr"/>
    </row>
    <row r="476">
      <c r="A476" s="5" t="inlineStr">
        <is>
          <t>CC-024</t>
        </is>
      </c>
      <c r="B476" s="2" t="inlineStr">
        <is>
          <t>CC-024:17</t>
        </is>
      </c>
      <c r="C476" s="2" t="inlineStr">
        <is>
          <t>Implied end-2023 capacity from NSO's +4.8%</t>
        </is>
      </c>
      <c r="D476" s="2" t="inlineStr">
        <is>
          <t>240.7</t>
        </is>
      </c>
      <c r="E476" s="2" t="inlineStr">
        <is>
          <t>MWp</t>
        </is>
      </c>
      <c r="F476" s="2" t="inlineStr">
        <is>
          <t>calculated</t>
        </is>
      </c>
      <c r="G476" s="2" t="inlineStr">
        <is>
          <t>matches the plan's 241 MWp</t>
        </is>
      </c>
      <c r="H476" s="2" t="inlineStr"/>
    </row>
    <row r="477">
      <c r="A477" s="5" t="inlineStr">
        <is>
          <t>CC-024</t>
        </is>
      </c>
      <c r="B477" s="2" t="inlineStr">
        <is>
          <t>CC-024:18</t>
        </is>
      </c>
      <c r="C477" s="2" t="inlineStr">
        <is>
          <t>Net PV added in 2024</t>
        </is>
      </c>
      <c r="D477" s="2" t="inlineStr">
        <is>
          <t>11.53</t>
        </is>
      </c>
      <c r="E477" s="2" t="inlineStr">
        <is>
          <t>MWp</t>
        </is>
      </c>
      <c r="F477" s="2" t="inlineStr">
        <is>
          <t>NSO NR 111/2025 (second-hand)</t>
        </is>
      </c>
      <c r="G477" s="2" t="inlineStr">
        <is>
          <t>11.792 connected minus 0.262 decommissioned</t>
        </is>
      </c>
      <c r="H477" s="2" t="inlineStr"/>
    </row>
    <row r="478">
      <c r="A478" s="5" t="inlineStr">
        <is>
          <t>CC-024</t>
        </is>
      </c>
      <c r="B478" s="2" t="inlineStr">
        <is>
          <t>CC-024:19</t>
        </is>
      </c>
      <c r="C478" s="2" t="inlineStr">
        <is>
          <t>PV capacity to add per year 2024-2030 to reach 350 MWp (plan figures only)</t>
        </is>
      </c>
      <c r="D478" s="2" t="inlineStr">
        <is>
          <t>15.6</t>
        </is>
      </c>
      <c r="E478" s="2" t="inlineStr">
        <is>
          <t>MWp/yr</t>
        </is>
      </c>
      <c r="F478" s="2" t="inlineStr">
        <is>
          <t>calculated from Malta final updated NECP, Table 3 (p.83) pp.74, 84</t>
        </is>
      </c>
      <c r="G478" s="2" t="inlineStr">
        <is>
          <t>(350 - 241) / 7 years; uses no second-hand figure</t>
        </is>
      </c>
      <c r="H478" s="2" t="inlineStr"/>
    </row>
    <row r="479">
      <c r="A479" s="5" t="inlineStr">
        <is>
          <t>CC-024</t>
        </is>
      </c>
      <c r="B479" s="2" t="inlineStr">
        <is>
          <t>CC-024:20</t>
        </is>
      </c>
      <c r="C479" s="2" t="inlineStr">
        <is>
          <t>PV capacity to add per year 2025-2030 to reach 350 MWp (SECOND-HAND start point)</t>
        </is>
      </c>
      <c r="D479" s="2" t="inlineStr">
        <is>
          <t>16.3</t>
        </is>
      </c>
      <c r="E479" s="2" t="inlineStr">
        <is>
          <t>MWp/yr</t>
        </is>
      </c>
      <c r="F479" s="2" t="inlineStr">
        <is>
          <t>calculated from NSO (second-hand) and Malta final updated NECP, Table 3 (p.83)</t>
        </is>
      </c>
      <c r="G479" s="2" t="inlineStr">
        <is>
          <t>1.41 times the net addition of 2024</t>
        </is>
      </c>
      <c r="H479" s="2" t="inlineStr"/>
    </row>
    <row r="480">
      <c r="A480" s="5" t="inlineStr">
        <is>
          <t>CC-024</t>
        </is>
      </c>
      <c r="B480" s="2" t="inlineStr">
        <is>
          <t>CC-024:21</t>
        </is>
      </c>
      <c r="C480" s="2" t="inlineStr">
        <is>
          <t>PV output per kWp installed, 2024</t>
        </is>
      </c>
      <c r="D480" s="2" t="inlineStr">
        <is>
          <t>1294</t>
        </is>
      </c>
      <c r="E480" s="2" t="inlineStr">
        <is>
          <t>kWh/kWp</t>
        </is>
      </c>
      <c r="F480" s="2" t="inlineStr">
        <is>
          <t>calculated from NSO NR 111/2025 (second-hand)</t>
        </is>
      </c>
      <c r="G480" s="2" t="inlineStr">
        <is>
          <t>SECOND-HAND inputs; grid-connected generation divided by END-year capacity, so it understates yield per kWp (capacity added during 2024 produced for part of the year only)</t>
        </is>
      </c>
      <c r="H480" s="2" t="inlineStr"/>
    </row>
    <row r="481">
      <c r="A481" s="5" t="inlineStr">
        <is>
          <t>CC-024</t>
        </is>
      </c>
      <c r="B481" s="2" t="inlineStr">
        <is>
          <t>CC-024:22</t>
        </is>
      </c>
      <c r="C481" s="2" t="inlineStr">
        <is>
          <t>PV output in 2030 at 350 MWp and the 2024 yield</t>
        </is>
      </c>
      <c r="D481" s="2" t="inlineStr">
        <is>
          <t>453</t>
        </is>
      </c>
      <c r="E481" s="2" t="inlineStr">
        <is>
          <t>GWh</t>
        </is>
      </c>
      <c r="F481" s="2" t="inlineStr">
        <is>
          <t>calculated</t>
        </is>
      </c>
      <c r="G481" s="2" t="inlineStr">
        <is>
          <t>SECOND-HAND, understated yield; vs 326.5 GWh in 2024</t>
        </is>
      </c>
      <c r="H481" s="2" t="inlineStr"/>
    </row>
    <row r="482">
      <c r="A482" s="5" t="inlineStr">
        <is>
          <t>CC-024</t>
        </is>
      </c>
      <c r="B482" s="2" t="inlineStr">
        <is>
          <t>CC-024:23</t>
        </is>
      </c>
      <c r="C482" s="2" t="inlineStr">
        <is>
          <t>Offshore wind counted in the 24.5% contribution</t>
        </is>
      </c>
      <c r="D482" s="2" t="inlineStr">
        <is>
          <t>0</t>
        </is>
      </c>
      <c r="E482" s="2" t="inlineStr">
        <is>
          <t>MW</t>
        </is>
      </c>
      <c r="F482" s="2" t="inlineStr">
        <is>
          <t>Malta final updated NECP p.83</t>
        </is>
      </c>
      <c r="G482" s="2" t="inlineStr">
        <is>
          <t>"offshore wind does not contribute ... as it is not envisaged to be completed and commissioned by 2030"</t>
        </is>
      </c>
      <c r="H482" s="2" t="inlineStr"/>
    </row>
    <row r="483">
      <c r="A483" s="5" t="inlineStr">
        <is>
          <t>CC-024</t>
        </is>
      </c>
      <c r="B483" s="2" t="inlineStr">
        <is>
          <t>CC-024:24</t>
        </is>
      </c>
      <c r="C483" s="2" t="inlineStr">
        <is>
          <t>Plan's offshore capacity figure</t>
        </is>
      </c>
      <c r="D483" s="2" t="inlineStr">
        <is>
          <t>350 MW by 2030 (p.25) / by 2050 (p.78)</t>
        </is>
      </c>
      <c r="E483" s="2" t="inlineStr"/>
      <c r="F483" s="2" t="inlineStr">
        <is>
          <t>Malta final updated NECP</t>
        </is>
      </c>
      <c r="G483" s="2" t="inlineStr">
        <is>
          <t>non-binding TEN-E commitment; the plan gives both dates</t>
        </is>
      </c>
      <c r="H483" s="2" t="inlineStr"/>
    </row>
    <row r="484">
      <c r="A484" s="5" t="inlineStr">
        <is>
          <t>CC-024</t>
        </is>
      </c>
      <c r="B484" s="2" t="inlineStr">
        <is>
          <t>CC-024:25</t>
        </is>
      </c>
      <c r="C484" s="2" t="inlineStr">
        <is>
          <t>Plan 2030 contribution vs Commission formula</t>
        </is>
      </c>
      <c r="D484" s="2" t="inlineStr">
        <is>
          <t>24.5 vs 28</t>
        </is>
      </c>
      <c r="E484" s="2" t="inlineStr">
        <is>
          <t>%</t>
        </is>
      </c>
      <c r="F484" s="2" t="inlineStr">
        <is>
          <t>NECP p.83; Commission SWD(2025) 140 s.2.2</t>
        </is>
      </c>
      <c r="G484" s="2" t="inlineStr">
        <is>
          <t>3.5 points below</t>
        </is>
      </c>
      <c r="H484" s="2" t="inlineStr"/>
    </row>
    <row r="485">
      <c r="A485" s="5" t="inlineStr">
        <is>
          <t>CC-024</t>
        </is>
      </c>
      <c r="B485" s="2" t="inlineStr">
        <is>
          <t>CC-024:26</t>
        </is>
      </c>
      <c r="C485" s="2" t="inlineStr">
        <is>
          <t>Plan's own trajectory vs Commission reference points</t>
        </is>
      </c>
      <c r="D485" s="2" t="inlineStr">
        <is>
          <t>16.5 vs 18 (2025); 20.7 vs 22 (2027)</t>
        </is>
      </c>
      <c r="E485" s="2" t="inlineStr">
        <is>
          <t>%</t>
        </is>
      </c>
      <c r="F485" s="2" t="inlineStr">
        <is>
          <t>NECP p.83; Commission s.2.2</t>
        </is>
      </c>
      <c r="G485" s="2" t="inlineStr">
        <is>
          <t>below</t>
        </is>
      </c>
      <c r="H485" s="2" t="inlineStr"/>
    </row>
    <row r="486">
      <c r="A486" s="5" t="inlineStr">
        <is>
          <t>CC-024</t>
        </is>
      </c>
      <c r="B486" s="2" t="inlineStr">
        <is>
          <t>CC-024:27</t>
        </is>
      </c>
      <c r="C486" s="2" t="inlineStr">
        <is>
          <t>Eurostat 2022 RES share now vs in the plan</t>
        </is>
      </c>
      <c r="D486" s="2" t="inlineStr">
        <is>
          <t>14.04 vs 13.4</t>
        </is>
      </c>
      <c r="E486" s="2" t="inlineStr">
        <is>
          <t>%</t>
        </is>
      </c>
      <c r="F486" s="2" t="inlineStr">
        <is>
          <t>Eurostat nrg_ind_ren, retrieved 5 Oct 2026 (updated 15 Sep 2026); NECP p.279</t>
        </is>
      </c>
      <c r="G486" s="2" t="inlineStr">
        <is>
          <t>the two differ; the plan used the SHARES figure available in 2024, Eurostat has since published a higher one</t>
        </is>
      </c>
      <c r="H486" s="2" t="inlineStr"/>
    </row>
    <row r="487">
      <c r="A487" s="5" t="inlineStr">
        <is>
          <t>CC-025</t>
        </is>
      </c>
      <c r="B487" s="2" t="inlineStr">
        <is>
          <t>CC-025:2</t>
        </is>
      </c>
      <c r="C487" s="2" t="inlineStr">
        <is>
          <t>Malta: per-person GHG change 2005-2023</t>
        </is>
      </c>
      <c r="D487" s="2" t="inlineStr">
        <is>
          <t>-46.1</t>
        </is>
      </c>
      <c r="E487" s="2" t="inlineStr">
        <is>
          <t>%</t>
        </is>
      </c>
      <c r="F487" s="2" t="inlineStr">
        <is>
          <t>Eurostat env_air_gge, nama_10_gdp, nama_10_pe, retrieved 5 Oct 2026</t>
        </is>
      </c>
      <c r="G487" s="2" t="inlineStr">
        <is>
          <t>7.40 t -&gt; 3.99 t per person; total excl. LULUCF and international transport</t>
        </is>
      </c>
      <c r="H487" s="2" t="inlineStr"/>
    </row>
    <row r="488">
      <c r="A488" s="5" t="inlineStr">
        <is>
          <t>CC-025</t>
        </is>
      </c>
      <c r="B488" s="2" t="inlineStr">
        <is>
          <t>CC-025:3</t>
        </is>
      </c>
      <c r="C488" s="2" t="inlineStr">
        <is>
          <t>Malta: GHG per unit of GDP, chain-linked volumes (2020 prices), change 2005-2023</t>
        </is>
      </c>
      <c r="D488" s="2" t="inlineStr">
        <is>
          <t>-70.2</t>
        </is>
      </c>
      <c r="E488" s="2" t="inlineStr">
        <is>
          <t>%</t>
        </is>
      </c>
      <c r="F488" s="2" t="inlineStr">
        <is>
          <t>Eurostat env_air_gge, nama_10_gdp, nama_10_pe, retrieved 5 Oct 2026</t>
        </is>
      </c>
      <c r="G488" s="2" t="inlineStr">
        <is>
          <t>0.408 -&gt; 0.122 kt CO2e per MEUR</t>
        </is>
      </c>
      <c r="H488" s="2" t="inlineStr"/>
    </row>
    <row r="489">
      <c r="A489" s="5" t="inlineStr">
        <is>
          <t>CC-025</t>
        </is>
      </c>
      <c r="B489" s="2" t="inlineStr">
        <is>
          <t>CC-025:4</t>
        </is>
      </c>
      <c r="C489" s="2" t="inlineStr">
        <is>
          <t>Malta: GHG per unit of GDP, current prices, change 2005-2023</t>
        </is>
      </c>
      <c r="D489" s="2" t="inlineStr">
        <is>
          <t>-81.9</t>
        </is>
      </c>
      <c r="E489" s="2" t="inlineStr">
        <is>
          <t>%</t>
        </is>
      </c>
      <c r="F489" s="2" t="inlineStr">
        <is>
          <t>Eurostat env_air_gge, nama_10_gdp, nama_10_pe, retrieved 5 Oct 2026</t>
        </is>
      </c>
      <c r="G489" s="2" t="inlineStr">
        <is>
          <t>0.582 -&gt; 0.106 kt CO2e per MEUR</t>
        </is>
      </c>
      <c r="H489" s="2" t="inlineStr"/>
    </row>
    <row r="490">
      <c r="A490" s="5" t="inlineStr">
        <is>
          <t>CC-025</t>
        </is>
      </c>
      <c r="B490" s="2" t="inlineStr">
        <is>
          <t>CC-025:5</t>
        </is>
      </c>
      <c r="C490" s="2" t="inlineStr">
        <is>
          <t>Malta: total GHG change 2005-2023</t>
        </is>
      </c>
      <c r="D490" s="2" t="inlineStr">
        <is>
          <t>-26.1</t>
        </is>
      </c>
      <c r="E490" s="2" t="inlineStr">
        <is>
          <t>%</t>
        </is>
      </c>
      <c r="F490" s="2" t="inlineStr">
        <is>
          <t>Eurostat env_air_gge, nama_10_gdp, nama_10_pe, retrieved 5 Oct 2026</t>
        </is>
      </c>
      <c r="G490" s="2" t="inlineStr">
        <is>
          <t>2.987 -&gt; 2.207 Mt CO2e</t>
        </is>
      </c>
      <c r="H490" s="2" t="inlineStr"/>
    </row>
    <row r="491">
      <c r="A491" s="5" t="inlineStr">
        <is>
          <t>CC-025</t>
        </is>
      </c>
      <c r="B491" s="2" t="inlineStr">
        <is>
          <t>CC-025:6</t>
        </is>
      </c>
      <c r="C491" s="2" t="inlineStr">
        <is>
          <t>Malta: real GDP change 2005-2023</t>
        </is>
      </c>
      <c r="D491" s="2" t="inlineStr">
        <is>
          <t>147.8</t>
        </is>
      </c>
      <c r="E491" s="2" t="inlineStr">
        <is>
          <t>%</t>
        </is>
      </c>
      <c r="F491" s="2" t="inlineStr">
        <is>
          <t>Eurostat env_air_gge, nama_10_gdp, nama_10_pe, retrieved 5 Oct 2026</t>
        </is>
      </c>
      <c r="G491" s="2" t="inlineStr">
        <is>
          <t>chain-linked volumes, 2020 prices</t>
        </is>
      </c>
      <c r="H491" s="2" t="inlineStr"/>
    </row>
    <row r="492">
      <c r="A492" s="5" t="inlineStr">
        <is>
          <t>CC-025</t>
        </is>
      </c>
      <c r="B492" s="2" t="inlineStr">
        <is>
          <t>CC-025:7</t>
        </is>
      </c>
      <c r="C492" s="2" t="inlineStr">
        <is>
          <t>Malta: nominal GDP change 2005-2023</t>
        </is>
      </c>
      <c r="D492" s="2" t="inlineStr">
        <is>
          <t>307.4</t>
        </is>
      </c>
      <c r="E492" s="2" t="inlineStr">
        <is>
          <t>%</t>
        </is>
      </c>
      <c r="F492" s="2" t="inlineStr">
        <is>
          <t>Eurostat env_air_gge, nama_10_gdp, nama_10_pe, retrieved 5 Oct 2026</t>
        </is>
      </c>
      <c r="G492" s="2" t="inlineStr">
        <is>
          <t>current prices</t>
        </is>
      </c>
      <c r="H492" s="2" t="inlineStr"/>
    </row>
    <row r="493">
      <c r="A493" s="5" t="inlineStr">
        <is>
          <t>CC-025</t>
        </is>
      </c>
      <c r="B493" s="2" t="inlineStr">
        <is>
          <t>CC-025:8</t>
        </is>
      </c>
      <c r="C493" s="2" t="inlineStr">
        <is>
          <t>Malta: implied GDP price change 2005-2023</t>
        </is>
      </c>
      <c r="D493" s="2" t="inlineStr">
        <is>
          <t>64.4</t>
        </is>
      </c>
      <c r="E493" s="2" t="inlineStr">
        <is>
          <t>%</t>
        </is>
      </c>
      <c r="F493" s="2" t="inlineStr">
        <is>
          <t>Eurostat env_air_gge, nama_10_gdp, nama_10_pe, retrieved 5 Oct 2026</t>
        </is>
      </c>
      <c r="G493" s="2" t="inlineStr">
        <is>
          <t>nominal / real GDP: price effect that separates the two intensity measures</t>
        </is>
      </c>
      <c r="H493" s="2" t="inlineStr"/>
    </row>
    <row r="494">
      <c r="A494" s="5" t="inlineStr">
        <is>
          <t>CC-025</t>
        </is>
      </c>
      <c r="B494" s="2" t="inlineStr">
        <is>
          <t>CC-025:9</t>
        </is>
      </c>
      <c r="C494" s="2" t="inlineStr">
        <is>
          <t>Malta: per-person GHG change 2005-2024</t>
        </is>
      </c>
      <c r="D494" s="2" t="inlineStr">
        <is>
          <t>-48.5</t>
        </is>
      </c>
      <c r="E494" s="2" t="inlineStr">
        <is>
          <t>%</t>
        </is>
      </c>
      <c r="F494" s="2" t="inlineStr">
        <is>
          <t>Eurostat env_air_gge, nama_10_gdp, nama_10_pe, retrieved 5 Oct 2026</t>
        </is>
      </c>
      <c r="G494" s="2" t="inlineStr">
        <is>
          <t>7.40 t -&gt; 3.81 t per person; total excl. LULUCF and international transport</t>
        </is>
      </c>
      <c r="H494" s="2" t="inlineStr"/>
    </row>
    <row r="495">
      <c r="A495" s="5" t="inlineStr">
        <is>
          <t>CC-025</t>
        </is>
      </c>
      <c r="B495" s="2" t="inlineStr">
        <is>
          <t>CC-025:10</t>
        </is>
      </c>
      <c r="C495" s="2" t="inlineStr">
        <is>
          <t>Malta: GHG per unit of GDP, chain-linked volumes (2020 prices), change 2005-2024</t>
        </is>
      </c>
      <c r="D495" s="2" t="inlineStr">
        <is>
          <t>-72.2</t>
        </is>
      </c>
      <c r="E495" s="2" t="inlineStr">
        <is>
          <t>%</t>
        </is>
      </c>
      <c r="F495" s="2" t="inlineStr">
        <is>
          <t>Eurostat env_air_gge, nama_10_gdp, nama_10_pe, retrieved 5 Oct 2026</t>
        </is>
      </c>
      <c r="G495" s="2" t="inlineStr">
        <is>
          <t>0.408 -&gt; 0.114 kt CO2e per MEUR</t>
        </is>
      </c>
      <c r="H495" s="2" t="inlineStr"/>
    </row>
    <row r="496">
      <c r="A496" s="5" t="inlineStr">
        <is>
          <t>CC-025</t>
        </is>
      </c>
      <c r="B496" s="2" t="inlineStr">
        <is>
          <t>CC-025:11</t>
        </is>
      </c>
      <c r="C496" s="2" t="inlineStr">
        <is>
          <t>Malta: GHG per unit of GDP, current prices, change 2005-2024</t>
        </is>
      </c>
      <c r="D496" s="2" t="inlineStr">
        <is>
          <t>-83.8</t>
        </is>
      </c>
      <c r="E496" s="2" t="inlineStr">
        <is>
          <t>%</t>
        </is>
      </c>
      <c r="F496" s="2" t="inlineStr">
        <is>
          <t>Eurostat env_air_gge, nama_10_gdp, nama_10_pe, retrieved 5 Oct 2026</t>
        </is>
      </c>
      <c r="G496" s="2" t="inlineStr">
        <is>
          <t>0.582 -&gt; 0.094 kt CO2e per MEUR</t>
        </is>
      </c>
      <c r="H496" s="2" t="inlineStr"/>
    </row>
    <row r="497">
      <c r="A497" s="5" t="inlineStr">
        <is>
          <t>CC-025</t>
        </is>
      </c>
      <c r="B497" s="2" t="inlineStr">
        <is>
          <t>CC-025:12</t>
        </is>
      </c>
      <c r="C497" s="2" t="inlineStr">
        <is>
          <t>Malta: total GHG change 2005-2024</t>
        </is>
      </c>
      <c r="D497" s="2" t="inlineStr">
        <is>
          <t>-27.4</t>
        </is>
      </c>
      <c r="E497" s="2" t="inlineStr">
        <is>
          <t>%</t>
        </is>
      </c>
      <c r="F497" s="2" t="inlineStr">
        <is>
          <t>Eurostat env_air_gge, nama_10_gdp, nama_10_pe, retrieved 5 Oct 2026</t>
        </is>
      </c>
      <c r="G497" s="2" t="inlineStr">
        <is>
          <t>2.987 -&gt; 2.170 Mt CO2e</t>
        </is>
      </c>
      <c r="H497" s="2" t="inlineStr"/>
    </row>
    <row r="498">
      <c r="A498" s="5" t="inlineStr">
        <is>
          <t>CC-025</t>
        </is>
      </c>
      <c r="B498" s="2" t="inlineStr">
        <is>
          <t>CC-025:13</t>
        </is>
      </c>
      <c r="C498" s="2" t="inlineStr">
        <is>
          <t>Malta: real GDP change 2005-2024</t>
        </is>
      </c>
      <c r="D498" s="2" t="inlineStr">
        <is>
          <t>160.9</t>
        </is>
      </c>
      <c r="E498" s="2" t="inlineStr">
        <is>
          <t>%</t>
        </is>
      </c>
      <c r="F498" s="2" t="inlineStr">
        <is>
          <t>Eurostat env_air_gge, nama_10_gdp, nama_10_pe, retrieved 5 Oct 2026</t>
        </is>
      </c>
      <c r="G498" s="2" t="inlineStr">
        <is>
          <t>chain-linked volumes, 2020 prices</t>
        </is>
      </c>
      <c r="H498" s="2" t="inlineStr"/>
    </row>
    <row r="499">
      <c r="A499" s="5" t="inlineStr">
        <is>
          <t>CC-025</t>
        </is>
      </c>
      <c r="B499" s="2" t="inlineStr">
        <is>
          <t>CC-025:14</t>
        </is>
      </c>
      <c r="C499" s="2" t="inlineStr">
        <is>
          <t>Malta: nominal GDP change 2005-2024</t>
        </is>
      </c>
      <c r="D499" s="2" t="inlineStr">
        <is>
          <t>349.6</t>
        </is>
      </c>
      <c r="E499" s="2" t="inlineStr">
        <is>
          <t>%</t>
        </is>
      </c>
      <c r="F499" s="2" t="inlineStr">
        <is>
          <t>Eurostat env_air_gge, nama_10_gdp, nama_10_pe, retrieved 5 Oct 2026</t>
        </is>
      </c>
      <c r="G499" s="2" t="inlineStr">
        <is>
          <t>current prices</t>
        </is>
      </c>
      <c r="H499" s="2" t="inlineStr"/>
    </row>
    <row r="500">
      <c r="A500" s="5" t="inlineStr">
        <is>
          <t>CC-025</t>
        </is>
      </c>
      <c r="B500" s="2" t="inlineStr">
        <is>
          <t>CC-025:15</t>
        </is>
      </c>
      <c r="C500" s="2" t="inlineStr">
        <is>
          <t>Malta: implied GDP price change 2005-2024</t>
        </is>
      </c>
      <c r="D500" s="2" t="inlineStr">
        <is>
          <t>72.3</t>
        </is>
      </c>
      <c r="E500" s="2" t="inlineStr">
        <is>
          <t>%</t>
        </is>
      </c>
      <c r="F500" s="2" t="inlineStr">
        <is>
          <t>Eurostat env_air_gge, nama_10_gdp, nama_10_pe, retrieved 5 Oct 2026</t>
        </is>
      </c>
      <c r="G500" s="2" t="inlineStr">
        <is>
          <t>nominal / real GDP: price effect that separates the two intensity measures</t>
        </is>
      </c>
      <c r="H500" s="2" t="inlineStr"/>
    </row>
    <row r="501">
      <c r="A501" s="5" t="inlineStr">
        <is>
          <t>CC-025</t>
        </is>
      </c>
      <c r="B501" s="2" t="inlineStr">
        <is>
          <t>CC-025:16</t>
        </is>
      </c>
      <c r="C501" s="2" t="inlineStr">
        <is>
          <t>Malta: population change 2005-2024</t>
        </is>
      </c>
      <c r="D501" s="2" t="inlineStr">
        <is>
          <t>40.9</t>
        </is>
      </c>
      <c r="E501" s="2" t="inlineStr">
        <is>
          <t>%</t>
        </is>
      </c>
      <c r="F501" s="2" t="inlineStr">
        <is>
          <t>Eurostat env_air_gge, nama_10_gdp, nama_10_pe, retrieved 5 Oct 2026</t>
        </is>
      </c>
      <c r="G501" s="2" t="inlineStr">
        <is>
          <t>403.9 -&gt; 569.2 thousand</t>
        </is>
      </c>
      <c r="H501" s="2" t="inlineStr"/>
    </row>
    <row r="502">
      <c r="A502" s="5" t="inlineStr">
        <is>
          <t>CC-025</t>
        </is>
      </c>
      <c r="B502" s="2" t="inlineStr">
        <is>
          <t>CC-025:17</t>
        </is>
      </c>
      <c r="C502" s="2" t="inlineStr">
        <is>
          <t>Malta: GHG intensity (volumes) average annual change 2005-2024</t>
        </is>
      </c>
      <c r="D502" s="2" t="inlineStr">
        <is>
          <t>-6.51</t>
        </is>
      </c>
      <c r="E502" s="2" t="inlineStr">
        <is>
          <t>%/yr</t>
        </is>
      </c>
      <c r="F502" s="2" t="inlineStr">
        <is>
          <t>Eurostat env_air_gge, nama_10_gdp, nama_10_pe, retrieved 5 Oct 2026</t>
        </is>
      </c>
      <c r="G502" s="2" t="inlineStr"/>
      <c r="H502" s="2" t="inlineStr"/>
    </row>
    <row r="503">
      <c r="A503" s="5" t="inlineStr">
        <is>
          <t>CC-025</t>
        </is>
      </c>
      <c r="B503" s="2" t="inlineStr">
        <is>
          <t>CC-025:18</t>
        </is>
      </c>
      <c r="C503" s="2" t="inlineStr">
        <is>
          <t>EU-27: per-person GHG change 2005-2023</t>
        </is>
      </c>
      <c r="D503" s="2" t="inlineStr">
        <is>
          <t>-34.3</t>
        </is>
      </c>
      <c r="E503" s="2" t="inlineStr">
        <is>
          <t>%</t>
        </is>
      </c>
      <c r="F503" s="2" t="inlineStr">
        <is>
          <t>Eurostat env_air_gge, nama_10_gdp, nama_10_pe, retrieved 5 Oct 2026</t>
        </is>
      </c>
      <c r="G503" s="2" t="inlineStr">
        <is>
          <t>10.45 t -&gt; 6.87 t per person; total excl. LULUCF and international transport</t>
        </is>
      </c>
      <c r="H503" s="2" t="inlineStr"/>
    </row>
    <row r="504">
      <c r="A504" s="5" t="inlineStr">
        <is>
          <t>CC-025</t>
        </is>
      </c>
      <c r="B504" s="2" t="inlineStr">
        <is>
          <t>CC-025:19</t>
        </is>
      </c>
      <c r="C504" s="2" t="inlineStr">
        <is>
          <t>EU-27: GHG per unit of GDP, chain-linked volumes (2020 prices), change 2005-2023</t>
        </is>
      </c>
      <c r="D504" s="2" t="inlineStr">
        <is>
          <t>-45.9</t>
        </is>
      </c>
      <c r="E504" s="2" t="inlineStr">
        <is>
          <t>%</t>
        </is>
      </c>
      <c r="F504" s="2" t="inlineStr">
        <is>
          <t>Eurostat env_air_gge, nama_10_gdp, nama_10_pe, retrieved 5 Oct 2026</t>
        </is>
      </c>
      <c r="G504" s="2" t="inlineStr">
        <is>
          <t>0.379 -&gt; 0.205 kt CO2e per MEUR</t>
        </is>
      </c>
      <c r="H504" s="2" t="inlineStr"/>
    </row>
    <row r="505">
      <c r="A505" s="5" t="inlineStr">
        <is>
          <t>CC-025</t>
        </is>
      </c>
      <c r="B505" s="2" t="inlineStr">
        <is>
          <t>CC-025:20</t>
        </is>
      </c>
      <c r="C505" s="2" t="inlineStr">
        <is>
          <t>EU-27: GHG per unit of GDP, current prices, change 2005-2023</t>
        </is>
      </c>
      <c r="D505" s="2" t="inlineStr">
        <is>
          <t>-62.2</t>
        </is>
      </c>
      <c r="E505" s="2" t="inlineStr">
        <is>
          <t>%</t>
        </is>
      </c>
      <c r="F505" s="2" t="inlineStr">
        <is>
          <t>Eurostat env_air_gge, nama_10_gdp, nama_10_pe, retrieved 5 Oct 2026</t>
        </is>
      </c>
      <c r="G505" s="2" t="inlineStr">
        <is>
          <t>0.473 -&gt; 0.179 kt CO2e per MEUR</t>
        </is>
      </c>
      <c r="H505" s="2" t="inlineStr"/>
    </row>
    <row r="506">
      <c r="A506" s="5" t="inlineStr">
        <is>
          <t>CC-025</t>
        </is>
      </c>
      <c r="B506" s="2" t="inlineStr">
        <is>
          <t>CC-025:21</t>
        </is>
      </c>
      <c r="C506" s="2" t="inlineStr">
        <is>
          <t>EU-27: total GHG change 2005-2023</t>
        </is>
      </c>
      <c r="D506" s="2" t="inlineStr">
        <is>
          <t>-31.9</t>
        </is>
      </c>
      <c r="E506" s="2" t="inlineStr">
        <is>
          <t>%</t>
        </is>
      </c>
      <c r="F506" s="2" t="inlineStr">
        <is>
          <t>Eurostat env_air_gge, nama_10_gdp, nama_10_pe, retrieved 5 Oct 2026</t>
        </is>
      </c>
      <c r="G506" s="2" t="inlineStr">
        <is>
          <t>4537.092 -&gt; 3088.347 Mt CO2e</t>
        </is>
      </c>
      <c r="H506" s="2" t="inlineStr"/>
    </row>
    <row r="507">
      <c r="A507" s="5" t="inlineStr">
        <is>
          <t>CC-025</t>
        </is>
      </c>
      <c r="B507" s="2" t="inlineStr">
        <is>
          <t>CC-025:22</t>
        </is>
      </c>
      <c r="C507" s="2" t="inlineStr">
        <is>
          <t>EU-27: real GDP change 2005-2023</t>
        </is>
      </c>
      <c r="D507" s="2" t="inlineStr">
        <is>
          <t>25.9</t>
        </is>
      </c>
      <c r="E507" s="2" t="inlineStr">
        <is>
          <t>%</t>
        </is>
      </c>
      <c r="F507" s="2" t="inlineStr">
        <is>
          <t>Eurostat env_air_gge, nama_10_gdp, nama_10_pe, retrieved 5 Oct 2026</t>
        </is>
      </c>
      <c r="G507" s="2" t="inlineStr">
        <is>
          <t>chain-linked volumes, 2020 prices</t>
        </is>
      </c>
      <c r="H507" s="2" t="inlineStr"/>
    </row>
    <row r="508">
      <c r="A508" s="5" t="inlineStr">
        <is>
          <t>CC-025</t>
        </is>
      </c>
      <c r="B508" s="2" t="inlineStr">
        <is>
          <t>CC-025:23</t>
        </is>
      </c>
      <c r="C508" s="2" t="inlineStr">
        <is>
          <t>EU-27: nominal GDP change 2005-2023</t>
        </is>
      </c>
      <c r="D508" s="2" t="inlineStr">
        <is>
          <t>80.2</t>
        </is>
      </c>
      <c r="E508" s="2" t="inlineStr">
        <is>
          <t>%</t>
        </is>
      </c>
      <c r="F508" s="2" t="inlineStr">
        <is>
          <t>Eurostat env_air_gge, nama_10_gdp, nama_10_pe, retrieved 5 Oct 2026</t>
        </is>
      </c>
      <c r="G508" s="2" t="inlineStr">
        <is>
          <t>current prices</t>
        </is>
      </c>
      <c r="H508" s="2" t="inlineStr"/>
    </row>
    <row r="509">
      <c r="A509" s="5" t="inlineStr">
        <is>
          <t>CC-025</t>
        </is>
      </c>
      <c r="B509" s="2" t="inlineStr">
        <is>
          <t>CC-025:24</t>
        </is>
      </c>
      <c r="C509" s="2" t="inlineStr">
        <is>
          <t>EU-27: implied GDP price change 2005-2023</t>
        </is>
      </c>
      <c r="D509" s="2" t="inlineStr">
        <is>
          <t>43.1</t>
        </is>
      </c>
      <c r="E509" s="2" t="inlineStr">
        <is>
          <t>%</t>
        </is>
      </c>
      <c r="F509" s="2" t="inlineStr">
        <is>
          <t>Eurostat env_air_gge, nama_10_gdp, nama_10_pe, retrieved 5 Oct 2026</t>
        </is>
      </c>
      <c r="G509" s="2" t="inlineStr">
        <is>
          <t>nominal / real GDP: price effect that separates the two intensity measures</t>
        </is>
      </c>
      <c r="H509" s="2" t="inlineStr"/>
    </row>
    <row r="510">
      <c r="A510" s="5" t="inlineStr">
        <is>
          <t>CC-025</t>
        </is>
      </c>
      <c r="B510" s="2" t="inlineStr">
        <is>
          <t>CC-025:25</t>
        </is>
      </c>
      <c r="C510" s="2" t="inlineStr">
        <is>
          <t>EU-27: per-person GHG change 2005-2024</t>
        </is>
      </c>
      <c r="D510" s="2" t="inlineStr">
        <is>
          <t>-36.0</t>
        </is>
      </c>
      <c r="E510" s="2" t="inlineStr">
        <is>
          <t>%</t>
        </is>
      </c>
      <c r="F510" s="2" t="inlineStr">
        <is>
          <t>Eurostat env_air_gge, nama_10_gdp, nama_10_pe, retrieved 5 Oct 2026</t>
        </is>
      </c>
      <c r="G510" s="2" t="inlineStr">
        <is>
          <t>10.45 t -&gt; 6.69 t per person; total excl. LULUCF and international transport</t>
        </is>
      </c>
      <c r="H510" s="2" t="inlineStr"/>
    </row>
    <row r="511">
      <c r="A511" s="5" t="inlineStr">
        <is>
          <t>CC-025</t>
        </is>
      </c>
      <c r="B511" s="2" t="inlineStr">
        <is>
          <t>CC-025:26</t>
        </is>
      </c>
      <c r="C511" s="2" t="inlineStr">
        <is>
          <t>EU-27: GHG per unit of GDP, chain-linked volumes (2020 prices), change 2005-2024</t>
        </is>
      </c>
      <c r="D511" s="2" t="inlineStr">
        <is>
          <t>-47.9</t>
        </is>
      </c>
      <c r="E511" s="2" t="inlineStr">
        <is>
          <t>%</t>
        </is>
      </c>
      <c r="F511" s="2" t="inlineStr">
        <is>
          <t>Eurostat env_air_gge, nama_10_gdp, nama_10_pe, retrieved 5 Oct 2026</t>
        </is>
      </c>
      <c r="G511" s="2" t="inlineStr">
        <is>
          <t>0.379 -&gt; 0.198 kt CO2e per MEUR</t>
        </is>
      </c>
      <c r="H511" s="2" t="inlineStr"/>
    </row>
    <row r="512">
      <c r="A512" s="5" t="inlineStr">
        <is>
          <t>CC-025</t>
        </is>
      </c>
      <c r="B512" s="2" t="inlineStr">
        <is>
          <t>CC-025:27</t>
        </is>
      </c>
      <c r="C512" s="2" t="inlineStr">
        <is>
          <t>EU-27: GHG per unit of GDP, current prices, change 2005-2024</t>
        </is>
      </c>
      <c r="D512" s="2" t="inlineStr">
        <is>
          <t>-64.7</t>
        </is>
      </c>
      <c r="E512" s="2" t="inlineStr">
        <is>
          <t>%</t>
        </is>
      </c>
      <c r="F512" s="2" t="inlineStr">
        <is>
          <t>Eurostat env_air_gge, nama_10_gdp, nama_10_pe, retrieved 5 Oct 2026</t>
        </is>
      </c>
      <c r="G512" s="2" t="inlineStr">
        <is>
          <t>0.473 -&gt; 0.167 kt CO2e per MEUR</t>
        </is>
      </c>
      <c r="H512" s="2" t="inlineStr"/>
    </row>
    <row r="513">
      <c r="A513" s="5" t="inlineStr">
        <is>
          <t>CC-025</t>
        </is>
      </c>
      <c r="B513" s="2" t="inlineStr">
        <is>
          <t>CC-025:28</t>
        </is>
      </c>
      <c r="C513" s="2" t="inlineStr">
        <is>
          <t>EU-27: total GHG change 2005-2024</t>
        </is>
      </c>
      <c r="D513" s="2" t="inlineStr">
        <is>
          <t>-33.5</t>
        </is>
      </c>
      <c r="E513" s="2" t="inlineStr">
        <is>
          <t>%</t>
        </is>
      </c>
      <c r="F513" s="2" t="inlineStr">
        <is>
          <t>Eurostat env_air_gge, nama_10_gdp, nama_10_pe, retrieved 5 Oct 2026</t>
        </is>
      </c>
      <c r="G513" s="2" t="inlineStr">
        <is>
          <t>4537.092 -&gt; 3017.188 Mt CO2e</t>
        </is>
      </c>
      <c r="H513" s="2" t="inlineStr"/>
    </row>
    <row r="514">
      <c r="A514" s="5" t="inlineStr">
        <is>
          <t>CC-025</t>
        </is>
      </c>
      <c r="B514" s="2" t="inlineStr">
        <is>
          <t>CC-025:29</t>
        </is>
      </c>
      <c r="C514" s="2" t="inlineStr">
        <is>
          <t>EU-27: real GDP change 2005-2024</t>
        </is>
      </c>
      <c r="D514" s="2" t="inlineStr">
        <is>
          <t>27.6</t>
        </is>
      </c>
      <c r="E514" s="2" t="inlineStr">
        <is>
          <t>%</t>
        </is>
      </c>
      <c r="F514" s="2" t="inlineStr">
        <is>
          <t>Eurostat env_air_gge, nama_10_gdp, nama_10_pe, retrieved 5 Oct 2026</t>
        </is>
      </c>
      <c r="G514" s="2" t="inlineStr">
        <is>
          <t>chain-linked volumes, 2020 prices</t>
        </is>
      </c>
      <c r="H514" s="2" t="inlineStr"/>
    </row>
    <row r="515">
      <c r="A515" s="5" t="inlineStr">
        <is>
          <t>CC-025</t>
        </is>
      </c>
      <c r="B515" s="2" t="inlineStr">
        <is>
          <t>CC-025:30</t>
        </is>
      </c>
      <c r="C515" s="2" t="inlineStr">
        <is>
          <t>EU-27: nominal GDP change 2005-2024</t>
        </is>
      </c>
      <c r="D515" s="2" t="inlineStr">
        <is>
          <t>88.6</t>
        </is>
      </c>
      <c r="E515" s="2" t="inlineStr">
        <is>
          <t>%</t>
        </is>
      </c>
      <c r="F515" s="2" t="inlineStr">
        <is>
          <t>Eurostat env_air_gge, nama_10_gdp, nama_10_pe, retrieved 5 Oct 2026</t>
        </is>
      </c>
      <c r="G515" s="2" t="inlineStr">
        <is>
          <t>current prices</t>
        </is>
      </c>
      <c r="H515" s="2" t="inlineStr"/>
    </row>
    <row r="516">
      <c r="A516" s="5" t="inlineStr">
        <is>
          <t>CC-025</t>
        </is>
      </c>
      <c r="B516" s="2" t="inlineStr">
        <is>
          <t>CC-025:31</t>
        </is>
      </c>
      <c r="C516" s="2" t="inlineStr">
        <is>
          <t>EU-27: implied GDP price change 2005-2024</t>
        </is>
      </c>
      <c r="D516" s="2" t="inlineStr">
        <is>
          <t>47.8</t>
        </is>
      </c>
      <c r="E516" s="2" t="inlineStr">
        <is>
          <t>%</t>
        </is>
      </c>
      <c r="F516" s="2" t="inlineStr">
        <is>
          <t>Eurostat env_air_gge, nama_10_gdp, nama_10_pe, retrieved 5 Oct 2026</t>
        </is>
      </c>
      <c r="G516" s="2" t="inlineStr">
        <is>
          <t>nominal / real GDP: price effect that separates the two intensity measures</t>
        </is>
      </c>
      <c r="H516" s="2" t="inlineStr"/>
    </row>
    <row r="517">
      <c r="A517" s="5" t="inlineStr">
        <is>
          <t>CC-025</t>
        </is>
      </c>
      <c r="B517" s="2" t="inlineStr">
        <is>
          <t>CC-025:32</t>
        </is>
      </c>
      <c r="C517" s="2" t="inlineStr">
        <is>
          <t>EU-27: population change 2005-2024</t>
        </is>
      </c>
      <c r="D517" s="2" t="inlineStr">
        <is>
          <t>3.9</t>
        </is>
      </c>
      <c r="E517" s="2" t="inlineStr">
        <is>
          <t>%</t>
        </is>
      </c>
      <c r="F517" s="2" t="inlineStr">
        <is>
          <t>Eurostat env_air_gge, nama_10_gdp, nama_10_pe, retrieved 5 Oct 2026</t>
        </is>
      </c>
      <c r="G517" s="2" t="inlineStr">
        <is>
          <t>434266.3 -&gt; 451249.4 thousand</t>
        </is>
      </c>
      <c r="H517" s="2" t="inlineStr"/>
    </row>
    <row r="518">
      <c r="A518" s="5" t="inlineStr">
        <is>
          <t>CC-025</t>
        </is>
      </c>
      <c r="B518" s="2" t="inlineStr">
        <is>
          <t>CC-025:33</t>
        </is>
      </c>
      <c r="C518" s="2" t="inlineStr">
        <is>
          <t>EU-27: GHG intensity (volumes) average annual change 2005-2024</t>
        </is>
      </c>
      <c r="D518" s="2" t="inlineStr">
        <is>
          <t>-3.37</t>
        </is>
      </c>
      <c r="E518" s="2" t="inlineStr">
        <is>
          <t>%/yr</t>
        </is>
      </c>
      <c r="F518" s="2" t="inlineStr">
        <is>
          <t>Eurostat env_air_gge, nama_10_gdp, nama_10_pe, retrieved 5 Oct 2026</t>
        </is>
      </c>
      <c r="G518" s="2" t="inlineStr"/>
      <c r="H518" s="2" t="inlineStr"/>
    </row>
    <row r="519">
      <c r="A519" s="5" t="inlineStr">
        <is>
          <t>CC-025</t>
        </is>
      </c>
      <c r="B519" s="2" t="inlineStr">
        <is>
          <t>CC-025:34</t>
        </is>
      </c>
      <c r="C519" s="2" t="inlineStr">
        <is>
          <t>Malta: first year with intensity at least 80% below 2005, volumes</t>
        </is>
      </c>
      <c r="D519" s="2" t="inlineStr">
        <is>
          <t>none</t>
        </is>
      </c>
      <c r="E519" s="2" t="inlineStr">
        <is>
          <t>year</t>
        </is>
      </c>
      <c r="F519" s="2" t="inlineStr">
        <is>
          <t>Eurostat env_air_gge, nama_10_gdp, nama_10_pe, retrieved 5 Oct 2026</t>
        </is>
      </c>
      <c r="G519" s="2" t="inlineStr">
        <is>
          <t>no year to 2024 reaches -80% in volumes</t>
        </is>
      </c>
      <c r="H519" s="2" t="inlineStr"/>
    </row>
    <row r="520">
      <c r="A520" s="5" t="inlineStr">
        <is>
          <t>CC-025</t>
        </is>
      </c>
      <c r="B520" s="2" t="inlineStr">
        <is>
          <t>CC-025:35</t>
        </is>
      </c>
      <c r="C520" s="2" t="inlineStr">
        <is>
          <t>Malta: first year with intensity at least 80% below 2005, current prices</t>
        </is>
      </c>
      <c r="D520" s="2" t="inlineStr">
        <is>
          <t>2023</t>
        </is>
      </c>
      <c r="E520" s="2" t="inlineStr">
        <is>
          <t>year</t>
        </is>
      </c>
      <c r="F520" s="2" t="inlineStr">
        <is>
          <t>Eurostat env_air_gge, nama_10_gdp, nama_10_pe, retrieved 5 Oct 2026</t>
        </is>
      </c>
      <c r="G520" s="2" t="inlineStr"/>
      <c r="H520" s="2" t="inlineStr"/>
    </row>
    <row r="521">
      <c r="A521" s="5" t="inlineStr">
        <is>
          <t>CC-025</t>
        </is>
      </c>
      <c r="B521" s="2" t="inlineStr">
        <is>
          <t>CC-025:36</t>
        </is>
      </c>
      <c r="C521" s="2" t="inlineStr">
        <is>
          <t>Malta: first year with per-person emissions at least 44% below 2005</t>
        </is>
      </c>
      <c r="D521" s="2" t="inlineStr">
        <is>
          <t>2016</t>
        </is>
      </c>
      <c r="E521" s="2" t="inlineStr">
        <is>
          <t>year</t>
        </is>
      </c>
      <c r="F521" s="2" t="inlineStr">
        <is>
          <t>Eurostat env_air_gge, nama_10_gdp, nama_10_pe, retrieved 5 Oct 2026</t>
        </is>
      </c>
      <c r="G521" s="2" t="inlineStr"/>
      <c r="H521" s="2" t="inlineStr"/>
    </row>
    <row r="522">
      <c r="A522" s="5" t="inlineStr">
        <is>
          <t>CC-025</t>
        </is>
      </c>
      <c r="B522" s="2" t="inlineStr">
        <is>
          <t>CC-025:37</t>
        </is>
      </c>
      <c r="C522" s="2" t="inlineStr">
        <is>
          <t>Malta: total GHG change 2016 (low) to 2024</t>
        </is>
      </c>
      <c r="D522" s="2" t="inlineStr">
        <is>
          <t>18.0</t>
        </is>
      </c>
      <c r="E522" s="2" t="inlineStr">
        <is>
          <t>%</t>
        </is>
      </c>
      <c r="F522" s="2" t="inlineStr">
        <is>
          <t>Eurostat env_air_gge, nama_10_gdp, nama_10_pe, retrieved 5 Oct 2026</t>
        </is>
      </c>
      <c r="G522" s="2" t="inlineStr">
        <is>
          <t>1.840 -&gt; 2.170 Mt CO2e</t>
        </is>
      </c>
      <c r="H522" s="2" t="inlineStr"/>
    </row>
    <row r="523">
      <c r="A523" s="5" t="inlineStr">
        <is>
          <t>CC-025</t>
        </is>
      </c>
      <c r="B523" s="2" t="inlineStr">
        <is>
          <t>CC-025:38</t>
        </is>
      </c>
      <c r="C523" s="2" t="inlineStr">
        <is>
          <t>Eurostat status flags on the Malta values used</t>
        </is>
      </c>
      <c r="D523" s="2" t="inlineStr">
        <is>
          <t>none</t>
        </is>
      </c>
      <c r="E523" s="2" t="inlineStr">
        <is>
          <t>flags</t>
        </is>
      </c>
      <c r="F523" s="2" t="inlineStr">
        <is>
          <t>Eurostat env_air_gge, nama_10_gdp, nama_10_pe, retrieved 5 Oct 2026</t>
        </is>
      </c>
      <c r="G523" s="2" t="inlineStr"/>
      <c r="H523" s="2" t="inlineStr"/>
    </row>
    <row r="524">
      <c r="A524" s="5" t="inlineStr">
        <is>
          <t>CC-025</t>
        </is>
      </c>
      <c r="B524" s="2" t="inlineStr">
        <is>
          <t>CC-025:39</t>
        </is>
      </c>
      <c r="C524" s="2" t="inlineStr">
        <is>
          <t>Cross-check: Malta total GHG 2024, CC-003 file (2 Oct) vs this file (5 Oct)</t>
        </is>
      </c>
      <c r="D524" s="2" t="inlineStr">
        <is>
          <t>2.17021 vs 2.17021</t>
        </is>
      </c>
      <c r="E524" s="2" t="inlineStr">
        <is>
          <t>Mt CO2e</t>
        </is>
      </c>
      <c r="F524" s="2" t="inlineStr">
        <is>
          <t>Eurostat env_air_gge, nama_10_gdp, nama_10_pe, retrieved 5 Oct 2026</t>
        </is>
      </c>
      <c r="G524" s="2" t="inlineStr">
        <is>
          <t>same inventory vintage</t>
        </is>
      </c>
      <c r="H524" s="2" t="inlineStr"/>
    </row>
    <row r="525">
      <c r="A525" s="5" t="inlineStr">
        <is>
          <t>CC-025</t>
        </is>
      </c>
      <c r="B525" s="2" t="inlineStr">
        <is>
          <t>CC-025:40</t>
        </is>
      </c>
      <c r="C525" s="2" t="inlineStr">
        <is>
          <t>Malta: share of the current-price intensity fall (2005-2024) due to price change</t>
        </is>
      </c>
      <c r="D525" s="2" t="inlineStr">
        <is>
          <t>30</t>
        </is>
      </c>
      <c r="E525" s="2" t="inlineStr">
        <is>
          <t>%</t>
        </is>
      </c>
      <c r="F525" s="2" t="inlineStr">
        <is>
          <t>Eurostat env_air_gge, nama_10_gdp, nama_10_pe, retrieved 5 Oct 2026</t>
        </is>
      </c>
      <c r="G525" s="2" t="inlineStr">
        <is>
          <t>log decomposition: ln(nominal intensity ratio) = ln(real intensity ratio) - ln(GDP price ratio)</t>
        </is>
      </c>
      <c r="H525" s="2" t="inlineStr"/>
    </row>
    <row r="526">
      <c r="A526" s="5" t="inlineStr">
        <is>
          <t>CC-025</t>
        </is>
      </c>
      <c r="B526" s="2" t="inlineStr">
        <is>
          <t>CC-025:41</t>
        </is>
      </c>
      <c r="C526" s="2" t="inlineStr">
        <is>
          <t>Malta: residence-basis GHG per person (env_ac_ainah_r2 TOTAL_HH / nama_10_pe), change 2013-2024</t>
        </is>
      </c>
      <c r="D526" s="2" t="inlineStr">
        <is>
          <t>69.2</t>
        </is>
      </c>
      <c r="E526" s="2" t="inlineStr">
        <is>
          <t>%</t>
        </is>
      </c>
      <c r="F526" s="2" t="inlineStr">
        <is>
          <t>Eurostat env_ac_ainah_r2, nama_10_pe, retrieved 6 Oct 2026 (tools/cc-025-report/residence_basis.py)</t>
        </is>
      </c>
      <c r="G526" s="2" t="inlineStr">
        <is>
          <t>7.22 t -&gt; 12.21 t per person; rank 27 of 27 (1 = largest fall); EU-27 -21.2%; 2024 flagged imputed; activities-only total (TOTAL) gives +77.1%</t>
        </is>
      </c>
      <c r="H526" s="2" t="inlineStr"/>
    </row>
    <row r="527">
      <c r="A527" s="5" t="inlineStr">
        <is>
          <t>CC-026</t>
        </is>
      </c>
      <c r="B527" s="2" t="inlineStr">
        <is>
          <t>CC-026:2</t>
        </is>
      </c>
      <c r="C527" s="2" t="inlineStr">
        <is>
          <t>Malta: all-activity emissions 2015 -&gt; 2025</t>
        </is>
      </c>
      <c r="D527" s="2" t="inlineStr">
        <is>
          <t>2603 -&gt; 7021</t>
        </is>
      </c>
      <c r="E527" s="2" t="inlineStr">
        <is>
          <t>kt CO2e</t>
        </is>
      </c>
      <c r="F527" s="2" t="inlineStr">
        <is>
          <t>Eurostat env_ac_ainah_r2</t>
        </is>
      </c>
      <c r="G527" s="2" t="inlineStr">
        <is>
          <t>2025 is an early estimate</t>
        </is>
      </c>
      <c r="H527" s="2" t="inlineStr"/>
    </row>
    <row r="528">
      <c r="A528" s="5" t="inlineStr">
        <is>
          <t>CC-026</t>
        </is>
      </c>
      <c r="B528" s="2" t="inlineStr">
        <is>
          <t>CC-026:3</t>
        </is>
      </c>
      <c r="C528" s="2" t="inlineStr">
        <is>
          <t>Malta: change 2015-2025 (recomputed)</t>
        </is>
      </c>
      <c r="D528" s="2" t="inlineStr">
        <is>
          <t>169.7</t>
        </is>
      </c>
      <c r="E528" s="2" t="inlineStr">
        <is>
          <t>%</t>
        </is>
      </c>
      <c r="F528" s="2" t="inlineStr">
        <is>
          <t>Eurostat env_ac_ainah_r2</t>
        </is>
      </c>
      <c r="G528" s="2" t="inlineStr">
        <is>
          <t>Eurostat release of 16 Jun 2026 and Newsbook: +169.4% (series since revised)</t>
        </is>
      </c>
      <c r="H528" s="2" t="inlineStr"/>
    </row>
    <row r="529">
      <c r="A529" s="5" t="inlineStr">
        <is>
          <t>CC-026</t>
        </is>
      </c>
      <c r="B529" s="2" t="inlineStr">
        <is>
          <t>CC-026:4</t>
        </is>
      </c>
      <c r="C529" s="2" t="inlineStr">
        <is>
          <t>EU-27: change 2015-2025</t>
        </is>
      </c>
      <c r="D529" s="2" t="inlineStr">
        <is>
          <t>-17.2</t>
        </is>
      </c>
      <c r="E529" s="2" t="inlineStr">
        <is>
          <t>%</t>
        </is>
      </c>
      <c r="F529" s="2" t="inlineStr">
        <is>
          <t>Eurostat env_ac_ainah_r2</t>
        </is>
      </c>
      <c r="G529" s="2" t="inlineStr">
        <is>
          <t>Eurostat release: -17.2%</t>
        </is>
      </c>
      <c r="H529" s="2" t="inlineStr"/>
    </row>
    <row r="530">
      <c r="A530" s="5" t="inlineStr">
        <is>
          <t>CC-026</t>
        </is>
      </c>
      <c r="B530" s="2" t="inlineStr">
        <is>
          <t>CC-026:5</t>
        </is>
      </c>
      <c r="C530" s="2" t="inlineStr">
        <is>
          <t>Member states with higher emissions in 2025 than 2015</t>
        </is>
      </c>
      <c r="D530" s="2" t="inlineStr">
        <is>
          <t>4</t>
        </is>
      </c>
      <c r="E530" s="2" t="inlineStr">
        <is>
          <t>of 27</t>
        </is>
      </c>
      <c r="F530" s="2" t="inlineStr">
        <is>
          <t>Eurostat env_ac_ainah_r2</t>
        </is>
      </c>
      <c r="G530" s="2" t="inlineStr">
        <is>
          <t>MT +169.7%, CY +10.7%, LT +8.4%, RO +5.6%</t>
        </is>
      </c>
      <c r="H530" s="2" t="inlineStr"/>
    </row>
    <row r="531">
      <c r="A531" s="5" t="inlineStr">
        <is>
          <t>CC-026</t>
        </is>
      </c>
      <c r="B531" s="2" t="inlineStr">
        <is>
          <t>CC-026:6</t>
        </is>
      </c>
      <c r="C531" s="2" t="inlineStr">
        <is>
          <t>Malta: rank of increase</t>
        </is>
      </c>
      <c r="D531" s="2" t="inlineStr">
        <is>
          <t>1</t>
        </is>
      </c>
      <c r="E531" s="2" t="inlineStr">
        <is>
          <t>of 27</t>
        </is>
      </c>
      <c r="F531" s="2" t="inlineStr">
        <is>
          <t>Eurostat env_ac_ainah_r2</t>
        </is>
      </c>
      <c r="G531" s="2" t="inlineStr">
        <is>
          <t>next: CY +10.7%</t>
        </is>
      </c>
      <c r="H531" s="2" t="inlineStr"/>
    </row>
    <row r="532">
      <c r="A532" s="5" t="inlineStr">
        <is>
          <t>CC-026</t>
        </is>
      </c>
      <c r="B532" s="2" t="inlineStr">
        <is>
          <t>CC-026:7</t>
        </is>
      </c>
      <c r="C532" s="2" t="inlineStr">
        <is>
          <t>Malta: share of 2025 EU-27 total</t>
        </is>
      </c>
      <c r="D532" s="2" t="inlineStr">
        <is>
          <t>0.21</t>
        </is>
      </c>
      <c r="E532" s="2" t="inlineStr">
        <is>
          <t>%</t>
        </is>
      </c>
      <c r="F532" s="2" t="inlineStr">
        <is>
          <t>Eurostat env_ac_ainah_r2</t>
        </is>
      </c>
      <c r="G532" s="2" t="inlineStr"/>
      <c r="H532" s="2" t="inlineStr"/>
    </row>
    <row r="533">
      <c r="A533" s="5" t="inlineStr">
        <is>
          <t>CC-026</t>
        </is>
      </c>
      <c r="B533" s="2" t="inlineStr">
        <is>
          <t>CC-026:8</t>
        </is>
      </c>
      <c r="C533" s="2" t="inlineStr">
        <is>
          <t>Malta: change 2015-2024, all activities and households</t>
        </is>
      </c>
      <c r="D533" s="2" t="inlineStr">
        <is>
          <t>167.1</t>
        </is>
      </c>
      <c r="E533" s="2" t="inlineStr">
        <is>
          <t>%</t>
        </is>
      </c>
      <c r="F533" s="2" t="inlineStr">
        <is>
          <t>Eurostat env_ac_ainah_r2</t>
        </is>
      </c>
      <c r="G533" s="2" t="inlineStr"/>
      <c r="H533" s="2" t="inlineStr"/>
    </row>
    <row r="534">
      <c r="A534" s="5" t="inlineStr">
        <is>
          <t>CC-026</t>
        </is>
      </c>
      <c r="B534" s="2" t="inlineStr">
        <is>
          <t>CC-026:9</t>
        </is>
      </c>
      <c r="C534" s="2" t="inlineStr">
        <is>
          <t>Malta: air transport (NACE H51) 2015 -&gt; 2024</t>
        </is>
      </c>
      <c r="D534" s="2" t="inlineStr">
        <is>
          <t>444 -&gt; 4730</t>
        </is>
      </c>
      <c r="E534" s="2" t="inlineStr">
        <is>
          <t>kt CO2e</t>
        </is>
      </c>
      <c r="F534" s="2" t="inlineStr">
        <is>
          <t>Eurostat env_ac_ainah_r2</t>
        </is>
      </c>
      <c r="G534" s="2" t="inlineStr">
        <is>
          <t>x10.7</t>
        </is>
      </c>
      <c r="H534" s="2" t="inlineStr"/>
    </row>
    <row r="535">
      <c r="A535" s="5" t="inlineStr">
        <is>
          <t>CC-026</t>
        </is>
      </c>
      <c r="B535" s="2" t="inlineStr">
        <is>
          <t>CC-026:10</t>
        </is>
      </c>
      <c r="C535" s="2" t="inlineStr">
        <is>
          <t>Air transport: share of the 2015-2024 increase</t>
        </is>
      </c>
      <c r="D535" s="2" t="inlineStr">
        <is>
          <t>98.6</t>
        </is>
      </c>
      <c r="E535" s="2" t="inlineStr">
        <is>
          <t>%</t>
        </is>
      </c>
      <c r="F535" s="2" t="inlineStr">
        <is>
          <t>calculated</t>
        </is>
      </c>
      <c r="G535" s="2" t="inlineStr"/>
      <c r="H535" s="2" t="inlineStr"/>
    </row>
    <row r="536">
      <c r="A536" s="5" t="inlineStr">
        <is>
          <t>CC-026</t>
        </is>
      </c>
      <c r="B536" s="2" t="inlineStr">
        <is>
          <t>CC-026:11</t>
        </is>
      </c>
      <c r="C536" s="2" t="inlineStr">
        <is>
          <t>Air transport: share of Malta total, 2015 -&gt; 2024</t>
        </is>
      </c>
      <c r="D536" s="2" t="inlineStr">
        <is>
          <t>17 -&gt; 68</t>
        </is>
      </c>
      <c r="E536" s="2" t="inlineStr">
        <is>
          <t>%</t>
        </is>
      </c>
      <c r="F536" s="2" t="inlineStr">
        <is>
          <t>calculated</t>
        </is>
      </c>
      <c r="G536" s="2" t="inlineStr"/>
      <c r="H536" s="2" t="inlineStr"/>
    </row>
    <row r="537">
      <c r="A537" s="5" t="inlineStr">
        <is>
          <t>CC-026</t>
        </is>
      </c>
      <c r="B537" s="2" t="inlineStr">
        <is>
          <t>CC-026:12</t>
        </is>
      </c>
      <c r="C537" s="2" t="inlineStr">
        <is>
          <t>Malta excluding air transport: 2015 -&gt; 2024</t>
        </is>
      </c>
      <c r="D537" s="2" t="inlineStr">
        <is>
          <t>2159 -&gt; 2221</t>
        </is>
      </c>
      <c r="E537" s="2" t="inlineStr">
        <is>
          <t>kt CO2e</t>
        </is>
      </c>
      <c r="F537" s="2" t="inlineStr">
        <is>
          <t>calculated</t>
        </is>
      </c>
      <c r="G537" s="2" t="inlineStr">
        <is>
          <t>+2.9%</t>
        </is>
      </c>
      <c r="H537" s="2" t="inlineStr"/>
    </row>
    <row r="538">
      <c r="A538" s="5" t="inlineStr">
        <is>
          <t>CC-026</t>
        </is>
      </c>
      <c r="B538" s="2" t="inlineStr">
        <is>
          <t>CC-026:13</t>
        </is>
      </c>
      <c r="C538" s="2" t="inlineStr">
        <is>
          <t>Malta: electricity, gas, steam (NACE D) 2015 -&gt; 2024</t>
        </is>
      </c>
      <c r="D538" s="2" t="inlineStr">
        <is>
          <t>890 -&gt; 743</t>
        </is>
      </c>
      <c r="E538" s="2" t="inlineStr">
        <is>
          <t>kt CO2e</t>
        </is>
      </c>
      <c r="F538" s="2" t="inlineStr">
        <is>
          <t>Eurostat env_ac_ainah_r2</t>
        </is>
      </c>
      <c r="G538" s="2" t="inlineStr">
        <is>
          <t>-16.5%</t>
        </is>
      </c>
      <c r="H538" s="2" t="inlineStr"/>
    </row>
    <row r="539">
      <c r="A539" s="5" t="inlineStr">
        <is>
          <t>CC-026</t>
        </is>
      </c>
      <c r="B539" s="2" t="inlineStr">
        <is>
          <t>CC-026:14</t>
        </is>
      </c>
      <c r="C539" s="2" t="inlineStr">
        <is>
          <t>Malta: 2025 vs 2024 (all activities, early estimate)</t>
        </is>
      </c>
      <c r="D539" s="2" t="inlineStr">
        <is>
          <t>1.0</t>
        </is>
      </c>
      <c r="E539" s="2" t="inlineStr">
        <is>
          <t>%</t>
        </is>
      </c>
      <c r="F539" s="2" t="inlineStr">
        <is>
          <t>calculated</t>
        </is>
      </c>
      <c r="G539" s="2" t="inlineStr"/>
      <c r="H539" s="2" t="inlineStr"/>
    </row>
    <row r="540">
      <c r="A540" s="5" t="inlineStr">
        <is>
          <t>CC-026</t>
        </is>
      </c>
      <c r="B540" s="2" t="inlineStr">
        <is>
          <t>CC-026:15</t>
        </is>
      </c>
      <c r="C540" s="2" t="inlineStr">
        <is>
          <t>Malta: UNFCCC inventory total (no LULUCF, no memo items) 2015 -&gt; 2024</t>
        </is>
      </c>
      <c r="D540" s="2" t="inlineStr">
        <is>
          <t>2136 -&gt; 2170</t>
        </is>
      </c>
      <c r="E540" s="2" t="inlineStr">
        <is>
          <t>kt CO2e</t>
        </is>
      </c>
      <c r="F540" s="2" t="inlineStr">
        <is>
          <t>Eurostat env_air_gge</t>
        </is>
      </c>
      <c r="G540" s="2" t="inlineStr">
        <is>
          <t>+1.6%</t>
        </is>
      </c>
      <c r="H540" s="2" t="inlineStr"/>
    </row>
    <row r="541">
      <c r="A541" s="5" t="inlineStr">
        <is>
          <t>CC-026</t>
        </is>
      </c>
      <c r="B541" s="2" t="inlineStr">
        <is>
          <t>CC-026:16</t>
        </is>
      </c>
      <c r="C541" s="2" t="inlineStr">
        <is>
          <t>Malta: UNFCCC inventory change 2005-2024</t>
        </is>
      </c>
      <c r="D541" s="2" t="inlineStr">
        <is>
          <t>-27.4</t>
        </is>
      </c>
      <c r="E541" s="2" t="inlineStr">
        <is>
          <t>%</t>
        </is>
      </c>
      <c r="F541" s="2" t="inlineStr">
        <is>
          <t>Eurostat env_air_gge</t>
        </is>
      </c>
      <c r="G541" s="2" t="inlineStr"/>
      <c r="H541" s="2" t="inlineStr"/>
    </row>
    <row r="542">
      <c r="A542" s="5" t="inlineStr">
        <is>
          <t>CC-026</t>
        </is>
      </c>
      <c r="B542" s="2" t="inlineStr">
        <is>
          <t>CC-026:17</t>
        </is>
      </c>
      <c r="C542" s="2" t="inlineStr">
        <is>
          <t>Malta: international aviation, memo item (fuel sold in Malta) 2015 -&gt; 2024</t>
        </is>
      </c>
      <c r="D542" s="2" t="inlineStr">
        <is>
          <t>360 -&gt; 528</t>
        </is>
      </c>
      <c r="E542" s="2" t="inlineStr">
        <is>
          <t>kt CO2e</t>
        </is>
      </c>
      <c r="F542" s="2" t="inlineStr">
        <is>
          <t>Eurostat env_air_gge</t>
        </is>
      </c>
      <c r="G542" s="2" t="inlineStr">
        <is>
          <t>+46.6%</t>
        </is>
      </c>
      <c r="H542" s="2" t="inlineStr"/>
    </row>
    <row r="543">
      <c r="A543" s="5" t="inlineStr">
        <is>
          <t>CC-026</t>
        </is>
      </c>
      <c r="B543" s="2" t="inlineStr">
        <is>
          <t>CC-026:18</t>
        </is>
      </c>
      <c r="C543" s="2" t="inlineStr">
        <is>
          <t>Malta 2024: Eurostat account total vs UNFCCC inventory total</t>
        </is>
      </c>
      <c r="D543" s="2" t="inlineStr">
        <is>
          <t>3.2</t>
        </is>
      </c>
      <c r="E543" s="2" t="inlineStr">
        <is>
          <t>ratio</t>
        </is>
      </c>
      <c r="F543" s="2" t="inlineStr">
        <is>
          <t>calculated</t>
        </is>
      </c>
      <c r="G543" s="2" t="inlineStr">
        <is>
          <t>6951 vs 2170 kt</t>
        </is>
      </c>
      <c r="H543" s="2" t="inlineStr"/>
    </row>
    <row r="544">
      <c r="A544" s="5" t="inlineStr">
        <is>
          <t>CC-026</t>
        </is>
      </c>
      <c r="B544" s="2" t="inlineStr">
        <is>
          <t>CC-026:19</t>
        </is>
      </c>
      <c r="C544" s="2" t="inlineStr">
        <is>
          <t>Malta 2024: air transport (account) vs international aviation memo item</t>
        </is>
      </c>
      <c r="D544" s="2" t="inlineStr">
        <is>
          <t>9.0</t>
        </is>
      </c>
      <c r="E544" s="2" t="inlineStr">
        <is>
          <t>ratio</t>
        </is>
      </c>
      <c r="F544" s="2" t="inlineStr">
        <is>
          <t>calculated</t>
        </is>
      </c>
      <c r="G544" s="2" t="inlineStr">
        <is>
          <t>residence principle (operator) vs fuel bunkered in Malta</t>
        </is>
      </c>
      <c r="H544" s="2" t="inlineStr"/>
    </row>
    <row r="545">
      <c r="A545" s="5" t="inlineStr">
        <is>
          <t>CC-029</t>
        </is>
      </c>
      <c r="B545" s="2" t="inlineStr">
        <is>
          <t>CC-029:2</t>
        </is>
      </c>
      <c r="C545" s="2" t="inlineStr">
        <is>
          <t>Implied capacity factor (0.8 TWh a year from 300 MW)</t>
        </is>
      </c>
      <c r="D545" s="2" t="inlineStr">
        <is>
          <t>30.4</t>
        </is>
      </c>
      <c r="E545" s="2" t="inlineStr">
        <is>
          <t>%</t>
        </is>
      </c>
      <c r="F545" s="2" t="inlineStr">
        <is>
          <t>Eurostat nrg_cb_e (E7000, GWh), retrieved 6 Oct 2026; ICM project page and news of 22 Apr 2026</t>
        </is>
      </c>
      <c r="G545" s="2" t="inlineStr">
        <is>
          <t>800 GWh / (300 MW x 8,760 h)</t>
        </is>
      </c>
      <c r="H545" s="2" t="inlineStr"/>
    </row>
    <row r="546">
      <c r="A546" s="5" t="inlineStr">
        <is>
          <t>CC-029</t>
        </is>
      </c>
      <c r="B546" s="2" t="inlineStr">
        <is>
          <t>CC-029:3</t>
        </is>
      </c>
      <c r="C546" s="2" t="inlineStr">
        <is>
          <t>Final electricity consumption 2024</t>
        </is>
      </c>
      <c r="D546" s="2" t="inlineStr">
        <is>
          <t>2868.231</t>
        </is>
      </c>
      <c r="E546" s="2" t="inlineStr">
        <is>
          <t>GWh</t>
        </is>
      </c>
      <c r="F546" s="2" t="inlineStr">
        <is>
          <t>Eurostat nrg_cb_e (E7000, GWh), retrieved 6 Oct 2026; ICM project page and news of 22 Apr 2026</t>
        </is>
      </c>
      <c r="G546" s="2" t="inlineStr">
        <is>
          <t>flags: none</t>
        </is>
      </c>
      <c r="H546" s="2" t="inlineStr"/>
    </row>
    <row r="547">
      <c r="A547" s="5" t="inlineStr">
        <is>
          <t>CC-029</t>
        </is>
      </c>
      <c r="B547" s="2" t="inlineStr">
        <is>
          <t>CC-029:4</t>
        </is>
      </c>
      <c r="C547" s="2" t="inlineStr">
        <is>
          <t>Electricity supplied (production + imports - exports) 2024</t>
        </is>
      </c>
      <c r="D547" s="2" t="inlineStr">
        <is>
          <t>3153.4</t>
        </is>
      </c>
      <c r="E547" s="2" t="inlineStr">
        <is>
          <t>GWh</t>
        </is>
      </c>
      <c r="F547" s="2" t="inlineStr">
        <is>
          <t>Eurostat nrg_cb_e (E7000, GWh), retrieved 6 Oct 2026; ICM project page and news of 22 Apr 2026</t>
        </is>
      </c>
      <c r="G547" s="2" t="inlineStr">
        <is>
          <t>flags as above</t>
        </is>
      </c>
      <c r="H547" s="2" t="inlineStr"/>
    </row>
    <row r="548">
      <c r="A548" s="5" t="inlineStr">
        <is>
          <t>CC-029</t>
        </is>
      </c>
      <c r="B548" s="2" t="inlineStr">
        <is>
          <t>CC-029:5</t>
        </is>
      </c>
      <c r="C548" s="2" t="inlineStr">
        <is>
          <t>0.8 TWh as share of final consumption 2024</t>
        </is>
      </c>
      <c r="D548" s="2" t="inlineStr">
        <is>
          <t>27.9</t>
        </is>
      </c>
      <c r="E548" s="2" t="inlineStr">
        <is>
          <t>%</t>
        </is>
      </c>
      <c r="F548" s="2" t="inlineStr">
        <is>
          <t>Eurostat nrg_cb_e (E7000, GWh), retrieved 6 Oct 2026; ICM project page and news of 22 Apr 2026</t>
        </is>
      </c>
      <c r="G548" s="2" t="inlineStr"/>
      <c r="H548" s="2" t="inlineStr"/>
    </row>
    <row r="549">
      <c r="A549" s="5" t="inlineStr">
        <is>
          <t>CC-029</t>
        </is>
      </c>
      <c r="B549" s="2" t="inlineStr">
        <is>
          <t>CC-029:6</t>
        </is>
      </c>
      <c r="C549" s="2" t="inlineStr">
        <is>
          <t>0.8 TWh as share of electricity supplied 2024</t>
        </is>
      </c>
      <c r="D549" s="2" t="inlineStr">
        <is>
          <t>25.4</t>
        </is>
      </c>
      <c r="E549" s="2" t="inlineStr">
        <is>
          <t>%</t>
        </is>
      </c>
      <c r="F549" s="2" t="inlineStr">
        <is>
          <t>Eurostat nrg_cb_e (E7000, GWh), retrieved 6 Oct 2026; ICM project page and news of 22 Apr 2026</t>
        </is>
      </c>
      <c r="G549" s="2" t="inlineStr"/>
      <c r="H549" s="2" t="inlineStr"/>
    </row>
    <row r="550">
      <c r="A550" s="5" t="inlineStr">
        <is>
          <t>CC-029</t>
        </is>
      </c>
      <c r="B550" s="2" t="inlineStr">
        <is>
          <t>CC-029:7</t>
        </is>
      </c>
      <c r="C550" s="2" t="inlineStr">
        <is>
          <t>Final electricity consumption 2025</t>
        </is>
      </c>
      <c r="D550" s="2" t="inlineStr">
        <is>
          <t>2969.82</t>
        </is>
      </c>
      <c r="E550" s="2" t="inlineStr">
        <is>
          <t>GWh</t>
        </is>
      </c>
      <c r="F550" s="2" t="inlineStr">
        <is>
          <t>Eurostat nrg_cb_e (E7000, GWh), retrieved 6 Oct 2026; ICM project page and news of 22 Apr 2026</t>
        </is>
      </c>
      <c r="G550" s="2" t="inlineStr">
        <is>
          <t>flags: p</t>
        </is>
      </c>
      <c r="H550" s="2" t="inlineStr"/>
    </row>
    <row r="551">
      <c r="A551" s="5" t="inlineStr">
        <is>
          <t>CC-029</t>
        </is>
      </c>
      <c r="B551" s="2" t="inlineStr">
        <is>
          <t>CC-029:8</t>
        </is>
      </c>
      <c r="C551" s="2" t="inlineStr">
        <is>
          <t>Electricity supplied (production + imports - exports) 2025</t>
        </is>
      </c>
      <c r="D551" s="2" t="inlineStr">
        <is>
          <t>3252.2</t>
        </is>
      </c>
      <c r="E551" s="2" t="inlineStr">
        <is>
          <t>GWh</t>
        </is>
      </c>
      <c r="F551" s="2" t="inlineStr">
        <is>
          <t>Eurostat nrg_cb_e (E7000, GWh), retrieved 6 Oct 2026; ICM project page and news of 22 Apr 2026</t>
        </is>
      </c>
      <c r="G551" s="2" t="inlineStr">
        <is>
          <t>flags as above</t>
        </is>
      </c>
      <c r="H551" s="2" t="inlineStr"/>
    </row>
    <row r="552">
      <c r="A552" s="5" t="inlineStr">
        <is>
          <t>CC-029</t>
        </is>
      </c>
      <c r="B552" s="2" t="inlineStr">
        <is>
          <t>CC-029:9</t>
        </is>
      </c>
      <c r="C552" s="2" t="inlineStr">
        <is>
          <t>0.8 TWh as share of final consumption 2025</t>
        </is>
      </c>
      <c r="D552" s="2" t="inlineStr">
        <is>
          <t>26.9</t>
        </is>
      </c>
      <c r="E552" s="2" t="inlineStr">
        <is>
          <t>%</t>
        </is>
      </c>
      <c r="F552" s="2" t="inlineStr">
        <is>
          <t>Eurostat nrg_cb_e (E7000, GWh), retrieved 6 Oct 2026; ICM project page and news of 22 Apr 2026</t>
        </is>
      </c>
      <c r="G552" s="2" t="inlineStr"/>
      <c r="H552" s="2" t="inlineStr"/>
    </row>
    <row r="553">
      <c r="A553" s="5" t="inlineStr">
        <is>
          <t>CC-029</t>
        </is>
      </c>
      <c r="B553" s="2" t="inlineStr">
        <is>
          <t>CC-029:10</t>
        </is>
      </c>
      <c r="C553" s="2" t="inlineStr">
        <is>
          <t>0.8 TWh as share of electricity supplied 2025</t>
        </is>
      </c>
      <c r="D553" s="2" t="inlineStr">
        <is>
          <t>24.6</t>
        </is>
      </c>
      <c r="E553" s="2" t="inlineStr">
        <is>
          <t>%</t>
        </is>
      </c>
      <c r="F553" s="2" t="inlineStr">
        <is>
          <t>Eurostat nrg_cb_e (E7000, GWh), retrieved 6 Oct 2026; ICM project page and news of 22 Apr 2026</t>
        </is>
      </c>
      <c r="G553" s="2" t="inlineStr"/>
      <c r="H553" s="2" t="inlineStr"/>
    </row>
    <row r="554">
      <c r="A554" s="5" t="inlineStr">
        <is>
          <t>CC-029</t>
        </is>
      </c>
      <c r="B554" s="2" t="inlineStr">
        <is>
          <t>CC-029:11</t>
        </is>
      </c>
      <c r="C554" s="2" t="inlineStr">
        <is>
          <t>Share of 2025 supply that was imported</t>
        </is>
      </c>
      <c r="D554" s="2" t="inlineStr">
        <is>
          <t>31.7</t>
        </is>
      </c>
      <c r="E554" s="2" t="inlineStr">
        <is>
          <t>%</t>
        </is>
      </c>
      <c r="F554" s="2" t="inlineStr">
        <is>
          <t>Eurostat nrg_cb_e (E7000, GWh), retrieved 6 Oct 2026; ICM project page and news of 22 Apr 2026</t>
        </is>
      </c>
      <c r="G554" s="2" t="inlineStr">
        <is>
          <t>interconnector imports</t>
        </is>
      </c>
      <c r="H554" s="2" t="inlineStr"/>
    </row>
    <row r="555">
      <c r="A555" s="5" t="inlineStr">
        <is>
          <t>CC-029</t>
        </is>
      </c>
      <c r="B555" s="2" t="inlineStr">
        <is>
          <t>CC-029:12</t>
        </is>
      </c>
      <c r="C555" s="2" t="inlineStr">
        <is>
          <t>Days from PQQ launch (5 Dec 2024) to submissions deadline (21 Jul 2025, extended from 28 Mar 2025)</t>
        </is>
      </c>
      <c r="D555" s="2" t="inlineStr">
        <is>
          <t>228</t>
        </is>
      </c>
      <c r="E555" s="2" t="inlineStr">
        <is>
          <t>days</t>
        </is>
      </c>
      <c r="F555" s="2" t="inlineStr">
        <is>
          <t>Eurostat nrg_cb_e (E7000, GWh), retrieved 6 Oct 2026; ICM project page and news of 22 Apr 2026</t>
        </is>
      </c>
      <c r="G555" s="2" t="inlineStr">
        <is>
          <t>ICM news 5 Dec 2024, 27 Mar 2025; TVM News 22 Jul 2025</t>
        </is>
      </c>
      <c r="H555" s="2" t="inlineStr"/>
    </row>
    <row r="556">
      <c r="A556" s="5" t="inlineStr">
        <is>
          <t>CC-029</t>
        </is>
      </c>
      <c r="B556" s="2" t="inlineStr">
        <is>
          <t>CC-029:13</t>
        </is>
      </c>
      <c r="C556" s="2" t="inlineStr">
        <is>
          <t>Extension of the submissions deadline</t>
        </is>
      </c>
      <c r="D556" s="2" t="inlineStr">
        <is>
          <t>115</t>
        </is>
      </c>
      <c r="E556" s="2" t="inlineStr">
        <is>
          <t>days</t>
        </is>
      </c>
      <c r="F556" s="2" t="inlineStr">
        <is>
          <t>Eurostat nrg_cb_e (E7000, GWh), retrieved 6 Oct 2026; ICM project page and news of 22 Apr 2026</t>
        </is>
      </c>
      <c r="G556" s="2" t="inlineStr">
        <is>
          <t>28 Mar 2025 (original, offshoreWIND.biz) to 21 Jul 2025 (ICM)</t>
        </is>
      </c>
      <c r="H556" s="2" t="inlineStr"/>
    </row>
    <row r="557">
      <c r="A557" s="5" t="inlineStr">
        <is>
          <t>CC-029</t>
        </is>
      </c>
      <c r="B557" s="2" t="inlineStr">
        <is>
          <t>CC-029:14</t>
        </is>
      </c>
      <c r="C557" s="2" t="inlineStr">
        <is>
          <t>Days from the submissions deadline to 30 Jun 2026 (end of 'the first part' of 2026, our reading)</t>
        </is>
      </c>
      <c r="D557" s="2" t="inlineStr">
        <is>
          <t>344</t>
        </is>
      </c>
      <c r="E557" s="2" t="inlineStr">
        <is>
          <t>days</t>
        </is>
      </c>
      <c r="F557" s="2" t="inlineStr">
        <is>
          <t>Eurostat nrg_cb_e (E7000, GWh), retrieved 6 Oct 2026; ICM project page and news of 22 Apr 2026</t>
        </is>
      </c>
      <c r="G557" s="2" t="inlineStr"/>
      <c r="H557" s="2" t="inlineStr"/>
    </row>
    <row r="558">
      <c r="A558" s="5" t="inlineStr">
        <is>
          <t>CC-029</t>
        </is>
      </c>
      <c r="B558" s="2" t="inlineStr">
        <is>
          <t>CC-029:15</t>
        </is>
      </c>
      <c r="C558" s="2" t="inlineStr">
        <is>
          <t>Days from 30 Jun 2026 to the check date (6 Oct 2026)</t>
        </is>
      </c>
      <c r="D558" s="2" t="inlineStr">
        <is>
          <t>98</t>
        </is>
      </c>
      <c r="E558" s="2" t="inlineStr">
        <is>
          <t>days</t>
        </is>
      </c>
      <c r="F558" s="2" t="inlineStr">
        <is>
          <t>Eurostat nrg_cb_e (E7000, GWh), retrieved 6 Oct 2026; ICM project page and news of 22 Apr 2026</t>
        </is>
      </c>
      <c r="G558" s="2" t="inlineStr">
        <is>
          <t>no public notice of candidates qualifying or of the dialogue stage found on ICM's news list</t>
        </is>
      </c>
      <c r="H558" s="2" t="inlineStr"/>
    </row>
    <row r="559">
      <c r="A559" s="5" t="inlineStr">
        <is>
          <t>CC-030</t>
        </is>
      </c>
      <c r="B559" s="2" t="inlineStr">
        <is>
          <t>CC-030:2</t>
        </is>
      </c>
      <c r="C559" s="2" t="inlineStr">
        <is>
          <t>ACA boundary 2025: Scope 1 + Scope 2 (location) + business travel</t>
        </is>
      </c>
      <c r="D559" s="2" t="inlineStr">
        <is>
          <t>5444.0</t>
        </is>
      </c>
      <c r="E559" s="2" t="inlineStr">
        <is>
          <t>t CO2</t>
        </is>
      </c>
      <c r="F559" s="2" t="inlineStr">
        <is>
          <t>MIA Sustainability Report 2025</t>
        </is>
      </c>
      <c r="G559" s="2" t="inlineStr">
        <is>
          <t>813 + 4582 + 49</t>
        </is>
      </c>
      <c r="H559" s="2" t="inlineStr"/>
    </row>
    <row r="560">
      <c r="A560" s="5" t="inlineStr">
        <is>
          <t>CC-030</t>
        </is>
      </c>
      <c r="B560" s="2" t="inlineStr">
        <is>
          <t>CC-030:3</t>
        </is>
      </c>
      <c r="C560" s="2" t="inlineStr">
        <is>
          <t>ACA boundary 2025 with market-based Scope 2</t>
        </is>
      </c>
      <c r="D560" s="2" t="inlineStr">
        <is>
          <t>5555.0</t>
        </is>
      </c>
      <c r="E560" s="2" t="inlineStr">
        <is>
          <t>t CO2</t>
        </is>
      </c>
      <c r="F560" s="2" t="inlineStr">
        <is>
          <t>MIA Sustainability Report 2025</t>
        </is>
      </c>
      <c r="G560" s="2" t="inlineStr">
        <is>
          <t>813 + 4693 + 49</t>
        </is>
      </c>
      <c r="H560" s="2" t="inlineStr"/>
    </row>
    <row r="561">
      <c r="A561" s="5" t="inlineStr">
        <is>
          <t>CC-030</t>
        </is>
      </c>
      <c r="B561" s="2" t="inlineStr">
        <is>
          <t>CC-030:4</t>
        </is>
      </c>
      <c r="C561" s="2" t="inlineStr">
        <is>
          <t>ACA boundary 2024: Scope 1 + Scope 2 (location) + business travel</t>
        </is>
      </c>
      <c r="D561" s="2" t="inlineStr">
        <is>
          <t>5025.0</t>
        </is>
      </c>
      <c r="E561" s="2" t="inlineStr">
        <is>
          <t>t CO2</t>
        </is>
      </c>
      <c r="F561" s="2" t="inlineStr">
        <is>
          <t>MIA Sustainability Report 2025</t>
        </is>
      </c>
      <c r="G561" s="2" t="inlineStr">
        <is>
          <t>ACA's notice says 2024 residual emissions were offset</t>
        </is>
      </c>
      <c r="H561" s="2" t="inlineStr"/>
    </row>
    <row r="562">
      <c r="A562" s="5" t="inlineStr">
        <is>
          <t>CC-030</t>
        </is>
      </c>
      <c r="B562" s="2" t="inlineStr">
        <is>
          <t>CC-030:5</t>
        </is>
      </c>
      <c r="C562" s="2" t="inlineStr">
        <is>
          <t>ACA boundary 2024 with market-based Scope 2</t>
        </is>
      </c>
      <c r="D562" s="2" t="inlineStr">
        <is>
          <t>5136.0</t>
        </is>
      </c>
      <c r="E562" s="2" t="inlineStr">
        <is>
          <t>t CO2</t>
        </is>
      </c>
      <c r="F562" s="2" t="inlineStr">
        <is>
          <t>MIA Sustainability Report 2025</t>
        </is>
      </c>
      <c r="G562" s="2" t="inlineStr"/>
      <c r="H562" s="2" t="inlineStr"/>
    </row>
    <row r="563">
      <c r="A563" s="5" t="inlineStr">
        <is>
          <t>CC-030</t>
        </is>
      </c>
      <c r="B563" s="2" t="inlineStr">
        <is>
          <t>CC-030:6</t>
        </is>
      </c>
      <c r="C563" s="2" t="inlineStr">
        <is>
          <t>Credits minus 2025 boundary (location based)</t>
        </is>
      </c>
      <c r="D563" s="2" t="inlineStr">
        <is>
          <t>6.0</t>
        </is>
      </c>
      <c r="E563" s="2" t="inlineStr">
        <is>
          <t>t CO2</t>
        </is>
      </c>
      <c r="F563" s="2" t="inlineStr">
        <is>
          <t>MIA Sustainability Report 2025</t>
        </is>
      </c>
      <c r="G563" s="2" t="inlineStr">
        <is>
          <t>credits cover it</t>
        </is>
      </c>
      <c r="H563" s="2" t="inlineStr"/>
    </row>
    <row r="564">
      <c r="A564" s="5" t="inlineStr">
        <is>
          <t>CC-030</t>
        </is>
      </c>
      <c r="B564" s="2" t="inlineStr">
        <is>
          <t>CC-030:7</t>
        </is>
      </c>
      <c r="C564" s="2" t="inlineStr">
        <is>
          <t>Credits minus 2025 boundary (market based)</t>
        </is>
      </c>
      <c r="D564" s="2" t="inlineStr">
        <is>
          <t>-105.0</t>
        </is>
      </c>
      <c r="E564" s="2" t="inlineStr">
        <is>
          <t>t CO2</t>
        </is>
      </c>
      <c r="F564" s="2" t="inlineStr">
        <is>
          <t>MIA Sustainability Report 2025</t>
        </is>
      </c>
      <c r="G564" s="2" t="inlineStr">
        <is>
          <t>negative: credits fall short</t>
        </is>
      </c>
      <c r="H564" s="2" t="inlineStr"/>
    </row>
    <row r="565">
      <c r="A565" s="5" t="inlineStr">
        <is>
          <t>CC-030</t>
        </is>
      </c>
      <c r="B565" s="2" t="inlineStr">
        <is>
          <t>CC-030:8</t>
        </is>
      </c>
      <c r="C565" s="2" t="inlineStr">
        <is>
          <t>Credits minus 2024 boundary (location / market based)</t>
        </is>
      </c>
      <c r="D565" s="2" t="inlineStr">
        <is>
          <t>425 / 314</t>
        </is>
      </c>
      <c r="E565" s="2" t="inlineStr">
        <is>
          <t>t CO2</t>
        </is>
      </c>
      <c r="F565" s="2" t="inlineStr">
        <is>
          <t>MIA Sustainability Report 2025</t>
        </is>
      </c>
      <c r="G565" s="2" t="inlineStr">
        <is>
          <t>credits exceed the 2024 boundary on either basis</t>
        </is>
      </c>
      <c r="H565" s="2" t="inlineStr"/>
    </row>
    <row r="566">
      <c r="A566" s="5" t="inlineStr">
        <is>
          <t>CC-030</t>
        </is>
      </c>
      <c r="B566" s="2" t="inlineStr">
        <is>
          <t>CC-030:9</t>
        </is>
      </c>
      <c r="C566" s="2" t="inlineStr">
        <is>
          <t>Credits found retired for MIA in public registries</t>
        </is>
      </c>
      <c r="D566" s="2" t="inlineStr">
        <is>
          <t>3780</t>
        </is>
      </c>
      <c r="E566" s="2" t="inlineStr">
        <is>
          <t>t CO2</t>
        </is>
      </c>
      <c r="F566" s="2" t="inlineStr">
        <is>
          <t>Gold Standard block 585497 (1,620 t); Rainbow transaction 9e16ced5 (2,160 t)</t>
        </is>
      </c>
      <c r="G566" s="2" t="inlineStr">
        <is>
          <t>both retired 4 Jun 2026; Canada block (1,670 t) not found</t>
        </is>
      </c>
      <c r="H566" s="2" t="inlineStr"/>
    </row>
    <row r="567">
      <c r="A567" s="5" t="inlineStr">
        <is>
          <t>CC-030</t>
        </is>
      </c>
      <c r="B567" s="2" t="inlineStr">
        <is>
          <t>CC-030:10</t>
        </is>
      </c>
      <c r="C567" s="2" t="inlineStr">
        <is>
          <t>Share of the 5,450 t found retired</t>
        </is>
      </c>
      <c r="D567" s="2" t="inlineStr">
        <is>
          <t>69.4</t>
        </is>
      </c>
      <c r="E567" s="2" t="inlineStr">
        <is>
          <t>%</t>
        </is>
      </c>
      <c r="F567" s="2" t="inlineStr">
        <is>
          <t>registries; MIA Sustainability Report 2025</t>
        </is>
      </c>
      <c r="G567" s="2" t="inlineStr"/>
      <c r="H567" s="2" t="inlineStr"/>
    </row>
    <row r="568">
      <c r="A568" s="5" t="inlineStr">
        <is>
          <t>CC-030</t>
        </is>
      </c>
      <c r="B568" s="2" t="inlineStr">
        <is>
          <t>CC-030:11</t>
        </is>
      </c>
      <c r="C568" s="2" t="inlineStr">
        <is>
          <t>Total reported footprint 2025 (Scope 1 + 2 location + 3)</t>
        </is>
      </c>
      <c r="D568" s="2" t="inlineStr">
        <is>
          <t>738308</t>
        </is>
      </c>
      <c r="E568" s="2" t="inlineStr">
        <is>
          <t>t CO2</t>
        </is>
      </c>
      <c r="F568" s="2" t="inlineStr">
        <is>
          <t>MIA Sustainability Report 2025</t>
        </is>
      </c>
      <c r="G568" s="2" t="inlineStr"/>
      <c r="H568" s="2" t="inlineStr"/>
    </row>
    <row r="569">
      <c r="A569" s="5" t="inlineStr">
        <is>
          <t>CC-030</t>
        </is>
      </c>
      <c r="B569" s="2" t="inlineStr">
        <is>
          <t>CC-030:12</t>
        </is>
      </c>
      <c r="C569" s="2" t="inlineStr">
        <is>
          <t>Share of reported footprint that is Scope 3, 2025</t>
        </is>
      </c>
      <c r="D569" s="2" t="inlineStr">
        <is>
          <t>99.3</t>
        </is>
      </c>
      <c r="E569" s="2" t="inlineStr">
        <is>
          <t>%</t>
        </is>
      </c>
      <c r="F569" s="2" t="inlineStr">
        <is>
          <t>MIA Sustainability Report 2025</t>
        </is>
      </c>
      <c r="G569" s="2" t="inlineStr">
        <is>
          <t>full-flight aircraft accounting from 2025</t>
        </is>
      </c>
      <c r="H569" s="2" t="inlineStr"/>
    </row>
    <row r="570">
      <c r="A570" s="5" t="inlineStr">
        <is>
          <t>CC-030</t>
        </is>
      </c>
      <c r="B570" s="2" t="inlineStr">
        <is>
          <t>CC-030:13</t>
        </is>
      </c>
      <c r="C570" s="2" t="inlineStr">
        <is>
          <t>Share of reported footprint that is Scope 3, 2024 (landing and take-off basis)</t>
        </is>
      </c>
      <c r="D570" s="2" t="inlineStr">
        <is>
          <t>95.3</t>
        </is>
      </c>
      <c r="E570" s="2" t="inlineStr">
        <is>
          <t>%</t>
        </is>
      </c>
      <c r="F570" s="2" t="inlineStr">
        <is>
          <t>MIA Sustainability Report 2025</t>
        </is>
      </c>
      <c r="G570" s="2" t="inlineStr">
        <is>
          <t>the point stands on either basis</t>
        </is>
      </c>
      <c r="H570" s="2" t="inlineStr"/>
    </row>
    <row r="571">
      <c r="A571" s="5" t="inlineStr">
        <is>
          <t>CC-030</t>
        </is>
      </c>
      <c r="B571" s="2" t="inlineStr">
        <is>
          <t>CC-030:14</t>
        </is>
      </c>
      <c r="C571" s="2" t="inlineStr">
        <is>
          <t>ACA boundary (location) as a share of the 2025 footprint</t>
        </is>
      </c>
      <c r="D571" s="2" t="inlineStr">
        <is>
          <t>0.74</t>
        </is>
      </c>
      <c r="E571" s="2" t="inlineStr">
        <is>
          <t>%</t>
        </is>
      </c>
      <c r="F571" s="2" t="inlineStr">
        <is>
          <t>MIA Sustainability Report 2025</t>
        </is>
      </c>
      <c r="G571" s="2" t="inlineStr"/>
      <c r="H571" s="2" t="inlineStr"/>
    </row>
    <row r="572">
      <c r="A572" s="5" t="inlineStr">
        <is>
          <t>CC-030</t>
        </is>
      </c>
      <c r="B572" s="2" t="inlineStr">
        <is>
          <t>CC-030:15</t>
        </is>
      </c>
      <c r="C572" s="2" t="inlineStr">
        <is>
          <t>Share of footprint outside the ACA boundary, 2025</t>
        </is>
      </c>
      <c r="D572" s="2" t="inlineStr">
        <is>
          <t>99.3</t>
        </is>
      </c>
      <c r="E572" s="2" t="inlineStr">
        <is>
          <t>%</t>
        </is>
      </c>
      <c r="F572" s="2" t="inlineStr">
        <is>
          <t>MIA Sustainability Report 2025</t>
        </is>
      </c>
      <c r="G572" s="2" t="inlineStr"/>
      <c r="H572" s="2" t="inlineStr"/>
    </row>
    <row r="573">
      <c r="A573" s="5" t="inlineStr">
        <is>
          <t>CC-030</t>
        </is>
      </c>
      <c r="B573" s="2" t="inlineStr">
        <is>
          <t>CC-030:16</t>
        </is>
      </c>
      <c r="C573" s="2" t="inlineStr">
        <is>
          <t>Credits as a share of the 2025 footprint</t>
        </is>
      </c>
      <c r="D573" s="2" t="inlineStr">
        <is>
          <t>0.74</t>
        </is>
      </c>
      <c r="E573" s="2" t="inlineStr">
        <is>
          <t>%</t>
        </is>
      </c>
      <c r="F573" s="2" t="inlineStr">
        <is>
          <t>MIA Sustainability Report 2025</t>
        </is>
      </c>
      <c r="G573" s="2" t="inlineStr"/>
      <c r="H573" s="2" t="inlineStr"/>
    </row>
    <row r="574">
      <c r="A574" s="5" t="inlineStr">
        <is>
          <t>CC-030</t>
        </is>
      </c>
      <c r="B574" s="2" t="inlineStr">
        <is>
          <t>CC-030:17</t>
        </is>
      </c>
      <c r="C574" s="2" t="inlineStr">
        <is>
          <t>Scope 3 other than use of sold products and business travel, 2025</t>
        </is>
      </c>
      <c r="D574" s="2" t="inlineStr">
        <is>
          <t>59860.0</t>
        </is>
      </c>
      <c r="E574" s="2" t="inlineStr">
        <is>
          <t>t CO2</t>
        </is>
      </c>
      <c r="F574" s="2" t="inlineStr">
        <is>
          <t>MIA Sustainability Report 2025</t>
        </is>
      </c>
      <c r="G574" s="2" t="inlineStr"/>
      <c r="H574" s="2" t="inlineStr"/>
    </row>
    <row r="575">
      <c r="A575" s="5" t="inlineStr">
        <is>
          <t>CC-030</t>
        </is>
      </c>
      <c r="B575" s="2" t="inlineStr">
        <is>
          <t>CC-030:18</t>
        </is>
      </c>
      <c r="C575" s="2" t="inlineStr">
        <is>
          <t>Use of sold products (mostly aircraft), share of Scope 3</t>
        </is>
      </c>
      <c r="D575" s="2" t="inlineStr">
        <is>
          <t>91.8</t>
        </is>
      </c>
      <c r="E575" s="2" t="inlineStr">
        <is>
          <t>%</t>
        </is>
      </c>
      <c r="F575" s="2" t="inlineStr">
        <is>
          <t>MIA Sustainability Report 2025</t>
        </is>
      </c>
      <c r="G575" s="2" t="inlineStr">
        <is>
          <t>category also holds tenants' Scope 1 and passengers' landside traffic (pp.96-97)</t>
        </is>
      </c>
      <c r="H575" s="2" t="inlineStr"/>
    </row>
    <row r="576">
      <c r="A576" s="5" t="inlineStr">
        <is>
          <t>CC-030</t>
        </is>
      </c>
      <c r="B576" s="2" t="inlineStr">
        <is>
          <t>CC-030:19</t>
        </is>
      </c>
      <c r="C576" s="2" t="inlineStr">
        <is>
          <t>Scope 3 jump 2024 to 2025</t>
        </is>
      </c>
      <c r="D576" s="2" t="inlineStr">
        <is>
          <t>622</t>
        </is>
      </c>
      <c r="E576" s="2" t="inlineStr">
        <is>
          <t>%</t>
        </is>
      </c>
      <c r="F576" s="2" t="inlineStr">
        <is>
          <t>MIA Sustainability Report 2025</t>
        </is>
      </c>
      <c r="G576" s="2" t="inlineStr">
        <is>
          <t>method change: landing/take-off cycle to full flight; not a real 7-fold rise</t>
        </is>
      </c>
      <c r="H576" s="2" t="inlineStr"/>
    </row>
    <row r="577">
      <c r="A577" s="5" t="inlineStr">
        <is>
          <t>CC-030</t>
        </is>
      </c>
      <c r="B577" s="2" t="inlineStr">
        <is>
          <t>CC-030:20</t>
        </is>
      </c>
      <c r="C577" s="2" t="inlineStr">
        <is>
          <t>Scope 1 + 2 (location), 2024</t>
        </is>
      </c>
      <c r="D577" s="2" t="inlineStr">
        <is>
          <t>4975.0</t>
        </is>
      </c>
      <c r="E577" s="2" t="inlineStr">
        <is>
          <t>t CO2</t>
        </is>
      </c>
      <c r="F577" s="2" t="inlineStr">
        <is>
          <t>MIA Sustainability Report 2025</t>
        </is>
      </c>
      <c r="G577" s="2" t="inlineStr"/>
      <c r="H577" s="2" t="inlineStr"/>
    </row>
    <row r="578">
      <c r="A578" s="5" t="inlineStr">
        <is>
          <t>CC-030</t>
        </is>
      </c>
      <c r="B578" s="2" t="inlineStr">
        <is>
          <t>CC-030:21</t>
        </is>
      </c>
      <c r="C578" s="2" t="inlineStr">
        <is>
          <t>Change in Scope 1 + 2, 2015 to 2024</t>
        </is>
      </c>
      <c r="D578" s="2" t="inlineStr">
        <is>
          <t>-28.4</t>
        </is>
      </c>
      <c r="E578" s="2" t="inlineStr">
        <is>
          <t>%</t>
        </is>
      </c>
      <c r="F578" s="2" t="inlineStr">
        <is>
          <t>MIA Sustainability Report 2025</t>
        </is>
      </c>
      <c r="G578" s="2" t="inlineStr">
        <is>
          <t>MIA elsewhere: -31% (2023, Net Zero Carbon Plan), -32% (ACA notice)</t>
        </is>
      </c>
      <c r="H578" s="2" t="inlineStr"/>
    </row>
    <row r="579">
      <c r="A579" s="5" t="inlineStr">
        <is>
          <t>CC-030</t>
        </is>
      </c>
      <c r="B579" s="2" t="inlineStr">
        <is>
          <t>CC-030:22</t>
        </is>
      </c>
      <c r="C579" s="2" t="inlineStr">
        <is>
          <t>Scope 1 + 2 (location), 2025</t>
        </is>
      </c>
      <c r="D579" s="2" t="inlineStr">
        <is>
          <t>5395.0</t>
        </is>
      </c>
      <c r="E579" s="2" t="inlineStr">
        <is>
          <t>t CO2</t>
        </is>
      </c>
      <c r="F579" s="2" t="inlineStr">
        <is>
          <t>MIA Sustainability Report 2025</t>
        </is>
      </c>
      <c r="G579" s="2" t="inlineStr"/>
      <c r="H579" s="2" t="inlineStr"/>
    </row>
    <row r="580">
      <c r="A580" s="5" t="inlineStr">
        <is>
          <t>CC-030</t>
        </is>
      </c>
      <c r="B580" s="2" t="inlineStr">
        <is>
          <t>CC-030:23</t>
        </is>
      </c>
      <c r="C580" s="2" t="inlineStr">
        <is>
          <t>Change in Scope 1 + 2, 2015 to 2025</t>
        </is>
      </c>
      <c r="D580" s="2" t="inlineStr">
        <is>
          <t>-22.4</t>
        </is>
      </c>
      <c r="E580" s="2" t="inlineStr">
        <is>
          <t>%</t>
        </is>
      </c>
      <c r="F580" s="2" t="inlineStr">
        <is>
          <t>MIA Sustainability Report 2025</t>
        </is>
      </c>
      <c r="G580" s="2" t="inlineStr">
        <is>
          <t>MIA elsewhere: -31% (2023, Net Zero Carbon Plan), -32% (ACA notice)</t>
        </is>
      </c>
      <c r="H580" s="2" t="inlineStr"/>
    </row>
    <row r="581">
      <c r="A581" s="5" t="inlineStr">
        <is>
          <t>CC-030</t>
        </is>
      </c>
      <c r="B581" s="2" t="inlineStr">
        <is>
          <t>CC-030:24</t>
        </is>
      </c>
      <c r="C581" s="2" t="inlineStr">
        <is>
          <t>Change in Scope 1 + 2, 2024 to 2025</t>
        </is>
      </c>
      <c r="D581" s="2" t="inlineStr">
        <is>
          <t>8.4</t>
        </is>
      </c>
      <c r="E581" s="2" t="inlineStr">
        <is>
          <t>%</t>
        </is>
      </c>
      <c r="F581" s="2" t="inlineStr">
        <is>
          <t>MIA Sustainability Report 2025</t>
        </is>
      </c>
      <c r="G581" s="2" t="inlineStr"/>
      <c r="H581" s="2" t="inlineStr"/>
    </row>
    <row r="582">
      <c r="A582" s="5" t="inlineStr">
        <is>
          <t>CC-030</t>
        </is>
      </c>
      <c r="B582" s="2" t="inlineStr">
        <is>
          <t>CC-030:25</t>
        </is>
      </c>
      <c r="C582" s="2" t="inlineStr">
        <is>
          <t>Scope 1 + 2 level implied by -65% by 2030</t>
        </is>
      </c>
      <c r="D582" s="2" t="inlineStr">
        <is>
          <t>2432</t>
        </is>
      </c>
      <c r="E582" s="2" t="inlineStr">
        <is>
          <t>t CO2</t>
        </is>
      </c>
      <c r="F582" s="2" t="inlineStr">
        <is>
          <t>Net Zero Carbon Plan; MIA Sustainability Report 2025</t>
        </is>
      </c>
      <c r="G582" s="2" t="inlineStr"/>
      <c r="H582" s="2" t="inlineStr"/>
    </row>
    <row r="583">
      <c r="A583" s="5" t="inlineStr">
        <is>
          <t>CC-030</t>
        </is>
      </c>
      <c r="B583" s="2" t="inlineStr">
        <is>
          <t>CC-030:26</t>
        </is>
      </c>
      <c r="C583" s="2" t="inlineStr">
        <is>
          <t>Cut still needed from 2025 to reach it</t>
        </is>
      </c>
      <c r="D583" s="2" t="inlineStr">
        <is>
          <t>2963</t>
        </is>
      </c>
      <c r="E583" s="2" t="inlineStr">
        <is>
          <t>t CO2</t>
        </is>
      </c>
      <c r="F583" s="2" t="inlineStr">
        <is>
          <t>calculated</t>
        </is>
      </c>
      <c r="G583" s="2" t="inlineStr">
        <is>
          <t>55% of the 2025 level</t>
        </is>
      </c>
      <c r="H583" s="2" t="inlineStr"/>
    </row>
    <row r="584">
      <c r="A584" s="5" t="inlineStr">
        <is>
          <t>CC-030</t>
        </is>
      </c>
      <c r="B584" s="2" t="inlineStr">
        <is>
          <t>CC-030:27</t>
        </is>
      </c>
      <c r="C584" s="2" t="inlineStr">
        <is>
          <t>Change in Scope 1, 2024 to 2025</t>
        </is>
      </c>
      <c r="D584" s="2" t="inlineStr">
        <is>
          <t>94</t>
        </is>
      </c>
      <c r="E584" s="2" t="inlineStr">
        <is>
          <t>%</t>
        </is>
      </c>
      <c r="F584" s="2" t="inlineStr">
        <is>
          <t>MIA Sustainability Report 2025</t>
        </is>
      </c>
      <c r="G584" s="2" t="inlineStr"/>
      <c r="H584" s="2" t="inlineStr"/>
    </row>
    <row r="585">
      <c r="A585" s="5" t="inlineStr">
        <is>
          <t>CC-030</t>
        </is>
      </c>
      <c r="B585" s="2" t="inlineStr">
        <is>
          <t>CC-030:28</t>
        </is>
      </c>
      <c r="C585" s="2" t="inlineStr">
        <is>
          <t>Change in fuel use (GRI 103), 2024 to 2025</t>
        </is>
      </c>
      <c r="D585" s="2" t="inlineStr">
        <is>
          <t>30</t>
        </is>
      </c>
      <c r="E585" s="2" t="inlineStr">
        <is>
          <t>%</t>
        </is>
      </c>
      <c r="F585" s="2" t="inlineStr">
        <is>
          <t>MIA Sustainability Report 2025</t>
        </is>
      </c>
      <c r="G585" s="2" t="inlineStr">
        <is>
          <t>1187 to 1540 MWh</t>
        </is>
      </c>
      <c r="H585" s="2" t="inlineStr"/>
    </row>
    <row r="586">
      <c r="A586" s="5" t="inlineStr">
        <is>
          <t>CC-030</t>
        </is>
      </c>
      <c r="B586" s="2" t="inlineStr">
        <is>
          <t>CC-030:29</t>
        </is>
      </c>
      <c r="C586" s="2" t="inlineStr">
        <is>
          <t>Fuel CO2 2025 from the report's litres and its own factors</t>
        </is>
      </c>
      <c r="D586" s="2" t="inlineStr">
        <is>
          <t>408</t>
        </is>
      </c>
      <c r="E586" s="2" t="inlineStr">
        <is>
          <t>t CO2</t>
        </is>
      </c>
      <c r="F586" s="2" t="inlineStr">
        <is>
          <t>MIA Sustainability Report 2025 pp.29, 90-91</t>
        </is>
      </c>
      <c r="G586" s="2" t="inlineStr">
        <is>
          <t>50% of the reported Scope 1 (813 t); remainder not broken down</t>
        </is>
      </c>
      <c r="H586" s="2" t="inlineStr"/>
    </row>
    <row r="587">
      <c r="A587" s="5" t="inlineStr">
        <is>
          <t>CC-030</t>
        </is>
      </c>
      <c r="B587" s="2" t="inlineStr">
        <is>
          <t>CC-030:30</t>
        </is>
      </c>
      <c r="C587" s="2" t="inlineStr">
        <is>
          <t>EU grant share of programme cost</t>
        </is>
      </c>
      <c r="D587" s="2" t="inlineStr">
        <is>
          <t>43.1</t>
        </is>
      </c>
      <c r="E587" s="2" t="inlineStr">
        <is>
          <t>%</t>
        </is>
      </c>
      <c r="F587" s="2" t="inlineStr">
        <is>
          <t>CINEA; press release</t>
        </is>
      </c>
      <c r="G587" s="2" t="inlineStr"/>
      <c r="H587" s="2" t="inlineStr"/>
    </row>
    <row r="588">
      <c r="A588" s="5" t="inlineStr">
        <is>
          <t>CC-030</t>
        </is>
      </c>
      <c r="B588" s="2" t="inlineStr">
        <is>
          <t>CC-030:31</t>
        </is>
      </c>
      <c r="C588" s="2" t="inlineStr">
        <is>
          <t>EU grant share of AFIF eligible costs</t>
        </is>
      </c>
      <c r="D588" s="2" t="inlineStr">
        <is>
          <t>50.0</t>
        </is>
      </c>
      <c r="E588" s="2" t="inlineStr">
        <is>
          <t>%</t>
        </is>
      </c>
      <c r="F588" s="2" t="inlineStr">
        <is>
          <t>CINEA</t>
        </is>
      </c>
      <c r="G588" s="2" t="inlineStr"/>
      <c r="H588" s="2" t="inlineStr"/>
    </row>
    <row r="589">
      <c r="A589" s="5" t="inlineStr">
        <is>
          <t>CC-030</t>
        </is>
      </c>
      <c r="B589" s="2" t="inlineStr">
        <is>
          <t>CC-030:32</t>
        </is>
      </c>
      <c r="C589" s="2" t="inlineStr">
        <is>
          <t>Programme avoided CO2 vs Scope 1 + 2 2025</t>
        </is>
      </c>
      <c r="D589" s="2" t="inlineStr">
        <is>
          <t>18.5</t>
        </is>
      </c>
      <c r="E589" s="2" t="inlineStr">
        <is>
          <t>%</t>
        </is>
      </c>
      <c r="F589" s="2" t="inlineStr">
        <is>
          <t>press release; MIA Sustainability Report 2025</t>
        </is>
      </c>
      <c r="G589" s="2" t="inlineStr"/>
      <c r="H589" s="2" t="inlineStr"/>
    </row>
    <row r="590">
      <c r="A590" s="5" t="inlineStr">
        <is>
          <t>CC-030</t>
        </is>
      </c>
      <c r="B590" s="2" t="inlineStr">
        <is>
          <t>CC-030:33</t>
        </is>
      </c>
      <c r="C590" s="2" t="inlineStr">
        <is>
          <t>Programme avoided CO2 vs Scope 3 2025</t>
        </is>
      </c>
      <c r="D590" s="2" t="inlineStr">
        <is>
          <t>0.14</t>
        </is>
      </c>
      <c r="E590" s="2" t="inlineStr">
        <is>
          <t>%</t>
        </is>
      </c>
      <c r="F590" s="2" t="inlineStr">
        <is>
          <t>press release; MIA Sustainability Report 2025</t>
        </is>
      </c>
      <c r="G590" s="2" t="inlineStr"/>
      <c r="H590" s="2" t="inlineStr"/>
    </row>
    <row r="591">
      <c r="A591" s="5" t="inlineStr">
        <is>
          <t>CC-030</t>
        </is>
      </c>
      <c r="B591" s="2" t="inlineStr">
        <is>
          <t>CC-030:34</t>
        </is>
      </c>
      <c r="C591" s="2" t="inlineStr">
        <is>
          <t>Turnarounds a year (movements / 2)</t>
        </is>
      </c>
      <c r="D591" s="2" t="inlineStr">
        <is>
          <t>32735</t>
        </is>
      </c>
      <c r="E591" s="2" t="inlineStr">
        <is>
          <t>turnarounds</t>
        </is>
      </c>
      <c r="F591" s="2" t="inlineStr">
        <is>
          <t>MIA announcement 461/2026</t>
        </is>
      </c>
      <c r="G591" s="2" t="inlineStr">
        <is>
          <t>65,470 / 2</t>
        </is>
      </c>
      <c r="H591" s="2" t="inlineStr"/>
    </row>
    <row r="592">
      <c r="A592" s="5" t="inlineStr">
        <is>
          <t>CC-030</t>
        </is>
      </c>
      <c r="B592" s="2" t="inlineStr">
        <is>
          <t>CC-030:35</t>
        </is>
      </c>
      <c r="C592" s="2" t="inlineStr">
        <is>
          <t>Avoided CO2 per turnaround if spread over every turnaround</t>
        </is>
      </c>
      <c r="D592" s="2" t="inlineStr">
        <is>
          <t>30.5</t>
        </is>
      </c>
      <c r="E592" s="2" t="inlineStr">
        <is>
          <t>kg CO2</t>
        </is>
      </c>
      <c r="F592" s="2" t="inlineStr">
        <is>
          <t>calculated</t>
        </is>
      </c>
      <c r="G592" s="2" t="inlineStr"/>
      <c r="H592" s="2" t="inlineStr"/>
    </row>
    <row r="593">
      <c r="A593" s="5" t="inlineStr">
        <is>
          <t>CC-030</t>
        </is>
      </c>
      <c r="B593" s="2" t="inlineStr">
        <is>
          <t>CC-030:36</t>
        </is>
      </c>
      <c r="C593" s="2" t="inlineStr">
        <is>
          <t>Diesel CO2 factor (IPCC 2006 default)</t>
        </is>
      </c>
      <c r="D593" s="2" t="inlineStr">
        <is>
          <t>3.186</t>
        </is>
      </c>
      <c r="E593" s="2" t="inlineStr">
        <is>
          <t>kg CO2 per kg</t>
        </is>
      </c>
      <c r="F593" s="2" t="inlineStr">
        <is>
          <t>IPCC 2006</t>
        </is>
      </c>
      <c r="G593" s="2" t="inlineStr">
        <is>
          <t>74,100 kg/TJ x 43.0 TJ/Gg</t>
        </is>
      </c>
      <c r="H593" s="2" t="inlineStr"/>
    </row>
    <row r="594">
      <c r="A594" s="5" t="inlineStr">
        <is>
          <t>CC-030</t>
        </is>
      </c>
      <c r="B594" s="2" t="inlineStr">
        <is>
          <t>CC-030:37</t>
        </is>
      </c>
      <c r="C594" s="2" t="inlineStr">
        <is>
          <t>Diesel GPU CO2 per hour</t>
        </is>
      </c>
      <c r="D594" s="2" t="inlineStr">
        <is>
          <t>24.7</t>
        </is>
      </c>
      <c r="E594" s="2" t="inlineStr">
        <is>
          <t>kg CO2/h</t>
        </is>
      </c>
      <c r="F594" s="2" t="inlineStr">
        <is>
          <t>Padhra (2018) accepted manuscript (Fleuti 2006, second-hand); IPCC 2006</t>
        </is>
      </c>
      <c r="G594" s="2" t="inlineStr">
        <is>
          <t>7.74 kg diesel/h; indicative</t>
        </is>
      </c>
      <c r="H594" s="2" t="inlineStr"/>
    </row>
    <row r="595">
      <c r="A595" s="5" t="inlineStr">
        <is>
          <t>CC-030</t>
        </is>
      </c>
      <c r="B595" s="2" t="inlineStr">
        <is>
          <t>CC-030:38</t>
        </is>
      </c>
      <c r="C595" s="2" t="inlineStr">
        <is>
          <t>APU CO2 per hour</t>
        </is>
      </c>
      <c r="D595" s="2" t="inlineStr">
        <is>
          <t>326</t>
        </is>
      </c>
      <c r="E595" s="2" t="inlineStr">
        <is>
          <t>kg CO2/h</t>
        </is>
      </c>
      <c r="F595" s="2" t="inlineStr">
        <is>
          <t>Padhra (2018) accepted manuscript; MIA Jet A-1 factor</t>
        </is>
      </c>
      <c r="G595" s="2" t="inlineStr">
        <is>
          <t>103.2 kg fuel/h x 3.163</t>
        </is>
      </c>
      <c r="H595" s="2" t="inlineStr"/>
    </row>
    <row r="596">
      <c r="A596" s="5" t="inlineStr">
        <is>
          <t>CC-030</t>
        </is>
      </c>
      <c r="B596" s="2" t="inlineStr">
        <is>
          <t>CC-030:39</t>
        </is>
      </c>
      <c r="C596" s="2" t="inlineStr">
        <is>
          <t>Diesel GPU-hours replaced to avoid 1,000 t (gross)</t>
        </is>
      </c>
      <c r="D596" s="2" t="inlineStr">
        <is>
          <t>40500.0</t>
        </is>
      </c>
      <c r="E596" s="2" t="inlineStr">
        <is>
          <t>hours</t>
        </is>
      </c>
      <c r="F596" s="2" t="inlineStr">
        <is>
          <t>calculated</t>
        </is>
      </c>
      <c r="G596" s="2" t="inlineStr">
        <is>
          <t>40,548</t>
        </is>
      </c>
      <c r="H596" s="2" t="inlineStr"/>
    </row>
    <row r="597">
      <c r="A597" s="5" t="inlineStr">
        <is>
          <t>CC-030</t>
        </is>
      </c>
      <c r="B597" s="2" t="inlineStr">
        <is>
          <t>CC-030:40</t>
        </is>
      </c>
      <c r="C597" s="2" t="inlineStr">
        <is>
          <t>Minutes of diesel GPU per turnaround for 1,000 t, every turnaround</t>
        </is>
      </c>
      <c r="D597" s="2" t="inlineStr">
        <is>
          <t>74.3</t>
        </is>
      </c>
      <c r="E597" s="2" t="inlineStr">
        <is>
          <t>minutes</t>
        </is>
      </c>
      <c r="F597" s="2" t="inlineStr">
        <is>
          <t>calculated</t>
        </is>
      </c>
      <c r="G597" s="2" t="inlineStr">
        <is>
          <t>against 22.5 min of external power per turnaround in Padhra's sample</t>
        </is>
      </c>
      <c r="H597" s="2" t="inlineStr"/>
    </row>
    <row r="598">
      <c r="A598" s="5" t="inlineStr">
        <is>
          <t>CC-030</t>
        </is>
      </c>
      <c r="B598" s="2" t="inlineStr">
        <is>
          <t>CC-030:41</t>
        </is>
      </c>
      <c r="C598" s="2" t="inlineStr">
        <is>
          <t>Gross diesel GPU CO2 if every turnaround used one for 22.5 minutes</t>
        </is>
      </c>
      <c r="D598" s="2" t="inlineStr">
        <is>
          <t>302</t>
        </is>
      </c>
      <c r="E598" s="2" t="inlineStr">
        <is>
          <t>t CO2 a year</t>
        </is>
      </c>
      <c r="F598" s="2" t="inlineStr">
        <is>
          <t>calculated</t>
        </is>
      </c>
      <c r="G598" s="2" t="inlineStr">
        <is>
          <t>9.2 kg per turnaround; before subtracting grid electricity</t>
        </is>
      </c>
      <c r="H598" s="2" t="inlineStr"/>
    </row>
    <row r="599">
      <c r="A599" s="5" t="inlineStr">
        <is>
          <t>CC-030</t>
        </is>
      </c>
      <c r="B599" s="2" t="inlineStr">
        <is>
          <t>CC-030:42</t>
        </is>
      </c>
      <c r="C599" s="2" t="inlineStr">
        <is>
          <t>Diesel GPU share of the claimed 1,000 t on that basis</t>
        </is>
      </c>
      <c r="D599" s="2" t="inlineStr">
        <is>
          <t>30</t>
        </is>
      </c>
      <c r="E599" s="2" t="inlineStr">
        <is>
          <t>%</t>
        </is>
      </c>
      <c r="F599" s="2" t="inlineStr">
        <is>
          <t>calculated</t>
        </is>
      </c>
      <c r="G599" s="2" t="inlineStr"/>
      <c r="H599" s="2" t="inlineStr"/>
    </row>
    <row r="600">
      <c r="A600" s="5" t="inlineStr">
        <is>
          <t>CC-030</t>
        </is>
      </c>
      <c r="B600" s="2" t="inlineStr">
        <is>
          <t>CC-030:43</t>
        </is>
      </c>
      <c r="C600" s="2" t="inlineStr">
        <is>
          <t>APU-hours avoided for 1,000 t</t>
        </is>
      </c>
      <c r="D600" s="2" t="inlineStr">
        <is>
          <t>3064</t>
        </is>
      </c>
      <c r="E600" s="2" t="inlineStr">
        <is>
          <t>hours</t>
        </is>
      </c>
      <c r="F600" s="2" t="inlineStr">
        <is>
          <t>calculated</t>
        </is>
      </c>
      <c r="G600" s="2" t="inlineStr"/>
      <c r="H600" s="2" t="inlineStr"/>
    </row>
    <row r="601">
      <c r="A601" s="5" t="inlineStr">
        <is>
          <t>CC-030</t>
        </is>
      </c>
      <c r="B601" s="2" t="inlineStr">
        <is>
          <t>CC-030:44</t>
        </is>
      </c>
      <c r="C601" s="2" t="inlineStr">
        <is>
          <t>Minutes of APU running avoided per turnaround for 1,000 t, every turnaround</t>
        </is>
      </c>
      <c r="D601" s="2" t="inlineStr">
        <is>
          <t>5.6</t>
        </is>
      </c>
      <c r="E601" s="2" t="inlineStr">
        <is>
          <t>minutes</t>
        </is>
      </c>
      <c r="F601" s="2" t="inlineStr">
        <is>
          <t>calculated</t>
        </is>
      </c>
      <c r="G601" s="2" t="inlineStr"/>
      <c r="H601" s="2" t="inlineStr"/>
    </row>
    <row r="602">
      <c r="A602" s="5" t="inlineStr">
        <is>
          <t>CC-030</t>
        </is>
      </c>
      <c r="B602" s="2" t="inlineStr">
        <is>
          <t>CC-030:45</t>
        </is>
      </c>
      <c r="C602" s="2" t="inlineStr">
        <is>
          <t>Minutes of APU avoided per turnaround to cover the rest after the 22.5-minute GPU case</t>
        </is>
      </c>
      <c r="D602" s="2" t="inlineStr">
        <is>
          <t>3.9</t>
        </is>
      </c>
      <c r="E602" s="2" t="inlineStr">
        <is>
          <t>minutes</t>
        </is>
      </c>
      <c r="F602" s="2" t="inlineStr">
        <is>
          <t>calculated</t>
        </is>
      </c>
      <c r="G602" s="2" t="inlineStr">
        <is>
          <t>or electric bus and ground-equipment savings, which MIA has not quantified</t>
        </is>
      </c>
      <c r="H602" s="2" t="inlineStr"/>
    </row>
    <row r="603">
      <c r="A603" s="5" t="inlineStr">
        <is>
          <t>CC-030</t>
        </is>
      </c>
      <c r="B603" s="2" t="inlineStr">
        <is>
          <t>CC-030:46</t>
        </is>
      </c>
      <c r="C603" s="2" t="inlineStr">
        <is>
          <t>Grid electricity factor (MIA, Enemalta residual mix)</t>
        </is>
      </c>
      <c r="D603" s="2" t="inlineStr">
        <is>
          <t>0.389</t>
        </is>
      </c>
      <c r="E603" s="2" t="inlineStr">
        <is>
          <t>kg CO2/kWh</t>
        </is>
      </c>
      <c r="F603" s="2" t="inlineStr">
        <is>
          <t>MIA Sustainability Report 2025</t>
        </is>
      </c>
      <c r="G603" s="2" t="inlineStr">
        <is>
          <t>grid power supplied in place of diesel adds emissions at this rate, so net &lt; gross</t>
        </is>
      </c>
      <c r="H603" s="2" t="inlineStr"/>
    </row>
    <row r="604">
      <c r="A604" s="5" t="inlineStr">
        <is>
          <t>CC-030</t>
        </is>
      </c>
      <c r="B604" s="2" t="inlineStr">
        <is>
          <t>CC-030:47</t>
        </is>
      </c>
      <c r="C604" s="2" t="inlineStr">
        <is>
          <t>Intensity Scope 1 + 2 per passenger, 2025</t>
        </is>
      </c>
      <c r="D604" s="2" t="inlineStr">
        <is>
          <t>0.536</t>
        </is>
      </c>
      <c r="E604" s="2" t="inlineStr">
        <is>
          <t>kg CO2/pax</t>
        </is>
      </c>
      <c r="F604" s="2" t="inlineStr">
        <is>
          <t>MIA Sustainability Report 2025</t>
        </is>
      </c>
      <c r="G604" s="2" t="inlineStr">
        <is>
          <t>company reports 0.54</t>
        </is>
      </c>
      <c r="H604" s="2" t="inlineStr"/>
    </row>
    <row r="605">
      <c r="A605" s="5" t="inlineStr">
        <is>
          <t>CC-031</t>
        </is>
      </c>
      <c r="B605" s="2" t="inlineStr">
        <is>
          <t>CC-031:2</t>
        </is>
      </c>
      <c r="C605" s="2" t="inlineStr">
        <is>
          <t>Gozo and Comino share of Malta's population, 1 Jan 2023</t>
        </is>
      </c>
      <c r="D605" s="2" t="inlineStr">
        <is>
          <t>7.41</t>
        </is>
      </c>
      <c r="E605" s="2" t="inlineStr">
        <is>
          <t>%</t>
        </is>
      </c>
      <c r="F605" s="2" t="inlineStr">
        <is>
          <t>Eurostat env_air_gge, demo_r_pjangrp3, retrieved 6 Oct 2026; MPT estimate via TVM News 4 Jul 2026</t>
        </is>
      </c>
      <c r="G605" s="2" t="inlineStr">
        <is>
          <t>40191 of 542051</t>
        </is>
      </c>
      <c r="H605" s="2" t="inlineStr"/>
    </row>
    <row r="606">
      <c r="A606" s="5" t="inlineStr">
        <is>
          <t>CC-031</t>
        </is>
      </c>
      <c r="B606" s="2" t="inlineStr">
        <is>
          <t>CC-031:3</t>
        </is>
      </c>
      <c r="C606" s="2" t="inlineStr">
        <is>
          <t>Malta total GHG 2023</t>
        </is>
      </c>
      <c r="D606" s="2" t="inlineStr">
        <is>
          <t>2207.3</t>
        </is>
      </c>
      <c r="E606" s="2" t="inlineStr">
        <is>
          <t>kt CO2e</t>
        </is>
      </c>
      <c r="F606" s="2" t="inlineStr">
        <is>
          <t>Eurostat env_air_gge, demo_r_pjangrp3, retrieved 6 Oct 2026; MPT estimate via TVM News 4 Jul 2026</t>
        </is>
      </c>
      <c r="G606" s="2" t="inlineStr">
        <is>
          <t>excl. LULUCF and international aviation and shipping</t>
        </is>
      </c>
      <c r="H606" s="2" t="inlineStr"/>
    </row>
    <row r="607">
      <c r="A607" s="5" t="inlineStr">
        <is>
          <t>CC-031</t>
        </is>
      </c>
      <c r="B607" s="2" t="inlineStr">
        <is>
          <t>CC-031:4</t>
        </is>
      </c>
      <c r="C607" s="2" t="inlineStr">
        <is>
          <t>Malta road-transport GHG 2023</t>
        </is>
      </c>
      <c r="D607" s="2" t="inlineStr">
        <is>
          <t>686.5</t>
        </is>
      </c>
      <c r="E607" s="2" t="inlineStr">
        <is>
          <t>kt CO2e</t>
        </is>
      </c>
      <c r="F607" s="2" t="inlineStr">
        <is>
          <t>Eurostat env_air_gge, demo_r_pjangrp3, retrieved 6 Oct 2026; MPT estimate via TVM News 4 Jul 2026</t>
        </is>
      </c>
      <c r="G607" s="2" t="inlineStr">
        <is>
          <t>31.1% of the total</t>
        </is>
      </c>
      <c r="H607" s="2" t="inlineStr"/>
    </row>
    <row r="608">
      <c r="A608" s="5" t="inlineStr">
        <is>
          <t>CC-031</t>
        </is>
      </c>
      <c r="B608" s="2" t="inlineStr">
        <is>
          <t>CC-031:5</t>
        </is>
      </c>
      <c r="C608" s="2" t="inlineStr">
        <is>
          <t>Malta fuel combustion in transport 2023</t>
        </is>
      </c>
      <c r="D608" s="2" t="inlineStr">
        <is>
          <t>765.2</t>
        </is>
      </c>
      <c r="E608" s="2" t="inlineStr">
        <is>
          <t>kt CO2e</t>
        </is>
      </c>
      <c r="F608" s="2" t="inlineStr">
        <is>
          <t>Eurostat env_air_gge, demo_r_pjangrp3, retrieved 6 Oct 2026; MPT estimate via TVM News 4 Jul 2026</t>
        </is>
      </c>
      <c r="G608" s="2" t="inlineStr">
        <is>
          <t>34.7% of the total</t>
        </is>
      </c>
      <c r="H608" s="2" t="inlineStr"/>
    </row>
    <row r="609">
      <c r="A609" s="5" t="inlineStr">
        <is>
          <t>CC-031</t>
        </is>
      </c>
      <c r="B609" s="2" t="inlineStr">
        <is>
          <t>CC-031:6</t>
        </is>
      </c>
      <c r="C609" s="2" t="inlineStr">
        <is>
          <t>Gozo road transport 2023, population-proportional approximation</t>
        </is>
      </c>
      <c r="D609" s="2" t="inlineStr">
        <is>
          <t>50.9</t>
        </is>
      </c>
      <c r="E609" s="2" t="inlineStr">
        <is>
          <t>kt CO2e</t>
        </is>
      </c>
      <c r="F609" s="2" t="inlineStr">
        <is>
          <t>Eurostat env_air_gge, demo_r_pjangrp3, retrieved 6 Oct 2026; MPT estimate via TVM News 4 Jul 2026</t>
        </is>
      </c>
      <c r="G609" s="2" t="inlineStr">
        <is>
          <t>NOT Gozo data: Malta road transport x Gozo's population share; no regional inventory exists in Eurostat</t>
        </is>
      </c>
      <c r="H609" s="2" t="inlineStr"/>
    </row>
    <row r="610">
      <c r="A610" s="5" t="inlineStr">
        <is>
          <t>CC-031</t>
        </is>
      </c>
      <c r="B610" s="2" t="inlineStr">
        <is>
          <t>CC-031:7</t>
        </is>
      </c>
      <c r="C610" s="2" t="inlineStr">
        <is>
          <t>Gozo all sectors 2023, population-proportional approximation</t>
        </is>
      </c>
      <c r="D610" s="2" t="inlineStr">
        <is>
          <t>163.7</t>
        </is>
      </c>
      <c r="E610" s="2" t="inlineStr">
        <is>
          <t>kt CO2e</t>
        </is>
      </c>
      <c r="F610" s="2" t="inlineStr">
        <is>
          <t>Eurostat env_air_gge, demo_r_pjangrp3, retrieved 6 Oct 2026; MPT estimate via TVM News 4 Jul 2026</t>
        </is>
      </c>
      <c r="G610" s="2" t="inlineStr">
        <is>
          <t>as above; illustrative scale only</t>
        </is>
      </c>
      <c r="H610" s="2" t="inlineStr"/>
    </row>
    <row r="611">
      <c r="A611" s="5" t="inlineStr">
        <is>
          <t>CC-031</t>
        </is>
      </c>
      <c r="B611" s="2" t="inlineStr">
        <is>
          <t>CC-031:8</t>
        </is>
      </c>
      <c r="C611" s="2" t="inlineStr">
        <is>
          <t>Bus saving (1.3 kt) as share of approximate Gozo road transport 2023</t>
        </is>
      </c>
      <c r="D611" s="2" t="inlineStr">
        <is>
          <t>2.6</t>
        </is>
      </c>
      <c r="E611" s="2" t="inlineStr">
        <is>
          <t>%</t>
        </is>
      </c>
      <c r="F611" s="2" t="inlineStr">
        <is>
          <t>Eurostat env_air_gge, demo_r_pjangrp3, retrieved 6 Oct 2026; MPT estimate via TVM News 4 Jul 2026</t>
        </is>
      </c>
      <c r="G611" s="2" t="inlineStr">
        <is>
          <t>operator estimate over proportional approximation: order of magnitude only</t>
        </is>
      </c>
      <c r="H611" s="2" t="inlineStr"/>
    </row>
    <row r="612">
      <c r="A612" s="5" t="inlineStr">
        <is>
          <t>CC-031</t>
        </is>
      </c>
      <c r="B612" s="2" t="inlineStr">
        <is>
          <t>CC-031:9</t>
        </is>
      </c>
      <c r="C612" s="2" t="inlineStr">
        <is>
          <t>Bus saving as share of Malta road transport 2023</t>
        </is>
      </c>
      <c r="D612" s="2" t="inlineStr">
        <is>
          <t>0.19</t>
        </is>
      </c>
      <c r="E612" s="2" t="inlineStr">
        <is>
          <t>%</t>
        </is>
      </c>
      <c r="F612" s="2" t="inlineStr">
        <is>
          <t>Eurostat env_air_gge, demo_r_pjangrp3, retrieved 6 Oct 2026; MPT estimate via TVM News 4 Jul 2026</t>
        </is>
      </c>
      <c r="G612" s="2" t="inlineStr"/>
      <c r="H612" s="2" t="inlineStr"/>
    </row>
    <row r="613">
      <c r="A613" s="5" t="inlineStr">
        <is>
          <t>CC-031</t>
        </is>
      </c>
      <c r="B613" s="2" t="inlineStr">
        <is>
          <t>CC-031:10</t>
        </is>
      </c>
      <c r="C613" s="2" t="inlineStr">
        <is>
          <t>Bus saving as share of Malta total GHG 2023</t>
        </is>
      </c>
      <c r="D613" s="2" t="inlineStr">
        <is>
          <t>0.059</t>
        </is>
      </c>
      <c r="E613" s="2" t="inlineStr">
        <is>
          <t>%</t>
        </is>
      </c>
      <c r="F613" s="2" t="inlineStr">
        <is>
          <t>Eurostat env_air_gge, demo_r_pjangrp3, retrieved 6 Oct 2026; MPT estimate via TVM News 4 Jul 2026</t>
        </is>
      </c>
      <c r="G613" s="2" t="inlineStr"/>
      <c r="H613" s="2" t="inlineStr"/>
    </row>
    <row r="614">
      <c r="A614" s="5" t="inlineStr">
        <is>
          <t>CC-031</t>
        </is>
      </c>
      <c r="B614" s="2" t="inlineStr">
        <is>
          <t>CC-031:11</t>
        </is>
      </c>
      <c r="C614" s="2" t="inlineStr">
        <is>
          <t>Gozo and Comino share of Malta's population, 1 Jan 2024</t>
        </is>
      </c>
      <c r="D614" s="2" t="inlineStr">
        <is>
          <t>7.26</t>
        </is>
      </c>
      <c r="E614" s="2" t="inlineStr">
        <is>
          <t>%</t>
        </is>
      </c>
      <c r="F614" s="2" t="inlineStr">
        <is>
          <t>Eurostat env_air_gge, demo_r_pjangrp3, retrieved 6 Oct 2026; MPT estimate via TVM News 4 Jul 2026</t>
        </is>
      </c>
      <c r="G614" s="2" t="inlineStr">
        <is>
          <t>40926 of 563443</t>
        </is>
      </c>
      <c r="H614" s="2" t="inlineStr"/>
    </row>
    <row r="615">
      <c r="A615" s="5" t="inlineStr">
        <is>
          <t>CC-031</t>
        </is>
      </c>
      <c r="B615" s="2" t="inlineStr">
        <is>
          <t>CC-031:12</t>
        </is>
      </c>
      <c r="C615" s="2" t="inlineStr">
        <is>
          <t>Malta total GHG 2024</t>
        </is>
      </c>
      <c r="D615" s="2" t="inlineStr">
        <is>
          <t>2170.2</t>
        </is>
      </c>
      <c r="E615" s="2" t="inlineStr">
        <is>
          <t>kt CO2e</t>
        </is>
      </c>
      <c r="F615" s="2" t="inlineStr">
        <is>
          <t>Eurostat env_air_gge, demo_r_pjangrp3, retrieved 6 Oct 2026; MPT estimate via TVM News 4 Jul 2026</t>
        </is>
      </c>
      <c r="G615" s="2" t="inlineStr">
        <is>
          <t>excl. LULUCF and international aviation and shipping</t>
        </is>
      </c>
      <c r="H615" s="2" t="inlineStr"/>
    </row>
    <row r="616">
      <c r="A616" s="5" t="inlineStr">
        <is>
          <t>CC-031</t>
        </is>
      </c>
      <c r="B616" s="2" t="inlineStr">
        <is>
          <t>CC-031:13</t>
        </is>
      </c>
      <c r="C616" s="2" t="inlineStr">
        <is>
          <t>Malta road-transport GHG 2024</t>
        </is>
      </c>
      <c r="D616" s="2" t="inlineStr">
        <is>
          <t>690.2</t>
        </is>
      </c>
      <c r="E616" s="2" t="inlineStr">
        <is>
          <t>kt CO2e</t>
        </is>
      </c>
      <c r="F616" s="2" t="inlineStr">
        <is>
          <t>Eurostat env_air_gge, demo_r_pjangrp3, retrieved 6 Oct 2026; MPT estimate via TVM News 4 Jul 2026</t>
        </is>
      </c>
      <c r="G616" s="2" t="inlineStr">
        <is>
          <t>31.8% of the total</t>
        </is>
      </c>
      <c r="H616" s="2" t="inlineStr"/>
    </row>
    <row r="617">
      <c r="A617" s="5" t="inlineStr">
        <is>
          <t>CC-031</t>
        </is>
      </c>
      <c r="B617" s="2" t="inlineStr">
        <is>
          <t>CC-031:14</t>
        </is>
      </c>
      <c r="C617" s="2" t="inlineStr">
        <is>
          <t>Malta fuel combustion in transport 2024</t>
        </is>
      </c>
      <c r="D617" s="2" t="inlineStr">
        <is>
          <t>787.7</t>
        </is>
      </c>
      <c r="E617" s="2" t="inlineStr">
        <is>
          <t>kt CO2e</t>
        </is>
      </c>
      <c r="F617" s="2" t="inlineStr">
        <is>
          <t>Eurostat env_air_gge, demo_r_pjangrp3, retrieved 6 Oct 2026; MPT estimate via TVM News 4 Jul 2026</t>
        </is>
      </c>
      <c r="G617" s="2" t="inlineStr">
        <is>
          <t>36.3% of the total</t>
        </is>
      </c>
      <c r="H617" s="2" t="inlineStr"/>
    </row>
    <row r="618">
      <c r="A618" s="5" t="inlineStr">
        <is>
          <t>CC-031</t>
        </is>
      </c>
      <c r="B618" s="2" t="inlineStr">
        <is>
          <t>CC-031:15</t>
        </is>
      </c>
      <c r="C618" s="2" t="inlineStr">
        <is>
          <t>Gozo road transport 2024, population-proportional approximation</t>
        </is>
      </c>
      <c r="D618" s="2" t="inlineStr">
        <is>
          <t>50.1</t>
        </is>
      </c>
      <c r="E618" s="2" t="inlineStr">
        <is>
          <t>kt CO2e</t>
        </is>
      </c>
      <c r="F618" s="2" t="inlineStr">
        <is>
          <t>Eurostat env_air_gge, demo_r_pjangrp3, retrieved 6 Oct 2026; MPT estimate via TVM News 4 Jul 2026</t>
        </is>
      </c>
      <c r="G618" s="2" t="inlineStr">
        <is>
          <t>NOT Gozo data: Malta road transport x Gozo's population share; no regional inventory exists in Eurostat</t>
        </is>
      </c>
      <c r="H618" s="2" t="inlineStr"/>
    </row>
    <row r="619">
      <c r="A619" s="5" t="inlineStr">
        <is>
          <t>CC-031</t>
        </is>
      </c>
      <c r="B619" s="2" t="inlineStr">
        <is>
          <t>CC-031:16</t>
        </is>
      </c>
      <c r="C619" s="2" t="inlineStr">
        <is>
          <t>Gozo all sectors 2024, population-proportional approximation</t>
        </is>
      </c>
      <c r="D619" s="2" t="inlineStr">
        <is>
          <t>157.6</t>
        </is>
      </c>
      <c r="E619" s="2" t="inlineStr">
        <is>
          <t>kt CO2e</t>
        </is>
      </c>
      <c r="F619" s="2" t="inlineStr">
        <is>
          <t>Eurostat env_air_gge, demo_r_pjangrp3, retrieved 6 Oct 2026; MPT estimate via TVM News 4 Jul 2026</t>
        </is>
      </c>
      <c r="G619" s="2" t="inlineStr">
        <is>
          <t>as above; illustrative scale only</t>
        </is>
      </c>
      <c r="H619" s="2" t="inlineStr"/>
    </row>
    <row r="620">
      <c r="A620" s="5" t="inlineStr">
        <is>
          <t>CC-031</t>
        </is>
      </c>
      <c r="B620" s="2" t="inlineStr">
        <is>
          <t>CC-031:17</t>
        </is>
      </c>
      <c r="C620" s="2" t="inlineStr">
        <is>
          <t>Bus saving (1.3 kt) as share of approximate Gozo road transport 2024</t>
        </is>
      </c>
      <c r="D620" s="2" t="inlineStr">
        <is>
          <t>2.6</t>
        </is>
      </c>
      <c r="E620" s="2" t="inlineStr">
        <is>
          <t>%</t>
        </is>
      </c>
      <c r="F620" s="2" t="inlineStr">
        <is>
          <t>Eurostat env_air_gge, demo_r_pjangrp3, retrieved 6 Oct 2026; MPT estimate via TVM News 4 Jul 2026</t>
        </is>
      </c>
      <c r="G620" s="2" t="inlineStr">
        <is>
          <t>operator estimate over proportional approximation: order of magnitude only</t>
        </is>
      </c>
      <c r="H620" s="2" t="inlineStr"/>
    </row>
    <row r="621">
      <c r="A621" s="5" t="inlineStr">
        <is>
          <t>CC-031</t>
        </is>
      </c>
      <c r="B621" s="2" t="inlineStr">
        <is>
          <t>CC-031:18</t>
        </is>
      </c>
      <c r="C621" s="2" t="inlineStr">
        <is>
          <t>Bus saving as share of Malta road transport 2024</t>
        </is>
      </c>
      <c r="D621" s="2" t="inlineStr">
        <is>
          <t>0.19</t>
        </is>
      </c>
      <c r="E621" s="2" t="inlineStr">
        <is>
          <t>%</t>
        </is>
      </c>
      <c r="F621" s="2" t="inlineStr">
        <is>
          <t>Eurostat env_air_gge, demo_r_pjangrp3, retrieved 6 Oct 2026; MPT estimate via TVM News 4 Jul 2026</t>
        </is>
      </c>
      <c r="G621" s="2" t="inlineStr"/>
      <c r="H621" s="2" t="inlineStr"/>
    </row>
    <row r="622">
      <c r="A622" s="5" t="inlineStr">
        <is>
          <t>CC-031</t>
        </is>
      </c>
      <c r="B622" s="2" t="inlineStr">
        <is>
          <t>CC-031:19</t>
        </is>
      </c>
      <c r="C622" s="2" t="inlineStr">
        <is>
          <t>Bus saving as share of Malta total GHG 2024</t>
        </is>
      </c>
      <c r="D622" s="2" t="inlineStr">
        <is>
          <t>0.06</t>
        </is>
      </c>
      <c r="E622" s="2" t="inlineStr">
        <is>
          <t>%</t>
        </is>
      </c>
      <c r="F622" s="2" t="inlineStr">
        <is>
          <t>Eurostat env_air_gge, demo_r_pjangrp3, retrieved 6 Oct 2026; MPT estimate via TVM News 4 Jul 2026</t>
        </is>
      </c>
      <c r="G622" s="2" t="inlineStr"/>
      <c r="H622" s="2" t="inlineStr"/>
    </row>
    <row r="623">
      <c r="A623" s="5" t="inlineStr">
        <is>
          <t>CC-031</t>
        </is>
      </c>
      <c r="B623" s="2" t="inlineStr">
        <is>
          <t>CC-031:20</t>
        </is>
      </c>
      <c r="C623" s="2" t="inlineStr">
        <is>
          <t>Road transport share of Malta total GHG, 2005</t>
        </is>
      </c>
      <c r="D623" s="2" t="inlineStr">
        <is>
          <t>16.6</t>
        </is>
      </c>
      <c r="E623" s="2" t="inlineStr">
        <is>
          <t>%</t>
        </is>
      </c>
      <c r="F623" s="2" t="inlineStr">
        <is>
          <t>Eurostat env_air_gge, demo_r_pjangrp3, retrieved 6 Oct 2026; MPT estimate via TVM News 4 Jul 2026</t>
        </is>
      </c>
      <c r="G623" s="2" t="inlineStr"/>
      <c r="H623" s="2" t="inlineStr"/>
    </row>
    <row r="624">
      <c r="A624" s="5" t="inlineStr">
        <is>
          <t>CC-031</t>
        </is>
      </c>
      <c r="B624" s="2" t="inlineStr">
        <is>
          <t>CC-031:21</t>
        </is>
      </c>
      <c r="C624" s="2" t="inlineStr">
        <is>
          <t>Malta road-transport GHG change 2005-2024</t>
        </is>
      </c>
      <c r="D624" s="2" t="inlineStr">
        <is>
          <t>39.4</t>
        </is>
      </c>
      <c r="E624" s="2" t="inlineStr">
        <is>
          <t>%</t>
        </is>
      </c>
      <c r="F624" s="2" t="inlineStr">
        <is>
          <t>Eurostat env_air_gge, demo_r_pjangrp3, retrieved 6 Oct 2026; MPT estimate via TVM News 4 Jul 2026</t>
        </is>
      </c>
      <c r="G624" s="2" t="inlineStr"/>
      <c r="H624" s="2" t="inlineStr"/>
    </row>
    <row r="625">
      <c r="A625" s="5" t="inlineStr">
        <is>
          <t>CC-031</t>
        </is>
      </c>
      <c r="B625" s="2" t="inlineStr">
        <is>
          <t>CC-031:22</t>
        </is>
      </c>
      <c r="C625" s="2" t="inlineStr">
        <is>
          <t>Eurostat status flags on the values used</t>
        </is>
      </c>
      <c r="D625" s="2" t="inlineStr">
        <is>
          <t>none</t>
        </is>
      </c>
      <c r="E625" s="2" t="inlineStr">
        <is>
          <t>flags</t>
        </is>
      </c>
      <c r="F625" s="2" t="inlineStr">
        <is>
          <t>Eurostat env_air_gge, demo_r_pjangrp3, retrieved 6 Oct 2026; MPT estimate via TVM News 4 Jul 2026</t>
        </is>
      </c>
      <c r="G625" s="2" t="inlineStr"/>
      <c r="H625" s="2" t="inlineStr"/>
    </row>
    <row r="626">
      <c r="A626" s="5" t="inlineStr">
        <is>
          <t>CC-032</t>
        </is>
      </c>
      <c r="B626" s="2" t="inlineStr">
        <is>
          <t>CC-032:2</t>
        </is>
      </c>
      <c r="C626" s="2" t="inlineStr">
        <is>
          <t>Installed capacity if each unit is the 2.5 kWp model</t>
        </is>
      </c>
      <c r="D626" s="2" t="inlineStr">
        <is>
          <t>37.5</t>
        </is>
      </c>
      <c r="E626" s="2" t="inlineStr">
        <is>
          <t>kWp</t>
        </is>
      </c>
      <c r="F626" s="2" t="inlineStr">
        <is>
          <t>data sheet; pv magazine 2024</t>
        </is>
      </c>
      <c r="G626" s="2" t="inlineStr">
        <is>
          <t>15 x 2.5; the Gozo capacity is not published</t>
        </is>
      </c>
      <c r="H626" s="2" t="inlineStr"/>
    </row>
    <row r="627">
      <c r="A627" s="5" t="inlineStr">
        <is>
          <t>CC-032</t>
        </is>
      </c>
      <c r="B627" s="2" t="inlineStr">
        <is>
          <t>CC-032:3</t>
        </is>
      </c>
      <c r="C627" s="2" t="inlineStr">
        <is>
          <t>Modelled yearly output, two-axis tracking, 37.5 kWp</t>
        </is>
      </c>
      <c r="D627" s="2" t="inlineStr">
        <is>
          <t>85121</t>
        </is>
      </c>
      <c r="E627" s="2" t="inlineStr">
        <is>
          <t>kWh a year</t>
        </is>
      </c>
      <c r="F627" s="2" t="inlineStr">
        <is>
          <t>PVGIS 5.3 (SARAH3, 2005-2023)</t>
        </is>
      </c>
      <c r="G627" s="2" t="inlineStr">
        <is>
          <t>14% system loss (PVGIS default)</t>
        </is>
      </c>
      <c r="H627" s="2" t="inlineStr"/>
    </row>
    <row r="628">
      <c r="A628" s="5" t="inlineStr">
        <is>
          <t>CC-032</t>
        </is>
      </c>
      <c r="B628" s="2" t="inlineStr">
        <is>
          <t>CC-032:4</t>
        </is>
      </c>
      <c r="C628" s="2" t="inlineStr">
        <is>
          <t>Modelled yearly output per unit</t>
        </is>
      </c>
      <c r="D628" s="2" t="inlineStr">
        <is>
          <t>5675</t>
        </is>
      </c>
      <c r="E628" s="2" t="inlineStr">
        <is>
          <t>kWh a year</t>
        </is>
      </c>
      <c r="F628" s="2" t="inlineStr">
        <is>
          <t>PVGIS 5.3</t>
        </is>
      </c>
      <c r="G628" s="2" t="inlineStr">
        <is>
          <t>manufacturer's range 4,000-6,500 kWh per unit</t>
        </is>
      </c>
      <c r="H628" s="2" t="inlineStr"/>
    </row>
    <row r="629">
      <c r="A629" s="5" t="inlineStr">
        <is>
          <t>CC-032</t>
        </is>
      </c>
      <c r="B629" s="2" t="inlineStr">
        <is>
          <t>CC-032:5</t>
        </is>
      </c>
      <c r="C629" s="2" t="inlineStr">
        <is>
          <t>Modelled specific yield, two-axis</t>
        </is>
      </c>
      <c r="D629" s="2" t="inlineStr">
        <is>
          <t>2270</t>
        </is>
      </c>
      <c r="E629" s="2" t="inlineStr">
        <is>
          <t>kWh per kWp a year</t>
        </is>
      </c>
      <c r="F629" s="2" t="inlineStr">
        <is>
          <t>PVGIS 5.3</t>
        </is>
      </c>
      <c r="G629" s="2" t="inlineStr"/>
      <c r="H629" s="2" t="inlineStr"/>
    </row>
    <row r="630">
      <c r="A630" s="5" t="inlineStr">
        <is>
          <t>CC-032</t>
        </is>
      </c>
      <c r="B630" s="2" t="inlineStr">
        <is>
          <t>CC-032:6</t>
        </is>
      </c>
      <c r="C630" s="2" t="inlineStr">
        <is>
          <t>Modelled yearly output, same capacity fixed at the optimal angle</t>
        </is>
      </c>
      <c r="D630" s="2" t="inlineStr">
        <is>
          <t>62341</t>
        </is>
      </c>
      <c r="E630" s="2" t="inlineStr">
        <is>
          <t>kWh a year</t>
        </is>
      </c>
      <c r="F630" s="2" t="inlineStr">
        <is>
          <t>PVGIS 5.3</t>
        </is>
      </c>
      <c r="G630" s="2" t="inlineStr">
        <is>
          <t>optimal tilt 32 degrees, azimuth 3 degrees</t>
        </is>
      </c>
      <c r="H630" s="2" t="inlineStr"/>
    </row>
    <row r="631">
      <c r="A631" s="5" t="inlineStr">
        <is>
          <t>CC-032</t>
        </is>
      </c>
      <c r="B631" s="2" t="inlineStr">
        <is>
          <t>CC-032:7</t>
        </is>
      </c>
      <c r="C631" s="2" t="inlineStr">
        <is>
          <t>Tracking gain over an optimally tilted fixed array at the site</t>
        </is>
      </c>
      <c r="D631" s="2" t="inlineStr">
        <is>
          <t>36.5</t>
        </is>
      </c>
      <c r="E631" s="2" t="inlineStr">
        <is>
          <t>%</t>
        </is>
      </c>
      <c r="F631" s="2" t="inlineStr">
        <is>
          <t>PVGIS 5.3</t>
        </is>
      </c>
      <c r="G631" s="2" t="inlineStr">
        <is>
          <t>statement: 'up to 40%'; Bahrami et al. 2016: 17.7-31.2% across Europe and Africa (irradiation)</t>
        </is>
      </c>
      <c r="H631" s="2" t="inlineStr"/>
    </row>
    <row r="632">
      <c r="A632" s="5" t="inlineStr">
        <is>
          <t>CC-032</t>
        </is>
      </c>
      <c r="B632" s="2" t="inlineStr">
        <is>
          <t>CC-032:8</t>
        </is>
      </c>
      <c r="C632" s="2" t="inlineStr">
        <is>
          <t>Manufacturer's range for 15 units</t>
        </is>
      </c>
      <c r="D632" s="2" t="inlineStr">
        <is>
          <t>60,000-97,500</t>
        </is>
      </c>
      <c r="E632" s="2" t="inlineStr">
        <is>
          <t>kWh a year</t>
        </is>
      </c>
      <c r="F632" s="2" t="inlineStr">
        <is>
          <t>data sheet Rev G (2019)</t>
        </is>
      </c>
      <c r="G632" s="2" t="inlineStr"/>
      <c r="H632" s="2" t="inlineStr"/>
    </row>
    <row r="633">
      <c r="A633" s="5" t="inlineStr">
        <is>
          <t>CC-032</t>
        </is>
      </c>
      <c r="B633" s="2" t="inlineStr">
        <is>
          <t>CC-032:9</t>
        </is>
      </c>
      <c r="C633" s="2" t="inlineStr">
        <is>
          <t>Modelled average output a day, two-axis</t>
        </is>
      </c>
      <c r="D633" s="2" t="inlineStr">
        <is>
          <t>233.21</t>
        </is>
      </c>
      <c r="E633" s="2" t="inlineStr">
        <is>
          <t>kWh a day</t>
        </is>
      </c>
      <c r="F633" s="2" t="inlineStr">
        <is>
          <t>PVGIS 5.3</t>
        </is>
      </c>
      <c r="G633" s="2" t="inlineStr"/>
      <c r="H633" s="2" t="inlineStr"/>
    </row>
    <row r="634">
      <c r="A634" s="5" t="inlineStr">
        <is>
          <t>CC-032</t>
        </is>
      </c>
      <c r="B634" s="2" t="inlineStr">
        <is>
          <t>CC-032:10</t>
        </is>
      </c>
      <c r="C634" s="2" t="inlineStr">
        <is>
          <t>Modelled output a day, December / July</t>
        </is>
      </c>
      <c r="D634" s="2" t="inlineStr">
        <is>
          <t>152.37 / 315.44</t>
        </is>
      </c>
      <c r="E634" s="2" t="inlineStr">
        <is>
          <t>kWh a day</t>
        </is>
      </c>
      <c r="F634" s="2" t="inlineStr">
        <is>
          <t>PVGIS 5.3</t>
        </is>
      </c>
      <c r="G634" s="2" t="inlineStr">
        <is>
          <t>lowest / highest month</t>
        </is>
      </c>
      <c r="H634" s="2" t="inlineStr"/>
    </row>
    <row r="635">
      <c r="A635" s="5" t="inlineStr">
        <is>
          <t>CC-032</t>
        </is>
      </c>
      <c r="B635" s="2" t="inlineStr">
        <is>
          <t>CC-032:11</t>
        </is>
      </c>
      <c r="C635" s="2" t="inlineStr">
        <is>
          <t>Shuttle round trip, Park and Ride - Mġarr ferry terminal - Park and Ride</t>
        </is>
      </c>
      <c r="D635" s="2" t="inlineStr">
        <is>
          <t>8.49</t>
        </is>
      </c>
      <c r="E635" s="2" t="inlineStr">
        <is>
          <t>km</t>
        </is>
      </c>
      <c r="F635" s="2" t="inlineStr">
        <is>
          <t>OSRM (OpenStreetMap)</t>
        </is>
      </c>
      <c r="G635" s="2" t="inlineStr">
        <is>
          <t>4350 m + 4145 m, car routing</t>
        </is>
      </c>
      <c r="H635" s="2" t="inlineStr"/>
    </row>
    <row r="636">
      <c r="A636" s="5" t="inlineStr">
        <is>
          <t>CC-032</t>
        </is>
      </c>
      <c r="B636" s="2" t="inlineStr">
        <is>
          <t>CC-032:12</t>
        </is>
      </c>
      <c r="C636" s="2" t="inlineStr">
        <is>
          <t>Shuttle distance per hour of service every 10 minutes</t>
        </is>
      </c>
      <c r="D636" s="2" t="inlineStr">
        <is>
          <t>51.0</t>
        </is>
      </c>
      <c r="E636" s="2" t="inlineStr">
        <is>
          <t>km per hour of service</t>
        </is>
      </c>
      <c r="F636" s="2" t="inlineStr">
        <is>
          <t>GRDA (headway); OSRM</t>
        </is>
      </c>
      <c r="G636" s="2" t="inlineStr">
        <is>
          <t>six round trips an hour; operating hours not published</t>
        </is>
      </c>
      <c r="H636" s="2" t="inlineStr"/>
    </row>
    <row r="637">
      <c r="A637" s="5" t="inlineStr">
        <is>
          <t>CC-032</t>
        </is>
      </c>
      <c r="B637" s="2" t="inlineStr">
        <is>
          <t>CC-032:13</t>
        </is>
      </c>
      <c r="C637" s="2" t="inlineStr">
        <is>
          <t>Energy per hour of 10-minute service at 1.45 (simulated WLTP cycle, Li et al. 2025) kWh/km</t>
        </is>
      </c>
      <c r="D637" s="2" t="inlineStr">
        <is>
          <t>74.0</t>
        </is>
      </c>
      <c r="E637" s="2" t="inlineStr">
        <is>
          <t>kWh per hour of service</t>
        </is>
      </c>
      <c r="F637" s="2" t="inlineStr">
        <is>
          <t>calculated; indicative</t>
        </is>
      </c>
      <c r="G637" s="2" t="inlineStr">
        <is>
          <t>consumption from other routes and buses, not Gozo data</t>
        </is>
      </c>
      <c r="H637" s="2" t="inlineStr"/>
    </row>
    <row r="638">
      <c r="A638" s="5" t="inlineStr">
        <is>
          <t>CC-032</t>
        </is>
      </c>
      <c r="B638" s="2" t="inlineStr">
        <is>
          <t>CC-032:14</t>
        </is>
      </c>
      <c r="C638" s="2" t="inlineStr">
        <is>
          <t>Hours of 10-minute service the flowers' average day equals, at 1.45 kWh/km</t>
        </is>
      </c>
      <c r="D638" s="2" t="inlineStr">
        <is>
          <t>3.2</t>
        </is>
      </c>
      <c r="E638" s="2" t="inlineStr">
        <is>
          <t>hours a day</t>
        </is>
      </c>
      <c r="F638" s="2" t="inlineStr">
        <is>
          <t>calculated; indicative</t>
        </is>
      </c>
      <c r="G638" s="2" t="inlineStr">
        <is>
          <t>December 2.1 h, July 4.3 h</t>
        </is>
      </c>
      <c r="H638" s="2" t="inlineStr"/>
    </row>
    <row r="639">
      <c r="A639" s="5" t="inlineStr">
        <is>
          <t>CC-032</t>
        </is>
      </c>
      <c r="B639" s="2" t="inlineStr">
        <is>
          <t>CC-032:15</t>
        </is>
      </c>
      <c r="C639" s="2" t="inlineStr">
        <is>
          <t>Bus-km the flowers' average day equals, at 1.45 kWh/km</t>
        </is>
      </c>
      <c r="D639" s="2" t="inlineStr">
        <is>
          <t>161</t>
        </is>
      </c>
      <c r="E639" s="2" t="inlineStr">
        <is>
          <t>km a day</t>
        </is>
      </c>
      <c r="F639" s="2" t="inlineStr">
        <is>
          <t>calculated; indicative</t>
        </is>
      </c>
      <c r="G639" s="2" t="inlineStr">
        <is>
          <t>Malta Public Transport gives a range of up to 300 km per charge</t>
        </is>
      </c>
      <c r="H639" s="2" t="inlineStr"/>
    </row>
    <row r="640">
      <c r="A640" s="5" t="inlineStr">
        <is>
          <t>CC-032</t>
        </is>
      </c>
      <c r="B640" s="2" t="inlineStr">
        <is>
          <t>CC-032:16</t>
        </is>
      </c>
      <c r="C640" s="2" t="inlineStr">
        <is>
          <t>Energy per hour of 10-minute service at 1.8 (modelled route, off-peak, Czapla and Sierpinski 2023) kWh/km</t>
        </is>
      </c>
      <c r="D640" s="2" t="inlineStr">
        <is>
          <t>91.7</t>
        </is>
      </c>
      <c r="E640" s="2" t="inlineStr">
        <is>
          <t>kWh per hour of service</t>
        </is>
      </c>
      <c r="F640" s="2" t="inlineStr">
        <is>
          <t>calculated; indicative</t>
        </is>
      </c>
      <c r="G640" s="2" t="inlineStr">
        <is>
          <t>consumption from other routes and buses, not Gozo data</t>
        </is>
      </c>
      <c r="H640" s="2" t="inlineStr"/>
    </row>
    <row r="641">
      <c r="A641" s="5" t="inlineStr">
        <is>
          <t>CC-032</t>
        </is>
      </c>
      <c r="B641" s="2" t="inlineStr">
        <is>
          <t>CC-032:17</t>
        </is>
      </c>
      <c r="C641" s="2" t="inlineStr">
        <is>
          <t>Hours of 10-minute service the flowers' average day equals, at 1.8 kWh/km</t>
        </is>
      </c>
      <c r="D641" s="2" t="inlineStr">
        <is>
          <t>2.5</t>
        </is>
      </c>
      <c r="E641" s="2" t="inlineStr">
        <is>
          <t>hours a day</t>
        </is>
      </c>
      <c r="F641" s="2" t="inlineStr">
        <is>
          <t>calculated; indicative</t>
        </is>
      </c>
      <c r="G641" s="2" t="inlineStr">
        <is>
          <t>December 1.7 h, July 3.4 h</t>
        </is>
      </c>
      <c r="H641" s="2" t="inlineStr"/>
    </row>
    <row r="642">
      <c r="A642" s="5" t="inlineStr">
        <is>
          <t>CC-032</t>
        </is>
      </c>
      <c r="B642" s="2" t="inlineStr">
        <is>
          <t>CC-032:18</t>
        </is>
      </c>
      <c r="C642" s="2" t="inlineStr">
        <is>
          <t>Bus-km the flowers' average day equals, at 1.8 kWh/km</t>
        </is>
      </c>
      <c r="D642" s="2" t="inlineStr">
        <is>
          <t>130</t>
        </is>
      </c>
      <c r="E642" s="2" t="inlineStr">
        <is>
          <t>km a day</t>
        </is>
      </c>
      <c r="F642" s="2" t="inlineStr">
        <is>
          <t>calculated; indicative</t>
        </is>
      </c>
      <c r="G642" s="2" t="inlineStr">
        <is>
          <t>Malta Public Transport gives a range of up to 300 km per charge</t>
        </is>
      </c>
      <c r="H642" s="2" t="inlineStr"/>
    </row>
    <row r="643">
      <c r="A643" s="5" t="inlineStr">
        <is>
          <t>CC-032</t>
        </is>
      </c>
      <c r="B643" s="2" t="inlineStr">
        <is>
          <t>CC-032:19</t>
        </is>
      </c>
      <c r="C643" s="2" t="inlineStr">
        <is>
          <t>Energy per hour of 10-minute service at 2.1 (modelled route, peak, Czapla and Sierpinski 2023) kWh/km</t>
        </is>
      </c>
      <c r="D643" s="2" t="inlineStr">
        <is>
          <t>107.0</t>
        </is>
      </c>
      <c r="E643" s="2" t="inlineStr">
        <is>
          <t>kWh per hour of service</t>
        </is>
      </c>
      <c r="F643" s="2" t="inlineStr">
        <is>
          <t>calculated; indicative</t>
        </is>
      </c>
      <c r="G643" s="2" t="inlineStr">
        <is>
          <t>consumption from other routes and buses, not Gozo data</t>
        </is>
      </c>
      <c r="H643" s="2" t="inlineStr"/>
    </row>
    <row r="644">
      <c r="A644" s="5" t="inlineStr">
        <is>
          <t>CC-032</t>
        </is>
      </c>
      <c r="B644" s="2" t="inlineStr">
        <is>
          <t>CC-032:20</t>
        </is>
      </c>
      <c r="C644" s="2" t="inlineStr">
        <is>
          <t>Hours of 10-minute service the flowers' average day equals, at 2.1 kWh/km</t>
        </is>
      </c>
      <c r="D644" s="2" t="inlineStr">
        <is>
          <t>2.2</t>
        </is>
      </c>
      <c r="E644" s="2" t="inlineStr">
        <is>
          <t>hours a day</t>
        </is>
      </c>
      <c r="F644" s="2" t="inlineStr">
        <is>
          <t>calculated; indicative</t>
        </is>
      </c>
      <c r="G644" s="2" t="inlineStr">
        <is>
          <t>December 1.4 h, July 2.9 h</t>
        </is>
      </c>
      <c r="H644" s="2" t="inlineStr"/>
    </row>
    <row r="645">
      <c r="A645" s="5" t="inlineStr">
        <is>
          <t>CC-032</t>
        </is>
      </c>
      <c r="B645" s="2" t="inlineStr">
        <is>
          <t>CC-032:21</t>
        </is>
      </c>
      <c r="C645" s="2" t="inlineStr">
        <is>
          <t>Bus-km the flowers' average day equals, at 2.1 kWh/km</t>
        </is>
      </c>
      <c r="D645" s="2" t="inlineStr">
        <is>
          <t>111</t>
        </is>
      </c>
      <c r="E645" s="2" t="inlineStr">
        <is>
          <t>km a day</t>
        </is>
      </c>
      <c r="F645" s="2" t="inlineStr">
        <is>
          <t>calculated; indicative</t>
        </is>
      </c>
      <c r="G645" s="2" t="inlineStr">
        <is>
          <t>Malta Public Transport gives a range of up to 300 km per charge</t>
        </is>
      </c>
      <c r="H645" s="2" t="inlineStr"/>
    </row>
    <row r="646">
      <c r="A646" s="5" t="inlineStr">
        <is>
          <t>CC-032</t>
        </is>
      </c>
      <c r="B646" s="2" t="inlineStr">
        <is>
          <t>CC-032:22</t>
        </is>
      </c>
      <c r="C646" s="2" t="inlineStr">
        <is>
          <t>PQ figure plus VAT at 18%</t>
        </is>
      </c>
      <c r="D646" s="2" t="inlineStr">
        <is>
          <t>825542.14</t>
        </is>
      </c>
      <c r="E646" s="2" t="inlineStr">
        <is>
          <t>EUR</t>
        </is>
      </c>
      <c r="F646" s="2" t="inlineStr">
        <is>
          <t>Newsbook (second-hand); EPRS</t>
        </is>
      </c>
      <c r="G646" s="2" t="inlineStr">
        <is>
          <t>against 'about EUR 850,000'</t>
        </is>
      </c>
      <c r="H646" s="2" t="inlineStr"/>
    </row>
    <row r="647">
      <c r="A647" s="5" t="inlineStr">
        <is>
          <t>CC-032</t>
        </is>
      </c>
      <c r="B647" s="2" t="inlineStr">
        <is>
          <t>CC-032:23</t>
        </is>
      </c>
      <c r="C647" s="2" t="inlineStr">
        <is>
          <t>TED award value plus VAT at 18%</t>
        </is>
      </c>
      <c r="D647" s="2" t="inlineStr">
        <is>
          <t>848219.48</t>
        </is>
      </c>
      <c r="E647" s="2" t="inlineStr">
        <is>
          <t>EUR</t>
        </is>
      </c>
      <c r="F647" s="2" t="inlineStr">
        <is>
          <t>TED 742398-2024 (our identification); EPRS</t>
        </is>
      </c>
      <c r="G647" s="2" t="inlineStr">
        <is>
          <t>against 'about EUR 850,000'</t>
        </is>
      </c>
      <c r="H647" s="2" t="inlineStr"/>
    </row>
    <row r="648">
      <c r="A648" s="5" t="inlineStr">
        <is>
          <t>CC-032</t>
        </is>
      </c>
      <c r="B648" s="2" t="inlineStr">
        <is>
          <t>CC-032:24</t>
        </is>
      </c>
      <c r="C648" s="2" t="inlineStr">
        <is>
          <t>Difference between TED award value and PQ figure</t>
        </is>
      </c>
      <c r="D648" s="2" t="inlineStr">
        <is>
          <t>19218.09</t>
        </is>
      </c>
      <c r="E648" s="2" t="inlineStr">
        <is>
          <t>EUR</t>
        </is>
      </c>
      <c r="F648" s="2" t="inlineStr">
        <is>
          <t>calculated</t>
        </is>
      </c>
      <c r="G648" s="2" t="inlineStr">
        <is>
          <t>reason not stated</t>
        </is>
      </c>
      <c r="H648" s="2" t="inlineStr"/>
    </row>
    <row r="649">
      <c r="A649" s="5" t="inlineStr">
        <is>
          <t>CC-032</t>
        </is>
      </c>
      <c r="B649" s="2" t="inlineStr">
        <is>
          <t>CC-032:25</t>
        </is>
      </c>
      <c r="C649" s="2" t="inlineStr">
        <is>
          <t>Stated cost per flower</t>
        </is>
      </c>
      <c r="D649" s="2" t="inlineStr">
        <is>
          <t>56667</t>
        </is>
      </c>
      <c r="E649" s="2" t="inlineStr">
        <is>
          <t>EUR</t>
        </is>
      </c>
      <c r="F649" s="2" t="inlineStr">
        <is>
          <t>TVM News; EC page</t>
        </is>
      </c>
      <c r="G649" s="2" t="inlineStr"/>
      <c r="H649" s="2" t="inlineStr"/>
    </row>
    <row r="650">
      <c r="A650" s="5" t="inlineStr">
        <is>
          <t>CC-032</t>
        </is>
      </c>
      <c r="B650" s="2" t="inlineStr">
        <is>
          <t>CC-032:26</t>
        </is>
      </c>
      <c r="C650" s="2" t="inlineStr">
        <is>
          <t>PQ cost per flower, excl. VAT</t>
        </is>
      </c>
      <c r="D650" s="2" t="inlineStr">
        <is>
          <t>46641</t>
        </is>
      </c>
      <c r="E650" s="2" t="inlineStr">
        <is>
          <t>EUR</t>
        </is>
      </c>
      <c r="F650" s="2" t="inlineStr">
        <is>
          <t>Newsbook (second-hand)</t>
        </is>
      </c>
      <c r="G650" s="2" t="inlineStr"/>
      <c r="H650" s="2" t="inlineStr"/>
    </row>
    <row r="651">
      <c r="A651" s="5" t="inlineStr">
        <is>
          <t>CC-032</t>
        </is>
      </c>
      <c r="B651" s="2" t="inlineStr">
        <is>
          <t>CC-032:27</t>
        </is>
      </c>
      <c r="C651" s="2" t="inlineStr">
        <is>
          <t>Share of the RRF C1-I5 target (143 kWp) if 37.5 kWp</t>
        </is>
      </c>
      <c r="D651" s="2" t="inlineStr">
        <is>
          <t>26.2</t>
        </is>
      </c>
      <c r="E651" s="2" t="inlineStr">
        <is>
          <t>%</t>
        </is>
      </c>
      <c r="F651" s="2" t="inlineStr">
        <is>
          <t>Council 11894/26 ADD 1</t>
        </is>
      </c>
      <c r="G651" s="2" t="inlineStr">
        <is>
          <t>the target counts kWp installed, not energy</t>
        </is>
      </c>
      <c r="H651" s="2" t="inlineStr"/>
    </row>
    <row r="652">
      <c r="A652" s="5" t="inlineStr">
        <is>
          <t>CC-034</t>
        </is>
      </c>
      <c r="B652" s="2" t="inlineStr">
        <is>
          <t>CC-034:2</t>
        </is>
      </c>
      <c r="C652" s="2" t="inlineStr">
        <is>
          <t>Msida PM10 days above 50 µg/m³, 2018, after deduction of natural sources (ERA)</t>
        </is>
      </c>
      <c r="D652" s="2" t="inlineStr">
        <is>
          <t>41</t>
        </is>
      </c>
      <c r="E652" s="2" t="inlineStr">
        <is>
          <t>days</t>
        </is>
      </c>
      <c r="F652" s="2" t="inlineStr">
        <is>
          <t>ERA attainment reports to the EEA (dataflow G, Eionet CDR), retrieved 6 Oct 2026</t>
        </is>
      </c>
      <c r="G652" s="2" t="inlineStr">
        <is>
          <t>limit: 35 days; exceedance flag 'true'</t>
        </is>
      </c>
      <c r="H652" s="2" t="inlineStr">
        <is>
          <t>id: A-2018-final</t>
        </is>
      </c>
    </row>
    <row r="653">
      <c r="A653" s="5" t="inlineStr">
        <is>
          <t>CC-034</t>
        </is>
      </c>
      <c r="B653" s="2" t="inlineStr">
        <is>
          <t>CC-034:3</t>
        </is>
      </c>
      <c r="C653" s="2" t="inlineStr">
        <is>
          <t>Msida PM10 days above 50 µg/m³, 2018, before deduction (ERA)</t>
        </is>
      </c>
      <c r="D653" s="2" t="inlineStr">
        <is>
          <t>86</t>
        </is>
      </c>
      <c r="E653" s="2" t="inlineStr">
        <is>
          <t>days</t>
        </is>
      </c>
      <c r="F653" s="2" t="inlineStr">
        <is>
          <t>ERA attainment reports to the EEA (dataflow G, Eionet CDR), retrieved 6 Oct 2026</t>
        </is>
      </c>
      <c r="G653" s="2" t="inlineStr">
        <is>
          <t>stations used: SPO-MT00005_00005_101</t>
        </is>
      </c>
      <c r="H653" s="2" t="inlineStr">
        <is>
          <t>id: A-2018-base</t>
        </is>
      </c>
    </row>
    <row r="654">
      <c r="A654" s="5" t="inlineStr">
        <is>
          <t>CC-034</t>
        </is>
      </c>
      <c r="B654" s="2" t="inlineStr">
        <is>
          <t>CC-034:4</t>
        </is>
      </c>
      <c r="C654" s="2" t="inlineStr">
        <is>
          <t>Msida PM10 days above 50 µg/m³, 2018, counted from EEA daily values</t>
        </is>
      </c>
      <c r="D654" s="2" t="inlineStr">
        <is>
          <t>86</t>
        </is>
      </c>
      <c r="E654" s="2" t="inlineStr">
        <is>
          <t>days</t>
        </is>
      </c>
      <c r="F654" s="2" t="inlineStr">
        <is>
          <t>EEA Air Quality download service (E1a validated; AirBase before 2013), retrieved 6 Oct 2026</t>
        </is>
      </c>
      <c r="G654" s="2" t="inlineStr">
        <is>
          <t>our count; differs from ERA's by +0</t>
        </is>
      </c>
      <c r="H654" s="2" t="inlineStr">
        <is>
          <t>id: A-2018-eea</t>
        </is>
      </c>
    </row>
    <row r="655">
      <c r="A655" s="5" t="inlineStr">
        <is>
          <t>CC-034</t>
        </is>
      </c>
      <c r="B655" s="2" t="inlineStr">
        <is>
          <t>CC-034:5</t>
        </is>
      </c>
      <c r="C655" s="2" t="inlineStr">
        <is>
          <t>Msida PM10 days above 50 µg/m³, 2023, after deduction of natural sources (ERA)</t>
        </is>
      </c>
      <c r="D655" s="2" t="inlineStr">
        <is>
          <t>52</t>
        </is>
      </c>
      <c r="E655" s="2" t="inlineStr">
        <is>
          <t>days</t>
        </is>
      </c>
      <c r="F655" s="2" t="inlineStr">
        <is>
          <t>ERA attainment reports to the EEA (dataflow G, Eionet CDR), retrieved 6 Oct 2026</t>
        </is>
      </c>
      <c r="G655" s="2" t="inlineStr">
        <is>
          <t>limit: 35 days; exceedance flag 'true'</t>
        </is>
      </c>
      <c r="H655" s="2" t="inlineStr">
        <is>
          <t>id: A-2023-final</t>
        </is>
      </c>
    </row>
    <row r="656">
      <c r="A656" s="5" t="inlineStr">
        <is>
          <t>CC-034</t>
        </is>
      </c>
      <c r="B656" s="2" t="inlineStr">
        <is>
          <t>CC-034:6</t>
        </is>
      </c>
      <c r="C656" s="2" t="inlineStr">
        <is>
          <t>Msida PM10 days above 50 µg/m³, 2023, before deduction (ERA)</t>
        </is>
      </c>
      <c r="D656" s="2" t="inlineStr">
        <is>
          <t>84</t>
        </is>
      </c>
      <c r="E656" s="2" t="inlineStr">
        <is>
          <t>days</t>
        </is>
      </c>
      <c r="F656" s="2" t="inlineStr">
        <is>
          <t>ERA attainment reports to the EEA (dataflow G, Eionet CDR), retrieved 6 Oct 2026</t>
        </is>
      </c>
      <c r="G656" s="2" t="inlineStr">
        <is>
          <t>stations used: SPO-MT00005_00005_101</t>
        </is>
      </c>
      <c r="H656" s="2" t="inlineStr">
        <is>
          <t>id: A-2023-base</t>
        </is>
      </c>
    </row>
    <row r="657">
      <c r="A657" s="5" t="inlineStr">
        <is>
          <t>CC-034</t>
        </is>
      </c>
      <c r="B657" s="2" t="inlineStr">
        <is>
          <t>CC-034:7</t>
        </is>
      </c>
      <c r="C657" s="2" t="inlineStr">
        <is>
          <t>Msida PM10 days above 50 µg/m³, 2023, counted from EEA daily values</t>
        </is>
      </c>
      <c r="D657" s="2" t="inlineStr">
        <is>
          <t>85</t>
        </is>
      </c>
      <c r="E657" s="2" t="inlineStr">
        <is>
          <t>days</t>
        </is>
      </c>
      <c r="F657" s="2" t="inlineStr">
        <is>
          <t>EEA Air Quality download service (E1a validated; AirBase before 2013), retrieved 6 Oct 2026</t>
        </is>
      </c>
      <c r="G657" s="2" t="inlineStr">
        <is>
          <t>our count; differs from ERA's by +1</t>
        </is>
      </c>
      <c r="H657" s="2" t="inlineStr">
        <is>
          <t>id: A-2023-eea</t>
        </is>
      </c>
    </row>
    <row r="658">
      <c r="A658" s="5" t="inlineStr">
        <is>
          <t>CC-034</t>
        </is>
      </c>
      <c r="B658" s="2" t="inlineStr">
        <is>
          <t>CC-034:8</t>
        </is>
      </c>
      <c r="C658" s="2" t="inlineStr">
        <is>
          <t>Agglomeration PM10 days above 50 after natural deduction, 2015-2025 (ERA)</t>
        </is>
      </c>
      <c r="D658" s="2" t="inlineStr">
        <is>
          <t>2015: 26; 2016: 32; 2017: 30; 2018: 41; 2019: 34; 2020: 35; 2021: 28; 2022: 32; 2023: 52; 2024: 20; 2025: 23</t>
        </is>
      </c>
      <c r="E658" s="2" t="inlineStr">
        <is>
          <t>days</t>
        </is>
      </c>
      <c r="F658" s="2" t="inlineStr">
        <is>
          <t>ERA attainment reports to the EEA (dataflow G, Eionet CDR), retrieved 6 Oct 2026</t>
        </is>
      </c>
      <c r="G658" s="2" t="inlineStr">
        <is>
          <t>2015-2023 from the old Msida point (MT00005); 2024-2025 are zone counts from other stations (see A-2024-25)</t>
        </is>
      </c>
      <c r="H658" s="2" t="inlineStr">
        <is>
          <t>id: A-series</t>
        </is>
      </c>
    </row>
    <row r="659">
      <c r="A659" s="5" t="inlineStr">
        <is>
          <t>CC-034</t>
        </is>
      </c>
      <c r="B659" s="2" t="inlineStr">
        <is>
          <t>CC-034:9</t>
        </is>
      </c>
      <c r="C659" s="2" t="inlineStr">
        <is>
          <t>Agglomeration PM10 days above 50 in 2024, before / after natural deduction (ERA's zone count)</t>
        </is>
      </c>
      <c r="D659" s="2" t="inlineStr">
        <is>
          <t>42 / 20</t>
        </is>
      </c>
      <c r="E659" s="2" t="inlineStr">
        <is>
          <t>days</t>
        </is>
      </c>
      <c r="F659" s="2" t="inlineStr">
        <is>
          <t>ERA attainment reports to the EEA (dataflow G, Eionet CDR), retrieved 6 Oct 2026</t>
        </is>
      </c>
      <c r="G659" s="2" t="inlineStr">
        <is>
          <t>stations used (stationUsed in ERA's file): MT00008 MT00011</t>
        </is>
      </c>
      <c r="H659" s="2" t="inlineStr">
        <is>
          <t>id: A-2024-zone</t>
        </is>
      </c>
    </row>
    <row r="660">
      <c r="A660" s="5" t="inlineStr">
        <is>
          <t>CC-034</t>
        </is>
      </c>
      <c r="B660" s="2" t="inlineStr">
        <is>
          <t>CC-034:10</t>
        </is>
      </c>
      <c r="C660" s="2" t="inlineStr">
        <is>
          <t>Agglomeration PM10 days above 50 in 2025, before / after natural deduction (ERA's zone count)</t>
        </is>
      </c>
      <c r="D660" s="2" t="inlineStr">
        <is>
          <t>50 / 23</t>
        </is>
      </c>
      <c r="E660" s="2" t="inlineStr">
        <is>
          <t>days</t>
        </is>
      </c>
      <c r="F660" s="2" t="inlineStr">
        <is>
          <t>ERA attainment reports to the EEA (dataflow G, Eionet CDR), retrieved 6 Oct 2026</t>
        </is>
      </c>
      <c r="G660" s="2" t="inlineStr">
        <is>
          <t>stations used (stationUsed in ERA's file): MT00004 MT00008 MT00011</t>
        </is>
      </c>
      <c r="H660" s="2" t="inlineStr">
        <is>
          <t>id: A-2025-zone</t>
        </is>
      </c>
    </row>
    <row r="661">
      <c r="A661" s="5" t="inlineStr">
        <is>
          <t>CC-034</t>
        </is>
      </c>
      <c r="B661" s="2" t="inlineStr">
        <is>
          <t>CC-034:11</t>
        </is>
      </c>
      <c r="C661" s="2" t="inlineStr">
        <is>
          <t>Agglomeration PM10 days above 50 after natural deduction, 2024 and 2025 (ERA's zone counts)</t>
        </is>
      </c>
      <c r="D661" s="2" t="inlineStr">
        <is>
          <t>20 and 23</t>
        </is>
      </c>
      <c r="E661" s="2" t="inlineStr">
        <is>
          <t>days</t>
        </is>
      </c>
      <c r="F661" s="2" t="inlineStr">
        <is>
          <t>ERA attainment reports to the EEA (dataflow G, Eionet CDR), retrieved 6 Oct 2026</t>
        </is>
      </c>
      <c r="G661" s="2" t="inlineStr">
        <is>
          <t>2024: new Msida point (MT00011) and Attard (MT00008); 2025: Attard, new Msida point and Żejtun (MT00004); not comparable with 2015-2023 at the old Msida point; both under the 35 allowed</t>
        </is>
      </c>
      <c r="H661" s="2" t="inlineStr">
        <is>
          <t>id: A-2024-25</t>
        </is>
      </c>
    </row>
    <row r="662">
      <c r="A662" s="5" t="inlineStr">
        <is>
          <t>CC-034</t>
        </is>
      </c>
      <c r="B662" s="2" t="inlineStr">
        <is>
          <t>CC-034:12</t>
        </is>
      </c>
      <c r="C662" s="2" t="inlineStr">
        <is>
          <t>Msida PM10 days above 50 before deduction: our EEA count vs ERA's reported count</t>
        </is>
      </c>
      <c r="D662" s="2" t="inlineStr">
        <is>
          <t>2015: 46 vs 45; 2016: 73 vs 71; 2017: 57 vs 57; 2018: 86 vs 86; 2019: 65 vs 61; 2021: 67 vs 65; 2022: 51 vs 51; 2023: 85 vs 84; 2024: 43 vs 42; 2025: 49 vs 50</t>
        </is>
      </c>
      <c r="E662" s="2" t="inlineStr">
        <is>
          <t>days</t>
        </is>
      </c>
      <c r="F662" s="2" t="inlineStr">
        <is>
          <t>EEA Air Quality download service (E1a validated; AirBase before 2013), retrieved 6 Oct 2026; ERA attainment reports to the EEA (dataflow G, Eionet CDR), retrieved 6 Oct 2026</t>
        </is>
      </c>
      <c r="G662" s="2" t="inlineStr">
        <is>
          <t>2024-2025: new Msida point (MT00011)</t>
        </is>
      </c>
      <c r="H662" s="2" t="inlineStr">
        <is>
          <t>id: A-eea-vs-era</t>
        </is>
      </c>
    </row>
    <row r="663">
      <c r="A663" s="5" t="inlineStr">
        <is>
          <t>CC-034</t>
        </is>
      </c>
      <c r="B663" s="2" t="inlineStr">
        <is>
          <t>CC-034:13</t>
        </is>
      </c>
      <c r="C663" s="2" t="inlineStr">
        <is>
          <t>Year with most PM10 days after deduction, 2015-2023 at the old Msida point</t>
        </is>
      </c>
      <c r="D663" s="2" t="inlineStr">
        <is>
          <t>2023 (52 days)</t>
        </is>
      </c>
      <c r="E663" s="2" t="inlineStr"/>
      <c r="F663" s="2" t="inlineStr">
        <is>
          <t>ERA attainment reports to the EEA (dataflow G, Eionet CDR), retrieved 6 Oct 2026</t>
        </is>
      </c>
      <c r="G663" s="2" t="inlineStr">
        <is>
          <t>2024-2025 are not comparable (A-2024-25)</t>
        </is>
      </c>
      <c r="H663" s="2" t="inlineStr">
        <is>
          <t>id: A-max</t>
        </is>
      </c>
    </row>
    <row r="664">
      <c r="A664" s="5" t="inlineStr">
        <is>
          <t>CC-034</t>
        </is>
      </c>
      <c r="B664" s="2" t="inlineStr">
        <is>
          <t>CC-034:14</t>
        </is>
      </c>
      <c r="C664" s="2" t="inlineStr">
        <is>
          <t>Msida PM10 annual mean 2018, before / after natural deduction (ERA)</t>
        </is>
      </c>
      <c r="D664" s="2" t="inlineStr">
        <is>
          <t>43.1 / 34.8</t>
        </is>
      </c>
      <c r="E664" s="2" t="inlineStr">
        <is>
          <t>µg/m³</t>
        </is>
      </c>
      <c r="F664" s="2" t="inlineStr">
        <is>
          <t>ERA attainment reports to the EEA (dataflow G, Eionet CDR), retrieved 6 Oct 2026</t>
        </is>
      </c>
      <c r="G664" s="2" t="inlineStr">
        <is>
          <t>annual limit 40 µg/m³</t>
        </is>
      </c>
      <c r="H664" s="2" t="inlineStr">
        <is>
          <t>id: A-2018-amean</t>
        </is>
      </c>
    </row>
    <row r="665">
      <c r="A665" s="5" t="inlineStr">
        <is>
          <t>CC-034</t>
        </is>
      </c>
      <c r="B665" s="2" t="inlineStr">
        <is>
          <t>CC-034:15</t>
        </is>
      </c>
      <c r="C665" s="2" t="inlineStr">
        <is>
          <t>Msida PM10 annual mean 2023, before / after natural deduction (ERA)</t>
        </is>
      </c>
      <c r="D665" s="2" t="inlineStr">
        <is>
          <t>43.7 / 35.8</t>
        </is>
      </c>
      <c r="E665" s="2" t="inlineStr">
        <is>
          <t>µg/m³</t>
        </is>
      </c>
      <c r="F665" s="2" t="inlineStr">
        <is>
          <t>ERA attainment reports to the EEA (dataflow G, Eionet CDR), retrieved 6 Oct 2026</t>
        </is>
      </c>
      <c r="G665" s="2" t="inlineStr">
        <is>
          <t>annual limit 40 µg/m³</t>
        </is>
      </c>
      <c r="H665" s="2" t="inlineStr">
        <is>
          <t>id: A-2023-amean</t>
        </is>
      </c>
    </row>
    <row r="666">
      <c r="A666" s="5" t="inlineStr">
        <is>
          <t>CC-034</t>
        </is>
      </c>
      <c r="B666" s="2" t="inlineStr">
        <is>
          <t>CC-034:16</t>
        </is>
      </c>
      <c r="C666" s="2" t="inlineStr">
        <is>
          <t>Msida PM10 annual mean 2023 from EEA daily values</t>
        </is>
      </c>
      <c r="D666" s="2" t="inlineStr">
        <is>
          <t>43.7</t>
        </is>
      </c>
      <c r="E666" s="2" t="inlineStr">
        <is>
          <t>µg/m³</t>
        </is>
      </c>
      <c r="F666" s="2" t="inlineStr">
        <is>
          <t>EEA Air Quality download service (E1a validated; AirBase before 2013), retrieved 6 Oct 2026</t>
        </is>
      </c>
      <c r="G666" s="2" t="inlineStr"/>
      <c r="H666" s="2" t="inlineStr">
        <is>
          <t>id: A-2023-amean-eea</t>
        </is>
      </c>
    </row>
    <row r="667">
      <c r="A667" s="5" t="inlineStr">
        <is>
          <t>CC-034</t>
        </is>
      </c>
      <c r="B667" s="2" t="inlineStr">
        <is>
          <t>CC-034:17</t>
        </is>
      </c>
      <c r="C667" s="2" t="inlineStr">
        <is>
          <t>Msida PM10, mean of annual means 2015-17 → 2021-23</t>
        </is>
      </c>
      <c r="D667" s="2" t="inlineStr">
        <is>
          <t>40.1 → 40.2</t>
        </is>
      </c>
      <c r="E667" s="2" t="inlineStr">
        <is>
          <t>µg/m³</t>
        </is>
      </c>
      <c r="F667" s="2" t="inlineStr">
        <is>
          <t>EEA Air Quality download service (E1a validated; AirBase before 2013), retrieved 6 Oct 2026</t>
        </is>
      </c>
      <c r="G667" s="2" t="inlineStr">
        <is>
          <t>change +0.1 (+0%)</t>
        </is>
      </c>
      <c r="H667" s="2" t="inlineStr">
        <is>
          <t>id: B-PM10-msida</t>
        </is>
      </c>
    </row>
    <row r="668">
      <c r="A668" s="5" t="inlineStr">
        <is>
          <t>CC-034</t>
        </is>
      </c>
      <c r="B668" s="2" t="inlineStr">
        <is>
          <t>CC-034:18</t>
        </is>
      </c>
      <c r="C668" s="2" t="inlineStr">
        <is>
          <t>PM10 at MT00007, 2015-17 → 2021-23</t>
        </is>
      </c>
      <c r="D668" s="2" t="inlineStr">
        <is>
          <t>18.4 → 19.6</t>
        </is>
      </c>
      <c r="E668" s="2" t="inlineStr">
        <is>
          <t>µg/m³</t>
        </is>
      </c>
      <c r="F668" s="2" t="inlineStr">
        <is>
          <t>EEA Air Quality download service (E1a validated; AirBase before 2013), retrieved 6 Oct 2026</t>
        </is>
      </c>
      <c r="G668" s="2" t="inlineStr">
        <is>
          <t>change +1.3; Msida increment over it 21.7 → 20.6</t>
        </is>
      </c>
      <c r="H668" s="2" t="inlineStr">
        <is>
          <t>id: B-PM10-MT00007</t>
        </is>
      </c>
    </row>
    <row r="669">
      <c r="A669" s="5" t="inlineStr">
        <is>
          <t>CC-034</t>
        </is>
      </c>
      <c r="B669" s="2" t="inlineStr">
        <is>
          <t>CC-034:19</t>
        </is>
      </c>
      <c r="C669" s="2" t="inlineStr">
        <is>
          <t>PM10 at MT00004, 2015-17 → 2021-23</t>
        </is>
      </c>
      <c r="D669" s="2" t="inlineStr">
        <is>
          <t>28.4 → 28.6</t>
        </is>
      </c>
      <c r="E669" s="2" t="inlineStr">
        <is>
          <t>µg/m³</t>
        </is>
      </c>
      <c r="F669" s="2" t="inlineStr">
        <is>
          <t>EEA Air Quality download service (E1a validated; AirBase before 2013), retrieved 6 Oct 2026</t>
        </is>
      </c>
      <c r="G669" s="2" t="inlineStr">
        <is>
          <t>change +0.2; Msida increment over it 11.7 → 11.6</t>
        </is>
      </c>
      <c r="H669" s="2" t="inlineStr">
        <is>
          <t>id: B-PM10-MT00004</t>
        </is>
      </c>
    </row>
    <row r="670">
      <c r="A670" s="5" t="inlineStr">
        <is>
          <t>CC-034</t>
        </is>
      </c>
      <c r="B670" s="2" t="inlineStr">
        <is>
          <t>CC-034:20</t>
        </is>
      </c>
      <c r="C670" s="2" t="inlineStr">
        <is>
          <t>Msida PM2.5, mean of annual means 2015-17 → 2021-23</t>
        </is>
      </c>
      <c r="D670" s="2" t="inlineStr">
        <is>
          <t>15.3 → 12.6</t>
        </is>
      </c>
      <c r="E670" s="2" t="inlineStr">
        <is>
          <t>µg/m³</t>
        </is>
      </c>
      <c r="F670" s="2" t="inlineStr">
        <is>
          <t>EEA Air Quality download service (E1a validated; AirBase before 2013), retrieved 6 Oct 2026</t>
        </is>
      </c>
      <c r="G670" s="2" t="inlineStr">
        <is>
          <t>change -2.6 (-17%)</t>
        </is>
      </c>
      <c r="H670" s="2" t="inlineStr">
        <is>
          <t>id: B-PM2.5-msida</t>
        </is>
      </c>
    </row>
    <row r="671">
      <c r="A671" s="5" t="inlineStr">
        <is>
          <t>CC-034</t>
        </is>
      </c>
      <c r="B671" s="2" t="inlineStr">
        <is>
          <t>CC-034:21</t>
        </is>
      </c>
      <c r="C671" s="2" t="inlineStr">
        <is>
          <t>PM2.5 at MT00007, 2015-17 → 2021-23</t>
        </is>
      </c>
      <c r="D671" s="2" t="inlineStr">
        <is>
          <t>9.3 → 8.8</t>
        </is>
      </c>
      <c r="E671" s="2" t="inlineStr">
        <is>
          <t>µg/m³</t>
        </is>
      </c>
      <c r="F671" s="2" t="inlineStr">
        <is>
          <t>EEA Air Quality download service (E1a validated; AirBase before 2013), retrieved 6 Oct 2026</t>
        </is>
      </c>
      <c r="G671" s="2" t="inlineStr">
        <is>
          <t>change -0.5; Msida increment over it 5.9 → 3.8</t>
        </is>
      </c>
      <c r="H671" s="2" t="inlineStr">
        <is>
          <t>id: B-PM2.5-MT00007</t>
        </is>
      </c>
    </row>
    <row r="672">
      <c r="A672" s="5" t="inlineStr">
        <is>
          <t>CC-034</t>
        </is>
      </c>
      <c r="B672" s="2" t="inlineStr">
        <is>
          <t>CC-034:22</t>
        </is>
      </c>
      <c r="C672" s="2" t="inlineStr">
        <is>
          <t>PM2.5 at MT00004, 2015-17 → 2021-23</t>
        </is>
      </c>
      <c r="D672" s="2" t="inlineStr">
        <is>
          <t>11.7 → 10.6</t>
        </is>
      </c>
      <c r="E672" s="2" t="inlineStr">
        <is>
          <t>µg/m³</t>
        </is>
      </c>
      <c r="F672" s="2" t="inlineStr">
        <is>
          <t>EEA Air Quality download service (E1a validated; AirBase before 2013), retrieved 6 Oct 2026</t>
        </is>
      </c>
      <c r="G672" s="2" t="inlineStr">
        <is>
          <t>change -1.1; Msida increment over it 3.6 → 2.1</t>
        </is>
      </c>
      <c r="H672" s="2" t="inlineStr">
        <is>
          <t>id: B-PM2.5-MT00004</t>
        </is>
      </c>
    </row>
    <row r="673">
      <c r="A673" s="5" t="inlineStr">
        <is>
          <t>CC-034</t>
        </is>
      </c>
      <c r="B673" s="2" t="inlineStr">
        <is>
          <t>CC-034:23</t>
        </is>
      </c>
      <c r="C673" s="2" t="inlineStr">
        <is>
          <t>Msida NO2, mean of annual means 2015-17 → 2021-23</t>
        </is>
      </c>
      <c r="D673" s="2" t="inlineStr">
        <is>
          <t>36.5 → 28.5</t>
        </is>
      </c>
      <c r="E673" s="2" t="inlineStr">
        <is>
          <t>µg/m³</t>
        </is>
      </c>
      <c r="F673" s="2" t="inlineStr">
        <is>
          <t>EEA Air Quality download service (E1a validated; AirBase before 2013), retrieved 6 Oct 2026</t>
        </is>
      </c>
      <c r="G673" s="2" t="inlineStr">
        <is>
          <t>change -8.0 (-22%); years below 85% coverage: [2015]</t>
        </is>
      </c>
      <c r="H673" s="2" t="inlineStr">
        <is>
          <t>id: B-NO2-msida</t>
        </is>
      </c>
    </row>
    <row r="674">
      <c r="A674" s="5" t="inlineStr">
        <is>
          <t>CC-034</t>
        </is>
      </c>
      <c r="B674" s="2" t="inlineStr">
        <is>
          <t>CC-034:24</t>
        </is>
      </c>
      <c r="C674" s="2" t="inlineStr">
        <is>
          <t>NO2 at MT00008, 2015-17 → 2021-23</t>
        </is>
      </c>
      <c r="D674" s="2" t="inlineStr">
        <is>
          <t>11.8 → 11.4</t>
        </is>
      </c>
      <c r="E674" s="2" t="inlineStr">
        <is>
          <t>µg/m³</t>
        </is>
      </c>
      <c r="F674" s="2" t="inlineStr">
        <is>
          <t>EEA Air Quality download service (E1a validated; AirBase before 2013), retrieved 6 Oct 2026</t>
        </is>
      </c>
      <c r="G674" s="2" t="inlineStr">
        <is>
          <t>change -0.5; Msida increment over it 24.7 → 17.2</t>
        </is>
      </c>
      <c r="H674" s="2" t="inlineStr">
        <is>
          <t>id: B-NO2-MT00008</t>
        </is>
      </c>
    </row>
    <row r="675">
      <c r="A675" s="5" t="inlineStr">
        <is>
          <t>CC-034</t>
        </is>
      </c>
      <c r="B675" s="2" t="inlineStr">
        <is>
          <t>CC-034:25</t>
        </is>
      </c>
      <c r="C675" s="2" t="inlineStr">
        <is>
          <t>NO2 at MT00004, 2015-17 → 2021-23</t>
        </is>
      </c>
      <c r="D675" s="2" t="inlineStr">
        <is>
          <t>14.2 → 13.7</t>
        </is>
      </c>
      <c r="E675" s="2" t="inlineStr">
        <is>
          <t>µg/m³</t>
        </is>
      </c>
      <c r="F675" s="2" t="inlineStr">
        <is>
          <t>EEA Air Quality download service (E1a validated; AirBase before 2013), retrieved 6 Oct 2026</t>
        </is>
      </c>
      <c r="G675" s="2" t="inlineStr">
        <is>
          <t>change -0.5; Msida increment over it 22.3 → 14.8</t>
        </is>
      </c>
      <c r="H675" s="2" t="inlineStr">
        <is>
          <t>id: B-NO2-MT00004</t>
        </is>
      </c>
    </row>
    <row r="676">
      <c r="A676" s="5" t="inlineStr">
        <is>
          <t>CC-034</t>
        </is>
      </c>
      <c r="B676" s="2" t="inlineStr">
        <is>
          <t>CC-034:26</t>
        </is>
      </c>
      <c r="C676" s="2" t="inlineStr">
        <is>
          <t>NO2 at MT00007, 2015-17 → 2021-23</t>
        </is>
      </c>
      <c r="D676" s="2" t="inlineStr">
        <is>
          <t>3.0 → 2.6</t>
        </is>
      </c>
      <c r="E676" s="2" t="inlineStr">
        <is>
          <t>µg/m³</t>
        </is>
      </c>
      <c r="F676" s="2" t="inlineStr">
        <is>
          <t>EEA Air Quality download service (E1a validated; AirBase before 2013), retrieved 6 Oct 2026</t>
        </is>
      </c>
      <c r="G676" s="2" t="inlineStr">
        <is>
          <t>change -0.4; Msida increment over it 33.6 → 25.9</t>
        </is>
      </c>
      <c r="H676" s="2" t="inlineStr">
        <is>
          <t>id: B-NO2-MT00007</t>
        </is>
      </c>
    </row>
    <row r="677">
      <c r="A677" s="5" t="inlineStr">
        <is>
          <t>CC-034</t>
        </is>
      </c>
      <c r="B677" s="2" t="inlineStr">
        <is>
          <t>CC-034:27</t>
        </is>
      </c>
      <c r="C677" s="2" t="inlineStr">
        <is>
          <t>Msida NO2, mean of annual means 2015-17 → 2022-23 (sensitivity: leaves out 2021 as well)</t>
        </is>
      </c>
      <c r="D677" s="2" t="inlineStr">
        <is>
          <t>36.5 → 29.2</t>
        </is>
      </c>
      <c r="E677" s="2" t="inlineStr">
        <is>
          <t>µg/m³</t>
        </is>
      </c>
      <c r="F677" s="2" t="inlineStr">
        <is>
          <t>EEA Air Quality download service (E1a validated; AirBase before 2013), retrieved 6 Oct 2026</t>
        </is>
      </c>
      <c r="G677" s="2" t="inlineStr">
        <is>
          <t>change -7.3 (-20%); 2021 annual mean 27.1, 2020 24.3</t>
        </is>
      </c>
      <c r="H677" s="2" t="inlineStr">
        <is>
          <t>id: B-NO2-msida-2223</t>
        </is>
      </c>
    </row>
    <row r="678">
      <c r="A678" s="5" t="inlineStr">
        <is>
          <t>CC-034</t>
        </is>
      </c>
      <c r="B678" s="2" t="inlineStr">
        <is>
          <t>CC-034:28</t>
        </is>
      </c>
      <c r="C678" s="2" t="inlineStr">
        <is>
          <t>Msida minus Għarb PM10 annual mean, 2013-2023</t>
        </is>
      </c>
      <c r="D678" s="2" t="inlineStr">
        <is>
          <t>2013: 13.4; 2014: 19.5; 2015: 21.2; 2016: 21.6; 2017: 22.4; 2018: 23.5; 2019: 22.4; 2020: 18.3; 2021: 18.8; 2022: 17.5; 2023: 25.4</t>
        </is>
      </c>
      <c r="E678" s="2" t="inlineStr">
        <is>
          <t>µg/m³</t>
        </is>
      </c>
      <c r="F678" s="2" t="inlineStr">
        <is>
          <t>EEA Air Quality download service (E1a validated; AirBase before 2013), retrieved 6 Oct 2026</t>
        </is>
      </c>
      <c r="G678" s="2" t="inlineStr">
        <is>
          <t>urban increment over the rural background</t>
        </is>
      </c>
      <c r="H678" s="2" t="inlineStr">
        <is>
          <t>id: B-PM10-inc-series</t>
        </is>
      </c>
    </row>
    <row r="679">
      <c r="A679" s="5" t="inlineStr">
        <is>
          <t>CC-034</t>
        </is>
      </c>
      <c r="B679" s="2" t="inlineStr">
        <is>
          <t>CC-034:29</t>
        </is>
      </c>
      <c r="C679" s="2" t="inlineStr">
        <is>
          <t>Year with the largest Msida increment over Għarb (PM10)</t>
        </is>
      </c>
      <c r="D679" s="2" t="inlineStr">
        <is>
          <t>2023 (25.4)</t>
        </is>
      </c>
      <c r="E679" s="2" t="inlineStr">
        <is>
          <t>µg/m³</t>
        </is>
      </c>
      <c r="F679" s="2" t="inlineStr">
        <is>
          <t>EEA Air Quality download service (E1a validated; AirBase before 2013), retrieved 6 Oct 2026</t>
        </is>
      </c>
      <c r="G679" s="2" t="inlineStr"/>
      <c r="H679" s="2" t="inlineStr">
        <is>
          <t>id: B-PM10-inc-max</t>
        </is>
      </c>
    </row>
    <row r="680">
      <c r="A680" s="5" t="inlineStr">
        <is>
          <t>CC-034</t>
        </is>
      </c>
      <c r="B680" s="2" t="inlineStr">
        <is>
          <t>CC-034:30</t>
        </is>
      </c>
      <c r="C680" s="2" t="inlineStr">
        <is>
          <t>Għarb PM10 days above 50, 2018 (regional and natural episodes)</t>
        </is>
      </c>
      <c r="D680" s="2" t="inlineStr">
        <is>
          <t>12</t>
        </is>
      </c>
      <c r="E680" s="2" t="inlineStr">
        <is>
          <t>days</t>
        </is>
      </c>
      <c r="F680" s="2" t="inlineStr">
        <is>
          <t>EEA Air Quality download service (E1a validated; AirBase before 2013), retrieved 6 Oct 2026</t>
        </is>
      </c>
      <c r="G680" s="2" t="inlineStr"/>
      <c r="H680" s="2" t="inlineStr">
        <is>
          <t>id: B-gharb-days-2018</t>
        </is>
      </c>
    </row>
    <row r="681">
      <c r="A681" s="5" t="inlineStr">
        <is>
          <t>CC-034</t>
        </is>
      </c>
      <c r="B681" s="2" t="inlineStr">
        <is>
          <t>CC-034:31</t>
        </is>
      </c>
      <c r="C681" s="2" t="inlineStr">
        <is>
          <t>Għarb PM10 days above 50, 2023 (regional and natural episodes)</t>
        </is>
      </c>
      <c r="D681" s="2" t="inlineStr">
        <is>
          <t>8</t>
        </is>
      </c>
      <c r="E681" s="2" t="inlineStr">
        <is>
          <t>days</t>
        </is>
      </c>
      <c r="F681" s="2" t="inlineStr">
        <is>
          <t>EEA Air Quality download service (E1a validated; AirBase before 2013), retrieved 6 Oct 2026</t>
        </is>
      </c>
      <c r="G681" s="2" t="inlineStr"/>
      <c r="H681" s="2" t="inlineStr">
        <is>
          <t>id: B-gharb-days-2023</t>
        </is>
      </c>
    </row>
    <row r="682">
      <c r="A682" s="5" t="inlineStr">
        <is>
          <t>CC-034</t>
        </is>
      </c>
      <c r="B682" s="2" t="inlineStr">
        <is>
          <t>CC-034:32</t>
        </is>
      </c>
      <c r="C682" s="2" t="inlineStr">
        <is>
          <t>Għarb PM10 days above 50, 2013-2023</t>
        </is>
      </c>
      <c r="D682" s="2" t="inlineStr">
        <is>
          <t>2013: 13; 2014: 16; 2015: 6; 2016: 12; 2017: 3; 2018: 12; 2019: 7; 2020: 6; 2021: 18; 2022: 8; 2023: 8</t>
        </is>
      </c>
      <c r="E682" s="2" t="inlineStr">
        <is>
          <t>days</t>
        </is>
      </c>
      <c r="F682" s="2" t="inlineStr">
        <is>
          <t>EEA Air Quality download service (E1a validated; AirBase before 2013), retrieved 6 Oct 2026</t>
        </is>
      </c>
      <c r="G682" s="2" t="inlineStr"/>
      <c r="H682" s="2" t="inlineStr">
        <is>
          <t>id: B-gharb-days-series</t>
        </is>
      </c>
    </row>
    <row r="683">
      <c r="A683" s="5" t="inlineStr">
        <is>
          <t>CC-034</t>
        </is>
      </c>
      <c r="B683" s="2" t="inlineStr">
        <is>
          <t>CC-034:33</t>
        </is>
      </c>
      <c r="C683" s="2" t="inlineStr">
        <is>
          <t>Msida PM10 days above 50 (EEA count), mean 2015-17 → 2021-23</t>
        </is>
      </c>
      <c r="D683" s="2" t="inlineStr">
        <is>
          <t>58.7 → 67.7</t>
        </is>
      </c>
      <c r="E683" s="2" t="inlineStr">
        <is>
          <t>days</t>
        </is>
      </c>
      <c r="F683" s="2" t="inlineStr">
        <is>
          <t>EEA Air Quality download service (E1a validated; AirBase before 2013), retrieved 6 Oct 2026</t>
        </is>
      </c>
      <c r="G683" s="2" t="inlineStr"/>
      <c r="H683" s="2" t="inlineStr">
        <is>
          <t>id: B-msida-days-1517-2123</t>
        </is>
      </c>
    </row>
    <row r="684">
      <c r="A684" s="5" t="inlineStr">
        <is>
          <t>CC-034</t>
        </is>
      </c>
      <c r="B684" s="2" t="inlineStr">
        <is>
          <t>CC-034:34</t>
        </is>
      </c>
      <c r="C684" s="2" t="inlineStr">
        <is>
          <t>Msida PM10 days above 50 after natural deduction (ERA), mean 2015-17 → 2021-23</t>
        </is>
      </c>
      <c r="D684" s="2" t="inlineStr">
        <is>
          <t>29.3 → 37.3</t>
        </is>
      </c>
      <c r="E684" s="2" t="inlineStr">
        <is>
          <t>days</t>
        </is>
      </c>
      <c r="F684" s="2" t="inlineStr">
        <is>
          <t>ERA attainment reports to the EEA (dataflow G, Eionet CDR), retrieved 6 Oct 2026</t>
        </is>
      </c>
      <c r="G684" s="2" t="inlineStr"/>
      <c r="H684" s="2" t="inlineStr">
        <is>
          <t>id: B-msida-days-final-1517-2123</t>
        </is>
      </c>
    </row>
    <row r="685">
      <c r="A685" s="5" t="inlineStr">
        <is>
          <t>CC-034</t>
        </is>
      </c>
      <c r="B685" s="2" t="inlineStr">
        <is>
          <t>CC-034:35</t>
        </is>
      </c>
      <c r="C685" s="2" t="inlineStr">
        <is>
          <t>NOx from public electricity and heat production, 2008 → 2014 → 2018 → 2024</t>
        </is>
      </c>
      <c r="D685" s="2" t="inlineStr">
        <is>
          <t>5,590 → 2,800 → 290 → 340</t>
        </is>
      </c>
      <c r="E685" s="2" t="inlineStr">
        <is>
          <t>t</t>
        </is>
      </c>
      <c r="F685" s="2" t="inlineStr">
        <is>
          <t>Eurostat env_air_emis (Malta, tonnes), updated 7 Sep 2026, retrieved 6 Oct 2026</t>
        </is>
      </c>
      <c r="G685" s="2" t="inlineStr">
        <is>
          <t>2008→2018 -94.8%; 2014→2018 -89.6%; share of the 2008→2018 fall that came before 2015: 53%</t>
        </is>
      </c>
      <c r="H685" s="2" t="inlineStr">
        <is>
          <t>id: C-emis-NOx</t>
        </is>
      </c>
    </row>
    <row r="686">
      <c r="A686" s="5" t="inlineStr">
        <is>
          <t>CC-034</t>
        </is>
      </c>
      <c r="B686" s="2" t="inlineStr">
        <is>
          <t>CC-034:36</t>
        </is>
      </c>
      <c r="C686" s="2" t="inlineStr">
        <is>
          <t>Power sector share of Malta's NOx emissions, 2008</t>
        </is>
      </c>
      <c r="D686" s="2" t="inlineStr">
        <is>
          <t>57.6</t>
        </is>
      </c>
      <c r="E686" s="2" t="inlineStr">
        <is>
          <t>%</t>
        </is>
      </c>
      <c r="F686" s="2" t="inlineStr">
        <is>
          <t>Eurostat env_air_emis (Malta, tonnes), updated 7 Sep 2026, retrieved 6 Oct 2026</t>
        </is>
      </c>
      <c r="G686" s="2" t="inlineStr"/>
      <c r="H686" s="2" t="inlineStr">
        <is>
          <t>id: C-share-NOx</t>
        </is>
      </c>
    </row>
    <row r="687">
      <c r="A687" s="5" t="inlineStr">
        <is>
          <t>CC-034</t>
        </is>
      </c>
      <c r="B687" s="2" t="inlineStr">
        <is>
          <t>CC-034:37</t>
        </is>
      </c>
      <c r="C687" s="2" t="inlineStr">
        <is>
          <t>SOx from public electricity and heat production, 2008 → 2014 → 2018 → 2024</t>
        </is>
      </c>
      <c r="D687" s="2" t="inlineStr">
        <is>
          <t>10,100 → 4,560 → 10 → 7</t>
        </is>
      </c>
      <c r="E687" s="2" t="inlineStr">
        <is>
          <t>t</t>
        </is>
      </c>
      <c r="F687" s="2" t="inlineStr">
        <is>
          <t>Eurostat env_air_emis (Malta, tonnes), updated 7 Sep 2026, retrieved 6 Oct 2026</t>
        </is>
      </c>
      <c r="G687" s="2" t="inlineStr">
        <is>
          <t>2008→2018 -99.9%; 2014→2018 -99.8%; share of the 2008→2018 fall that came before 2015: 55%</t>
        </is>
      </c>
      <c r="H687" s="2" t="inlineStr">
        <is>
          <t>id: C-emis-SOx</t>
        </is>
      </c>
    </row>
    <row r="688">
      <c r="A688" s="5" t="inlineStr">
        <is>
          <t>CC-034</t>
        </is>
      </c>
      <c r="B688" s="2" t="inlineStr">
        <is>
          <t>CC-034:38</t>
        </is>
      </c>
      <c r="C688" s="2" t="inlineStr">
        <is>
          <t>Power sector share of Malta's SOx emissions, 2008</t>
        </is>
      </c>
      <c r="D688" s="2" t="inlineStr">
        <is>
          <t>96.6</t>
        </is>
      </c>
      <c r="E688" s="2" t="inlineStr">
        <is>
          <t>%</t>
        </is>
      </c>
      <c r="F688" s="2" t="inlineStr">
        <is>
          <t>Eurostat env_air_emis (Malta, tonnes), updated 7 Sep 2026, retrieved 6 Oct 2026</t>
        </is>
      </c>
      <c r="G688" s="2" t="inlineStr"/>
      <c r="H688" s="2" t="inlineStr">
        <is>
          <t>id: C-share-SOx</t>
        </is>
      </c>
    </row>
    <row r="689">
      <c r="A689" s="5" t="inlineStr">
        <is>
          <t>CC-034</t>
        </is>
      </c>
      <c r="B689" s="2" t="inlineStr">
        <is>
          <t>CC-034:39</t>
        </is>
      </c>
      <c r="C689" s="2" t="inlineStr">
        <is>
          <t>PM2.5 from public electricity and heat production, 2008 → 2014 → 2018 → 2024</t>
        </is>
      </c>
      <c r="D689" s="2" t="inlineStr">
        <is>
          <t>400 → 220 → 6 → 4</t>
        </is>
      </c>
      <c r="E689" s="2" t="inlineStr">
        <is>
          <t>t</t>
        </is>
      </c>
      <c r="F689" s="2" t="inlineStr">
        <is>
          <t>Eurostat env_air_emis (Malta, tonnes), updated 7 Sep 2026, retrieved 6 Oct 2026</t>
        </is>
      </c>
      <c r="G689" s="2" t="inlineStr">
        <is>
          <t>2008→2018 -98.5%; 2014→2018 -97.3%; share of the 2008→2018 fall that came before 2015: 46%</t>
        </is>
      </c>
      <c r="H689" s="2" t="inlineStr">
        <is>
          <t>id: C-emis-PM2.5</t>
        </is>
      </c>
    </row>
    <row r="690">
      <c r="A690" s="5" t="inlineStr">
        <is>
          <t>CC-034</t>
        </is>
      </c>
      <c r="B690" s="2" t="inlineStr">
        <is>
          <t>CC-034:40</t>
        </is>
      </c>
      <c r="C690" s="2" t="inlineStr">
        <is>
          <t>Power sector share of Malta's PM2.5 emissions, 2008</t>
        </is>
      </c>
      <c r="D690" s="2" t="inlineStr">
        <is>
          <t>55.6</t>
        </is>
      </c>
      <c r="E690" s="2" t="inlineStr">
        <is>
          <t>%</t>
        </is>
      </c>
      <c r="F690" s="2" t="inlineStr">
        <is>
          <t>Eurostat env_air_emis (Malta, tonnes), updated 7 Sep 2026, retrieved 6 Oct 2026</t>
        </is>
      </c>
      <c r="G690" s="2" t="inlineStr"/>
      <c r="H690" s="2" t="inlineStr">
        <is>
          <t>id: C-share-PM2.5</t>
        </is>
      </c>
    </row>
    <row r="691">
      <c r="A691" s="5" t="inlineStr">
        <is>
          <t>CC-034</t>
        </is>
      </c>
      <c r="B691" s="2" t="inlineStr">
        <is>
          <t>CC-034:41</t>
        </is>
      </c>
      <c r="C691" s="2" t="inlineStr">
        <is>
          <t>SO2 at Kordin (downwind of Marsa power station), annual mean (share of year measured), 2009-2016</t>
        </is>
      </c>
      <c r="D691" s="2" t="inlineStr">
        <is>
          <t>2009: 4.0 (55%); 2010: 12.6 (43%); 2011: 17.5 (62%); 2012: 16.0 (62%); 2013: 13.5 (10%); 2014: 2.6 (98%); 2015: 1.5 (98%); 2016: 2.3 (93%)</t>
        </is>
      </c>
      <c r="E691" s="2" t="inlineStr">
        <is>
          <t>µg/m³</t>
        </is>
      </c>
      <c r="F691" s="2" t="inlineStr">
        <is>
          <t>EEA Air Quality download service (E1a validated; AirBase before 2013), retrieved 6 Oct 2026</t>
        </is>
      </c>
      <c r="G691" s="2" t="inlineStr">
        <is>
          <t>2010-13 rest on 10-62% of the year; the monitor closed at the end of 2016</t>
        </is>
      </c>
      <c r="H691" s="2" t="inlineStr">
        <is>
          <t>id: C-so2-kordin-series</t>
        </is>
      </c>
    </row>
    <row r="692">
      <c r="A692" s="5" t="inlineStr">
        <is>
          <t>CC-034</t>
        </is>
      </c>
      <c r="B692" s="2" t="inlineStr">
        <is>
          <t>CC-034:42</t>
        </is>
      </c>
      <c r="C692" s="2" t="inlineStr">
        <is>
          <t>SO2 at Kordin, 2014 → 2015 → 2016 (around the interconnector of April 2015)</t>
        </is>
      </c>
      <c r="D692" s="2" t="inlineStr">
        <is>
          <t>2.6 → 1.5 → 2.3</t>
        </is>
      </c>
      <c r="E692" s="2" t="inlineStr">
        <is>
          <t>µg/m³</t>
        </is>
      </c>
      <c r="F692" s="2" t="inlineStr">
        <is>
          <t>EEA Air Quality download service (E1a validated; AirBase before 2013), retrieved 6 Oct 2026</t>
        </is>
      </c>
      <c r="G692" s="2" t="inlineStr">
        <is>
          <t>coverage 98%, 98%, 93%; already low in 2014, before the reform</t>
        </is>
      </c>
      <c r="H692" s="2" t="inlineStr">
        <is>
          <t>id: C-so2-kordin</t>
        </is>
      </c>
    </row>
    <row r="693">
      <c r="A693" s="5" t="inlineStr">
        <is>
          <t>CC-034</t>
        </is>
      </c>
      <c r="B693" s="2" t="inlineStr">
        <is>
          <t>CC-034:43</t>
        </is>
      </c>
      <c r="C693" s="2" t="inlineStr">
        <is>
          <t>SO2 at MT00004, mean of 2008, 2009, 2010, 2012 → 2018-23</t>
        </is>
      </c>
      <c r="D693" s="2" t="inlineStr">
        <is>
          <t>4.1 → 0.7</t>
        </is>
      </c>
      <c r="E693" s="2" t="inlineStr">
        <is>
          <t>µg/m³</t>
        </is>
      </c>
      <c r="F693" s="2" t="inlineStr">
        <is>
          <t>EEA Air Quality download service (E1a validated; AirBase before 2013), retrieved 6 Oct 2026</t>
        </is>
      </c>
      <c r="G693" s="2" t="inlineStr">
        <is>
          <t>-83%; baseline years with at least 60% of the year measured (left out: 2011 (28.5%))</t>
        </is>
      </c>
      <c r="H693" s="2" t="inlineStr">
        <is>
          <t>id: C-so2-MT00004</t>
        </is>
      </c>
    </row>
    <row r="694">
      <c r="A694" s="5" t="inlineStr">
        <is>
          <t>CC-034</t>
        </is>
      </c>
      <c r="B694" s="2" t="inlineStr">
        <is>
          <t>CC-034:44</t>
        </is>
      </c>
      <c r="C694" s="2" t="inlineStr">
        <is>
          <t>SO2 at MT00005, mean of 2008, 2009, 2010, 2012 → 2018-23</t>
        </is>
      </c>
      <c r="D694" s="2" t="inlineStr">
        <is>
          <t>2.5 → 0.6</t>
        </is>
      </c>
      <c r="E694" s="2" t="inlineStr">
        <is>
          <t>µg/m³</t>
        </is>
      </c>
      <c r="F694" s="2" t="inlineStr">
        <is>
          <t>EEA Air Quality download service (E1a validated; AirBase before 2013), retrieved 6 Oct 2026</t>
        </is>
      </c>
      <c r="G694" s="2" t="inlineStr">
        <is>
          <t>-75%; baseline years with at least 60% of the year measured (left out: 2011 (52.9%))</t>
        </is>
      </c>
      <c r="H694" s="2" t="inlineStr">
        <is>
          <t>id: C-so2-MT00005</t>
        </is>
      </c>
    </row>
    <row r="695">
      <c r="A695" s="5" t="inlineStr">
        <is>
          <t>CC-034</t>
        </is>
      </c>
      <c r="B695" s="2" t="inlineStr">
        <is>
          <t>CC-034:45</t>
        </is>
      </c>
      <c r="C695" s="2" t="inlineStr">
        <is>
          <t>SO2 at MT00007, mean of 2008, 2009, 2010, 2011, 2012 → 2018-23</t>
        </is>
      </c>
      <c r="D695" s="2" t="inlineStr">
        <is>
          <t>1.5 → 0.8</t>
        </is>
      </c>
      <c r="E695" s="2" t="inlineStr">
        <is>
          <t>µg/m³</t>
        </is>
      </c>
      <c r="F695" s="2" t="inlineStr">
        <is>
          <t>EEA Air Quality download service (E1a validated; AirBase before 2013), retrieved 6 Oct 2026</t>
        </is>
      </c>
      <c r="G695" s="2" t="inlineStr">
        <is>
          <t>-50%; baseline years with at least 60% of the year measured (left out: none)</t>
        </is>
      </c>
      <c r="H695" s="2" t="inlineStr">
        <is>
          <t>id: C-so2-MT00007</t>
        </is>
      </c>
    </row>
    <row r="696">
      <c r="A696" s="5" t="inlineStr">
        <is>
          <t>CC-034</t>
        </is>
      </c>
      <c r="B696" s="2" t="inlineStr">
        <is>
          <t>CC-034:46</t>
        </is>
      </c>
      <c r="C696" s="2" t="inlineStr">
        <is>
          <t>SO2 at Żejtun, mean 2010-12 → 2018-23 (first draft's baseline, kept for comparison)</t>
        </is>
      </c>
      <c r="D696" s="2" t="inlineStr">
        <is>
          <t>3.9 → 0.7</t>
        </is>
      </c>
      <c r="E696" s="2" t="inlineStr">
        <is>
          <t>µg/m³</t>
        </is>
      </c>
      <c r="F696" s="2" t="inlineStr">
        <is>
          <t>EEA Air Quality download service (E1a validated; AirBase before 2013), retrieved 6 Oct 2026</t>
        </is>
      </c>
      <c r="G696" s="2" t="inlineStr">
        <is>
          <t>2011 rests on 28.5% of the year; not used in the report</t>
        </is>
      </c>
      <c r="H696" s="2" t="inlineStr">
        <is>
          <t>id: C-so2-MT00004-v1</t>
        </is>
      </c>
    </row>
    <row r="697">
      <c r="A697" s="5" t="inlineStr">
        <is>
          <t>CC-034</t>
        </is>
      </c>
      <c r="B697" s="2" t="inlineStr">
        <is>
          <t>CC-034:47</t>
        </is>
      </c>
      <c r="C697" s="2" t="inlineStr">
        <is>
          <t>SO2 at Żejtun, mean 2013-16 → 2018-23 (the years just before and after the reform)</t>
        </is>
      </c>
      <c r="D697" s="2" t="inlineStr">
        <is>
          <t>2.2 → 0.7</t>
        </is>
      </c>
      <c r="E697" s="2" t="inlineStr">
        <is>
          <t>µg/m³</t>
        </is>
      </c>
      <c r="F697" s="2" t="inlineStr">
        <is>
          <t>EEA Air Quality download service (E1a validated; AirBase before 2013), retrieved 6 Oct 2026</t>
        </is>
      </c>
      <c r="G697" s="2" t="inlineStr">
        <is>
          <t>-68%; 2014 rests on 69% of the year; 2018-23 includes four years after the IMO's 0.5% fuel-sulphur cap for ships outside emission control areas (1 January 2020; imo.org, Sulphur 2020 page, read 6 Oct 2026)</t>
        </is>
      </c>
      <c r="H697" s="2" t="inlineStr">
        <is>
          <t>id: C-so2-MT00004-1316</t>
        </is>
      </c>
    </row>
    <row r="698">
      <c r="A698" s="5" t="inlineStr">
        <is>
          <t>CC-034</t>
        </is>
      </c>
      <c r="B698" s="2" t="inlineStr">
        <is>
          <t>CC-034:48</t>
        </is>
      </c>
      <c r="C698" s="2" t="inlineStr">
        <is>
          <t>Żejtun NO2, mean 2013-16 → 2018-23 (excl. 2020)</t>
        </is>
      </c>
      <c r="D698" s="2" t="inlineStr">
        <is>
          <t>14.1 → 13.9</t>
        </is>
      </c>
      <c r="E698" s="2" t="inlineStr">
        <is>
          <t>µg/m³</t>
        </is>
      </c>
      <c r="F698" s="2" t="inlineStr">
        <is>
          <t>EEA Air Quality download service (E1a validated; AirBase before 2013), retrieved 6 Oct 2026</t>
        </is>
      </c>
      <c r="G698" s="2" t="inlineStr">
        <is>
          <t>change -0.1; Żejtun lies about 3 km from Delimara (station coordinates in data/cc-008/aq_stations.csv)</t>
        </is>
      </c>
      <c r="H698" s="2" t="inlineStr">
        <is>
          <t>id: C-zejtun-NO2</t>
        </is>
      </c>
    </row>
    <row r="699">
      <c r="A699" s="5" t="inlineStr">
        <is>
          <t>CC-034</t>
        </is>
      </c>
      <c r="B699" s="2" t="inlineStr">
        <is>
          <t>CC-034:49</t>
        </is>
      </c>
      <c r="C699" s="2" t="inlineStr">
        <is>
          <t>Żejtun PM2.5, mean 2013-16 → 2018-23 (excl. 2020)</t>
        </is>
      </c>
      <c r="D699" s="2" t="inlineStr">
        <is>
          <t>11.6 → 11.2</t>
        </is>
      </c>
      <c r="E699" s="2" t="inlineStr">
        <is>
          <t>µg/m³</t>
        </is>
      </c>
      <c r="F699" s="2" t="inlineStr">
        <is>
          <t>EEA Air Quality download service (E1a validated; AirBase before 2013), retrieved 6 Oct 2026</t>
        </is>
      </c>
      <c r="G699" s="2" t="inlineStr">
        <is>
          <t>change -0.4; Żejtun lies about 3 km from Delimara (station coordinates in data/cc-008/aq_stations.csv)</t>
        </is>
      </c>
      <c r="H699" s="2" t="inlineStr">
        <is>
          <t>id: C-zejtun-PM2.5</t>
        </is>
      </c>
    </row>
    <row r="700">
      <c r="A700" s="5" t="inlineStr">
        <is>
          <t>CC-034</t>
        </is>
      </c>
      <c r="B700" s="2" t="inlineStr">
        <is>
          <t>CC-034:50</t>
        </is>
      </c>
      <c r="C700" s="2" t="inlineStr">
        <is>
          <t>Żejtun PM10, mean 2013-16 → 2018-23 (excl. 2020)</t>
        </is>
      </c>
      <c r="D700" s="2" t="inlineStr">
        <is>
          <t>28.8 → 29.4</t>
        </is>
      </c>
      <c r="E700" s="2" t="inlineStr">
        <is>
          <t>µg/m³</t>
        </is>
      </c>
      <c r="F700" s="2" t="inlineStr">
        <is>
          <t>EEA Air Quality download service (E1a validated; AirBase before 2013), retrieved 6 Oct 2026</t>
        </is>
      </c>
      <c r="G700" s="2" t="inlineStr">
        <is>
          <t>change +0.6; Żejtun lies about 3 km from Delimara (station coordinates in data/cc-008/aq_stations.csv)</t>
        </is>
      </c>
      <c r="H700" s="2" t="inlineStr">
        <is>
          <t>id: C-zejtun-PM10</t>
        </is>
      </c>
    </row>
    <row r="701">
      <c r="A701" s="5" t="inlineStr">
        <is>
          <t>CC-034</t>
        </is>
      </c>
      <c r="B701" s="2" t="inlineStr">
        <is>
          <t>CC-034:51</t>
        </is>
      </c>
      <c r="C701" s="2" t="inlineStr">
        <is>
          <t>Road-transport exhaust NOx (cars, vans, lorries and buses, motorcycles), 2015 → 2022</t>
        </is>
      </c>
      <c r="D701" s="2" t="inlineStr">
        <is>
          <t>2,546 → 1,950</t>
        </is>
      </c>
      <c r="E701" s="2" t="inlineStr">
        <is>
          <t>t</t>
        </is>
      </c>
      <c r="F701" s="2" t="inlineStr">
        <is>
          <t>Eurostat env_air_emis (Malta, tonnes), updated 7 Sep 2026, retrieved 6 Oct 2026</t>
        </is>
      </c>
      <c r="G701" s="2" t="inlineStr">
        <is>
          <t>-23% (modelled inventory, not measured)</t>
        </is>
      </c>
      <c r="H701" s="2" t="inlineStr">
        <is>
          <t>id: D-road-nox</t>
        </is>
      </c>
    </row>
    <row r="702">
      <c r="A702" s="5" t="inlineStr">
        <is>
          <t>CC-034</t>
        </is>
      </c>
      <c r="B702" s="2" t="inlineStr">
        <is>
          <t>CC-034:52</t>
        </is>
      </c>
      <c r="C702" s="2" t="inlineStr">
        <is>
          <t>Msida NO2, 2015-17 → 2021-23</t>
        </is>
      </c>
      <c r="D702" s="2" t="inlineStr">
        <is>
          <t>-22</t>
        </is>
      </c>
      <c r="E702" s="2" t="inlineStr">
        <is>
          <t>%</t>
        </is>
      </c>
      <c r="F702" s="2" t="inlineStr">
        <is>
          <t>EEA Air Quality download service (E1a validated; AirBase before 2013), retrieved 6 Oct 2026</t>
        </is>
      </c>
      <c r="G702" s="2" t="inlineStr"/>
      <c r="H702" s="2" t="inlineStr">
        <is>
          <t>id: D-msida-no2-pct</t>
        </is>
      </c>
    </row>
    <row r="703">
      <c r="A703" s="5" t="inlineStr">
        <is>
          <t>CC-034</t>
        </is>
      </c>
      <c r="B703" s="2" t="inlineStr">
        <is>
          <t>CC-034:53</t>
        </is>
      </c>
      <c r="C703" s="2" t="inlineStr">
        <is>
          <t>Road-transport PM10: exhaust vs tyre, brake and road wear, 2015 → 2023</t>
        </is>
      </c>
      <c r="D703" s="2" t="inlineStr">
        <is>
          <t>exhaust 82 → 33; wear 100 → 100</t>
        </is>
      </c>
      <c r="E703" s="2" t="inlineStr">
        <is>
          <t>t</t>
        </is>
      </c>
      <c r="F703" s="2" t="inlineStr">
        <is>
          <t>Eurostat env_air_emis (Malta, tonnes), updated 7 Sep 2026, retrieved 6 Oct 2026</t>
        </is>
      </c>
      <c r="G703" s="2" t="inlineStr"/>
      <c r="H703" s="2" t="inlineStr">
        <is>
          <t>id: D-pm10-exh-nonexh</t>
        </is>
      </c>
    </row>
    <row r="704">
      <c r="A704" s="5" t="inlineStr">
        <is>
          <t>CC-034</t>
        </is>
      </c>
      <c r="B704" s="2" t="inlineStr">
        <is>
          <t>CC-034:54</t>
        </is>
      </c>
      <c r="C704" s="2" t="inlineStr">
        <is>
          <t>PM10 from construction and demolition (NFR 2A5b), 2013 → 2023 → 2024</t>
        </is>
      </c>
      <c r="D704" s="2" t="inlineStr">
        <is>
          <t>80 → 370 → 940</t>
        </is>
      </c>
      <c r="E704" s="2" t="inlineStr">
        <is>
          <t>t</t>
        </is>
      </c>
      <c r="F704" s="2" t="inlineStr">
        <is>
          <t>Eurostat env_air_emis (Malta, tonnes), updated 7 Sep 2026, retrieved 6 Oct 2026</t>
        </is>
      </c>
      <c r="G704" s="2" t="inlineStr"/>
      <c r="H704" s="2" t="inlineStr">
        <is>
          <t>id: D-construction-pm10</t>
        </is>
      </c>
    </row>
    <row r="705">
      <c r="A705" s="5" t="inlineStr">
        <is>
          <t>CC-034</t>
        </is>
      </c>
      <c r="B705" s="2" t="inlineStr">
        <is>
          <t>CC-034:55</t>
        </is>
      </c>
      <c r="C705" s="2" t="inlineStr">
        <is>
          <t>Passenger cars licensed, 2013 → 2025</t>
        </is>
      </c>
      <c r="D705" s="2" t="inlineStr">
        <is>
          <t>256,096 → 335,693</t>
        </is>
      </c>
      <c r="E705" s="2" t="inlineStr">
        <is>
          <t>cars</t>
        </is>
      </c>
      <c r="F705" s="2" t="inlineStr">
        <is>
          <t>Eurostat road_eqs_carpda / road_eqs_carhab, retrieved 6 Oct 2026</t>
        </is>
      </c>
      <c r="G705" s="2" t="inlineStr">
        <is>
          <t>+31%</t>
        </is>
      </c>
      <c r="H705" s="2" t="inlineStr">
        <is>
          <t>id: D-cars</t>
        </is>
      </c>
    </row>
    <row r="706">
      <c r="A706" s="5" t="inlineStr">
        <is>
          <t>CC-034</t>
        </is>
      </c>
      <c r="B706" s="2" t="inlineStr">
        <is>
          <t>CC-034:56</t>
        </is>
      </c>
      <c r="C706" s="2" t="inlineStr">
        <is>
          <t>Passenger cars per 1,000 inhabitants, 2013 → 2025</t>
        </is>
      </c>
      <c r="D706" s="2" t="inlineStr">
        <is>
          <t>598 → 571</t>
        </is>
      </c>
      <c r="E706" s="2" t="inlineStr">
        <is>
          <t>cars</t>
        </is>
      </c>
      <c r="F706" s="2" t="inlineStr">
        <is>
          <t>Eurostat road_eqs_carpda / road_eqs_carhab, retrieved 6 Oct 2026</t>
        </is>
      </c>
      <c r="G706" s="2" t="inlineStr"/>
      <c r="H706" s="2" t="inlineStr">
        <is>
          <t>id: D-cars-1000</t>
        </is>
      </c>
    </row>
    <row r="707">
      <c r="A707" s="5" t="inlineStr">
        <is>
          <t>CC-034</t>
        </is>
      </c>
      <c r="B707" s="2" t="inlineStr">
        <is>
          <t>CC-034:57</t>
        </is>
      </c>
      <c r="C707" s="2" t="inlineStr">
        <is>
          <t>Msida NO2, Oct-Dec, highest hourly mean of the day: 2014-17 → 2018-19</t>
        </is>
      </c>
      <c r="D707" s="2" t="inlineStr">
        <is>
          <t>62.32 (hour 07) → 61.35 (hour 07)</t>
        </is>
      </c>
      <c r="E707" s="2" t="inlineStr">
        <is>
          <t>µg/m³</t>
        </is>
      </c>
      <c r="F707" s="2" t="inlineStr">
        <is>
          <t>EEA Air Quality download service (E1a validated; AirBase before 2013), retrieved 6 Oct 2026</t>
        </is>
      </c>
      <c r="G707" s="2" t="inlineStr">
        <is>
          <t>the plan's Figures 25-26 comparison, recomputed; hours are the EEA Start time (beginning of the hour, fixed UTC+1 clock, no daylight saving; see section G); the plan's own labels follow no stated convention</t>
        </is>
      </c>
      <c r="H707" s="2" t="inlineStr">
        <is>
          <t>id: E-NO2-maxhour</t>
        </is>
      </c>
    </row>
    <row r="708">
      <c r="A708" s="5" t="inlineStr">
        <is>
          <t>CC-034</t>
        </is>
      </c>
      <c r="B708" s="2" t="inlineStr">
        <is>
          <t>CC-034:58</t>
        </is>
      </c>
      <c r="C708" s="2" t="inlineStr">
        <is>
          <t>Msida NO2, Oct-Dec, 07:00-08:00: 2014-17 → 2018-19</t>
        </is>
      </c>
      <c r="D708" s="2" t="inlineStr">
        <is>
          <t>62.32 → 61.35</t>
        </is>
      </c>
      <c r="E708" s="2" t="inlineStr">
        <is>
          <t>µg/m³</t>
        </is>
      </c>
      <c r="F708" s="2" t="inlineStr">
        <is>
          <t>EEA Air Quality download service (E1a validated; AirBase before 2013), retrieved 6 Oct 2026</t>
        </is>
      </c>
      <c r="G708" s="2" t="inlineStr">
        <is>
          <t>change -0.98</t>
        </is>
      </c>
      <c r="H708" s="2" t="inlineStr">
        <is>
          <t>id: E-NO2-07</t>
        </is>
      </c>
    </row>
    <row r="709">
      <c r="A709" s="5" t="inlineStr">
        <is>
          <t>CC-034</t>
        </is>
      </c>
      <c r="B709" s="2" t="inlineStr">
        <is>
          <t>CC-034:59</t>
        </is>
      </c>
      <c r="C709" s="2" t="inlineStr">
        <is>
          <t>Msida NO2, Oct-Dec, change by hour 2014-17 → 2018-19: morning 06-11 / evening 16-22</t>
        </is>
      </c>
      <c r="D709" s="2" t="inlineStr">
        <is>
          <t>-5.01 to +0.60 / -6.77 to -5.29</t>
        </is>
      </c>
      <c r="E709" s="2" t="inlineStr">
        <is>
          <t>µg/m³</t>
        </is>
      </c>
      <c r="F709" s="2" t="inlineStr">
        <is>
          <t>EEA Air Quality download service (E1a validated; AirBase before 2013), retrieved 6 Oct 2026</t>
        </is>
      </c>
      <c r="G709" s="2" t="inlineStr">
        <is>
          <t>largest morning fall at 11:00-12:00 (-5.01); largest evening fall at 20:00-21:00 (-6.77); hours are the EEA Start time (see section G)</t>
        </is>
      </c>
      <c r="H709" s="2" t="inlineStr">
        <is>
          <t>id: E-NO2-range</t>
        </is>
      </c>
    </row>
    <row r="710">
      <c r="A710" s="5" t="inlineStr">
        <is>
          <t>CC-034</t>
        </is>
      </c>
      <c r="B710" s="2" t="inlineStr">
        <is>
          <t>CC-034:60</t>
        </is>
      </c>
      <c r="C710" s="2" t="inlineStr">
        <is>
          <t>Msida CO, Oct-Dec, highest hourly mean of the day: 2014-17 → 2018-19</t>
        </is>
      </c>
      <c r="D710" s="2" t="inlineStr">
        <is>
          <t>1.15 (hour 07) → 0.86 (hour 06)</t>
        </is>
      </c>
      <c r="E710" s="2" t="inlineStr">
        <is>
          <t>mg/m³</t>
        </is>
      </c>
      <c r="F710" s="2" t="inlineStr">
        <is>
          <t>EEA Air Quality download service (E1a validated; AirBase before 2013), retrieved 6 Oct 2026</t>
        </is>
      </c>
      <c r="G710" s="2" t="inlineStr">
        <is>
          <t>the plan's Figures 25-26 comparison, recomputed; hours are the EEA Start time (beginning of the hour, fixed UTC+1 clock, no daylight saving; see section G); the plan's own labels follow no stated convention</t>
        </is>
      </c>
      <c r="H710" s="2" t="inlineStr">
        <is>
          <t>id: E-CO-maxhour</t>
        </is>
      </c>
    </row>
    <row r="711">
      <c r="A711" s="5" t="inlineStr">
        <is>
          <t>CC-034</t>
        </is>
      </c>
      <c r="B711" s="2" t="inlineStr">
        <is>
          <t>CC-034:61</t>
        </is>
      </c>
      <c r="C711" s="2" t="inlineStr">
        <is>
          <t>Msida CO, Oct-Dec, 07:00-08:00: 2014-17 → 2018-19</t>
        </is>
      </c>
      <c r="D711" s="2" t="inlineStr">
        <is>
          <t>1.15 → 0.81</t>
        </is>
      </c>
      <c r="E711" s="2" t="inlineStr">
        <is>
          <t>mg/m³</t>
        </is>
      </c>
      <c r="F711" s="2" t="inlineStr">
        <is>
          <t>EEA Air Quality download service (E1a validated; AirBase before 2013), retrieved 6 Oct 2026</t>
        </is>
      </c>
      <c r="G711" s="2" t="inlineStr">
        <is>
          <t>change -0.34</t>
        </is>
      </c>
      <c r="H711" s="2" t="inlineStr">
        <is>
          <t>id: E-CO-07</t>
        </is>
      </c>
    </row>
    <row r="712">
      <c r="A712" s="5" t="inlineStr">
        <is>
          <t>CC-034</t>
        </is>
      </c>
      <c r="B712" s="2" t="inlineStr">
        <is>
          <t>CC-034:62</t>
        </is>
      </c>
      <c r="C712" s="2" t="inlineStr">
        <is>
          <t>Msida CO, Oct-Dec, change by hour 2014-17 → 2018-19: morning 06-11 / evening 16-22</t>
        </is>
      </c>
      <c r="D712" s="2" t="inlineStr">
        <is>
          <t>-0.34 to -0.07 / -0.28 to -0.13</t>
        </is>
      </c>
      <c r="E712" s="2" t="inlineStr">
        <is>
          <t>mg/m³</t>
        </is>
      </c>
      <c r="F712" s="2" t="inlineStr">
        <is>
          <t>EEA Air Quality download service (E1a validated; AirBase before 2013), retrieved 6 Oct 2026</t>
        </is>
      </c>
      <c r="G712" s="2" t="inlineStr">
        <is>
          <t>largest morning fall at 07:00-08:00 (-0.34); largest evening fall at 19:00-20:00 (-0.28); hours are the EEA Start time (see section G)</t>
        </is>
      </c>
      <c r="H712" s="2" t="inlineStr">
        <is>
          <t>id: E-CO-range</t>
        </is>
      </c>
    </row>
    <row r="713">
      <c r="A713" s="5" t="inlineStr">
        <is>
          <t>CC-034</t>
        </is>
      </c>
      <c r="B713" s="2" t="inlineStr">
        <is>
          <t>CC-034:63</t>
        </is>
      </c>
      <c r="C713" s="2" t="inlineStr">
        <is>
          <t>NO2 weekday 07-10 at MT00005: change in term (Oct-Dec) minus change in holidays (Jun-Aug), 2014-17 → 2018-19</t>
        </is>
      </c>
      <c r="D713" s="2" t="inlineStr">
        <is>
          <t>-2.5</t>
        </is>
      </c>
      <c r="E713" s="2" t="inlineStr">
        <is>
          <t>µg/m³</t>
        </is>
      </c>
      <c r="F713" s="2" t="inlineStr">
        <is>
          <t>EEA Air Quality download service (E1a validated; AirBase before 2013), retrieved 6 Oct 2026</t>
        </is>
      </c>
      <c r="G713" s="2" t="inlineStr">
        <is>
          <t>term -1.6, holidays +0.9</t>
        </is>
      </c>
      <c r="H713" s="2" t="inlineStr">
        <is>
          <t>id: E-did-MT00005</t>
        </is>
      </c>
    </row>
    <row r="714">
      <c r="A714" s="5" t="inlineStr">
        <is>
          <t>CC-034</t>
        </is>
      </c>
      <c r="B714" s="2" t="inlineStr">
        <is>
          <t>CC-034:64</t>
        </is>
      </c>
      <c r="C714" s="2" t="inlineStr">
        <is>
          <t>NO2 weekday 07-10 at MT00008: change in term (Oct-Dec) minus change in holidays (Jun-Aug), 2014-17 → 2018-19</t>
        </is>
      </c>
      <c r="D714" s="2" t="inlineStr">
        <is>
          <t>-2.7</t>
        </is>
      </c>
      <c r="E714" s="2" t="inlineStr">
        <is>
          <t>µg/m³</t>
        </is>
      </c>
      <c r="F714" s="2" t="inlineStr">
        <is>
          <t>EEA Air Quality download service (E1a validated; AirBase before 2013), retrieved 6 Oct 2026</t>
        </is>
      </c>
      <c r="G714" s="2" t="inlineStr">
        <is>
          <t>term +2.4, holidays +5.1</t>
        </is>
      </c>
      <c r="H714" s="2" t="inlineStr">
        <is>
          <t>id: E-did-MT00008</t>
        </is>
      </c>
    </row>
    <row r="715">
      <c r="A715" s="5" t="inlineStr">
        <is>
          <t>CC-034</t>
        </is>
      </c>
      <c r="B715" s="2" t="inlineStr">
        <is>
          <t>CC-034:65</t>
        </is>
      </c>
      <c r="C715" s="2" t="inlineStr">
        <is>
          <t>NO2 weekday 07-10 at MT00004: change in term (Oct-Dec) minus change in holidays (Jun-Aug), 2014-17 → 2018-19</t>
        </is>
      </c>
      <c r="D715" s="2" t="inlineStr">
        <is>
          <t>+2.8</t>
        </is>
      </c>
      <c r="E715" s="2" t="inlineStr">
        <is>
          <t>µg/m³</t>
        </is>
      </c>
      <c r="F715" s="2" t="inlineStr">
        <is>
          <t>EEA Air Quality download service (E1a validated; AirBase before 2013), retrieved 6 Oct 2026</t>
        </is>
      </c>
      <c r="G715" s="2" t="inlineStr">
        <is>
          <t>term +2.2, holidays -0.6</t>
        </is>
      </c>
      <c r="H715" s="2" t="inlineStr">
        <is>
          <t>id: E-did-MT00004</t>
        </is>
      </c>
    </row>
    <row r="716">
      <c r="A716" s="5" t="inlineStr">
        <is>
          <t>CC-034</t>
        </is>
      </c>
      <c r="B716" s="2" t="inlineStr">
        <is>
          <t>CC-034:66</t>
        </is>
      </c>
      <c r="C716" s="2" t="inlineStr">
        <is>
          <t>Msida NO2, Oct-Dec weekday 07:00-09:59, by year</t>
        </is>
      </c>
      <c r="D716" s="2" t="inlineStr">
        <is>
          <t>2013: 67.8; 2014: 55.5; 2015: 65.3; 2016: 59.1; 2017: 54.3; 2018: 70.3; 2019: 44.0; 2020: 50.0; 2021: 46.9; 2022: 55.7; 2023: 48.2</t>
        </is>
      </c>
      <c r="E716" s="2" t="inlineStr">
        <is>
          <t>µg/m³</t>
        </is>
      </c>
      <c r="F716" s="2" t="inlineStr">
        <is>
          <t>EEA Air Quality download service (E1a validated; AirBase before 2013), retrieved 6 Oct 2026</t>
        </is>
      </c>
      <c r="G716" s="2" t="inlineStr"/>
      <c r="H716" s="2" t="inlineStr">
        <is>
          <t>id: E-no2-yearly</t>
        </is>
      </c>
    </row>
    <row r="717">
      <c r="A717" s="5" t="inlineStr">
        <is>
          <t>CC-034</t>
        </is>
      </c>
      <c r="B717" s="2" t="inlineStr">
        <is>
          <t>CC-034:67</t>
        </is>
      </c>
      <c r="C717" s="2" t="inlineStr">
        <is>
          <t>Rank of Oct-Dec 2018 (first term of free school transport) among 2013-2023, highest = 1</t>
        </is>
      </c>
      <c r="D717" s="2" t="inlineStr">
        <is>
          <t>1</t>
        </is>
      </c>
      <c r="E717" s="2" t="inlineStr">
        <is>
          <t>rank</t>
        </is>
      </c>
      <c r="F717" s="2" t="inlineStr">
        <is>
          <t>EEA Air Quality download service (E1a validated; AirBase before 2013), retrieved 6 Oct 2026</t>
        </is>
      </c>
      <c r="G717" s="2" t="inlineStr">
        <is>
          <t>2017: 54.3; 2018: 70.3; 2019: 44.0</t>
        </is>
      </c>
      <c r="H717" s="2" t="inlineStr">
        <is>
          <t>id: E-no2-2018-rank</t>
        </is>
      </c>
    </row>
    <row r="718">
      <c r="A718" s="5" t="inlineStr">
        <is>
          <t>CC-034</t>
        </is>
      </c>
      <c r="B718" s="2" t="inlineStr">
        <is>
          <t>CC-034:68</t>
        </is>
      </c>
      <c r="C718" s="2" t="inlineStr">
        <is>
          <t>Msida NO2, Oct-Dec weekday 07:00-09:59: mean of the annual values 2013-17 → 2019-23</t>
        </is>
      </c>
      <c r="D718" s="2" t="inlineStr">
        <is>
          <t>60.4 → 48.9</t>
        </is>
      </c>
      <c r="E718" s="2" t="inlineStr">
        <is>
          <t>µg/m³</t>
        </is>
      </c>
      <c r="F718" s="2" t="inlineStr">
        <is>
          <t>EEA Air Quality download service (E1a validated; AirBase before 2013), retrieved 6 Oct 2026</t>
        </is>
      </c>
      <c r="G718" s="2" t="inlineStr">
        <is>
          <t>change -11.5; the step came in 2019 (2018: 70.3); the later window includes the 2020-21 lockdown years; cannot be separated from fleet renewal or tested against a control</t>
        </is>
      </c>
      <c r="H718" s="2" t="inlineStr">
        <is>
          <t>id: E-no2-sustained</t>
        </is>
      </c>
    </row>
    <row r="719">
      <c r="A719" s="5" t="inlineStr">
        <is>
          <t>CC-034</t>
        </is>
      </c>
      <c r="B719" s="2" t="inlineStr">
        <is>
          <t>CC-034:69</t>
        </is>
      </c>
      <c r="C719" s="2" t="inlineStr">
        <is>
          <t>Msida NO2, Oct-Dec weekday 07:00-09:59: share of the hours that have a valid value, by year</t>
        </is>
      </c>
      <c r="D719" s="2" t="inlineStr">
        <is>
          <t>2013: 98%; 2014: 57%; 2015: 73%; 2016: 90%; 2017: 84%; 2018: 97%; 2019: 99%; 2020: 97%; 2021: 97%; 2022: 93%; 2023: 97%</t>
        </is>
      </c>
      <c r="E719" s="2" t="inlineStr">
        <is>
          <t>%</t>
        </is>
      </c>
      <c r="F719" s="2" t="inlineStr">
        <is>
          <t>EEA Air Quality download service (E1a validated; AirBase before 2013), retrieved 6 Oct 2026</t>
        </is>
      </c>
      <c r="G719" s="2" t="inlineStr">
        <is>
          <t>years under 85% are drawn hollow in Figure 4</t>
        </is>
      </c>
      <c r="H719" s="2" t="inlineStr">
        <is>
          <t>id: E-no2-morning-cov</t>
        </is>
      </c>
    </row>
    <row r="720">
      <c r="A720" s="5" t="inlineStr">
        <is>
          <t>CC-034</t>
        </is>
      </c>
      <c r="B720" s="2" t="inlineStr">
        <is>
          <t>CC-034:70</t>
        </is>
      </c>
      <c r="C720" s="2" t="inlineStr">
        <is>
          <t>Msida CO, Oct-Dec weekday 07:00-09:59: share of the hours that have a valid value, by year</t>
        </is>
      </c>
      <c r="D720" s="2" t="inlineStr">
        <is>
          <t>2013: 98%; 2014: 62%; 2015: 92%; 2016: 0%; 2017: 88%; 2018: 95%; 2019: 95%; 2020: 96%; 2021: 97%; 2022: 93%; 2023: 97%</t>
        </is>
      </c>
      <c r="E720" s="2" t="inlineStr">
        <is>
          <t>%</t>
        </is>
      </c>
      <c r="F720" s="2" t="inlineStr">
        <is>
          <t>EEA Air Quality download service (E1a validated; AirBase before 2013), retrieved 6 Oct 2026</t>
        </is>
      </c>
      <c r="G720" s="2" t="inlineStr"/>
      <c r="H720" s="2" t="inlineStr">
        <is>
          <t>id: E-co-morning-cov</t>
        </is>
      </c>
    </row>
    <row r="721">
      <c r="A721" s="5" t="inlineStr">
        <is>
          <t>CC-034</t>
        </is>
      </c>
      <c r="B721" s="2" t="inlineStr">
        <is>
          <t>CC-034:71</t>
        </is>
      </c>
      <c r="C721" s="2" t="inlineStr">
        <is>
          <t>Msida CO, Oct-Dec weekday 07:00-09:59, by year</t>
        </is>
      </c>
      <c r="D721" s="2" t="inlineStr">
        <is>
          <t>2013: 1.10; 2014: 1.13; 2015: 0.93; 2017: 0.64; 2018: 0.68; 2019: 0.63; 2020: 0.65; 2021: 0.59; 2022: 0.66; 2023: 0.50</t>
        </is>
      </c>
      <c r="E721" s="2" t="inlineStr">
        <is>
          <t>mg/m³</t>
        </is>
      </c>
      <c r="F721" s="2" t="inlineStr">
        <is>
          <t>EEA Air Quality download service (E1a validated; AirBase before 2013), retrieved 6 Oct 2026</t>
        </is>
      </c>
      <c r="G721" s="2" t="inlineStr"/>
      <c r="H721" s="2" t="inlineStr">
        <is>
          <t>id: E-co-yearly</t>
        </is>
      </c>
    </row>
    <row r="722">
      <c r="A722" s="5" t="inlineStr">
        <is>
          <t>CC-034</t>
        </is>
      </c>
      <c r="B722" s="2" t="inlineStr">
        <is>
          <t>CC-034:72</t>
        </is>
      </c>
      <c r="C722" s="2" t="inlineStr">
        <is>
          <t>Msida minus Attard NO2, Oct-Dec 2017 → Oct-Dec 2018 (monthly means)</t>
        </is>
      </c>
      <c r="D722" s="2" t="inlineStr">
        <is>
          <t>26.6 → 31.7</t>
        </is>
      </c>
      <c r="E722" s="2" t="inlineStr">
        <is>
          <t>µg/m³</t>
        </is>
      </c>
      <c r="F722" s="2" t="inlineStr">
        <is>
          <t>EEA Air Quality download service (E1a validated; AirBase before 2013), retrieved 6 Oct 2026</t>
        </is>
      </c>
      <c r="G722" s="2" t="inlineStr"/>
      <c r="H722" s="2" t="inlineStr">
        <is>
          <t>id: E-no2-inc-octdec</t>
        </is>
      </c>
    </row>
    <row r="723">
      <c r="A723" s="5" t="inlineStr">
        <is>
          <t>CC-034</t>
        </is>
      </c>
      <c r="B723" s="2" t="inlineStr">
        <is>
          <t>CC-034:73</t>
        </is>
      </c>
      <c r="C723" s="2" t="inlineStr">
        <is>
          <t>Hourly values per day on the days Malta's clocks changed (last Sunday of March and October), Msida NO2</t>
        </is>
      </c>
      <c r="D723" s="2" t="inlineStr">
        <is>
          <t>24 on all 22 days, 2013-2023</t>
        </is>
      </c>
      <c r="E723" s="2" t="inlineStr">
        <is>
          <t>values</t>
        </is>
      </c>
      <c r="F723" s="2" t="inlineStr">
        <is>
          <t>EEA Air Quality download service (E1a validated; AirBase before 2013), retrieved 6 Oct 2026</t>
        </is>
      </c>
      <c r="G723" s="2" t="inlineStr">
        <is>
          <t>26 Mar 2017: 24; 29 Oct 2017: 24; Start to End is one hour in every row. A local clock would give 23 and 25; this one has no daylight saving</t>
        </is>
      </c>
      <c r="H723" s="2" t="inlineStr">
        <is>
          <t>id: G-clock</t>
        </is>
      </c>
    </row>
    <row r="724">
      <c r="A724" s="5" t="inlineStr">
        <is>
          <t>CC-034</t>
        </is>
      </c>
      <c r="B724" s="2" t="inlineStr">
        <is>
          <t>CC-034:74</t>
        </is>
      </c>
      <c r="C724" s="2" t="inlineStr">
        <is>
          <t>Msida NO2, Oct-Dec (winter): hour (EEA Start) of the day's highest mean, by year</t>
        </is>
      </c>
      <c r="D724" s="2" t="inlineStr">
        <is>
          <t>2013: 07; 2014: 08; 2015: 07; 2016: 07; 2017: 07; 2018: 07; 2019: 07; 2020: 07; 2021: 07; 2022: 07; 2023: 07</t>
        </is>
      </c>
      <c r="E724" s="2" t="inlineStr">
        <is>
          <t>hour</t>
        </is>
      </c>
      <c r="F724" s="2" t="inlineStr">
        <is>
          <t>EEA Air Quality download service (E1a validated; AirBase before 2013), retrieved 6 Oct 2026</t>
        </is>
      </c>
      <c r="G724" s="2" t="inlineStr">
        <is>
          <t>all days; a year is skipped if no hour has 30 valid values (CO 2016)</t>
        </is>
      </c>
      <c r="H724" s="2" t="inlineStr">
        <is>
          <t>id: G-NO2-winter-peakhour</t>
        </is>
      </c>
    </row>
    <row r="725">
      <c r="A725" s="5" t="inlineStr">
        <is>
          <t>CC-034</t>
        </is>
      </c>
      <c r="B725" s="2" t="inlineStr">
        <is>
          <t>CC-034:75</t>
        </is>
      </c>
      <c r="C725" s="2" t="inlineStr">
        <is>
          <t>Msida NO2, Jun-Aug (summer): hour (EEA Start) of the day's highest mean, by year</t>
        </is>
      </c>
      <c r="D725" s="2" t="inlineStr">
        <is>
          <t>2013: 06; 2014: 06; 2015: 06; 2016: 06; 2017: 06; 2018: 06; 2019: 06; 2020: 06; 2021: 06; 2022: 06; 2023: 06</t>
        </is>
      </c>
      <c r="E725" s="2" t="inlineStr">
        <is>
          <t>hour</t>
        </is>
      </c>
      <c r="F725" s="2" t="inlineStr">
        <is>
          <t>EEA Air Quality download service (E1a validated; AirBase before 2013), retrieved 6 Oct 2026</t>
        </is>
      </c>
      <c r="G725" s="2" t="inlineStr">
        <is>
          <t>all days; a year is skipped if no hour has 30 valid values (CO 2016)</t>
        </is>
      </c>
      <c r="H725" s="2" t="inlineStr">
        <is>
          <t>id: G-NO2-summer-peakhour</t>
        </is>
      </c>
    </row>
    <row r="726">
      <c r="A726" s="5" t="inlineStr">
        <is>
          <t>CC-034</t>
        </is>
      </c>
      <c r="B726" s="2" t="inlineStr">
        <is>
          <t>CC-034:76</t>
        </is>
      </c>
      <c r="C726" s="2" t="inlineStr">
        <is>
          <t>Msida CO, Oct-Dec (winter): hour (EEA Start) of the day's highest mean, by year</t>
        </is>
      </c>
      <c r="D726" s="2" t="inlineStr">
        <is>
          <t>2013: 07; 2014: 07; 2015: 07; 2017: 06; 2018: 06; 2019: 07; 2020: 07; 2021: 07; 2022: 07; 2023: 07</t>
        </is>
      </c>
      <c r="E726" s="2" t="inlineStr">
        <is>
          <t>hour</t>
        </is>
      </c>
      <c r="F726" s="2" t="inlineStr">
        <is>
          <t>EEA Air Quality download service (E1a validated; AirBase before 2013), retrieved 6 Oct 2026</t>
        </is>
      </c>
      <c r="G726" s="2" t="inlineStr">
        <is>
          <t>all days; a year is skipped if no hour has 30 valid values (CO 2016)</t>
        </is>
      </c>
      <c r="H726" s="2" t="inlineStr">
        <is>
          <t>id: G-CO-winter-peakhour</t>
        </is>
      </c>
    </row>
    <row r="727">
      <c r="A727" s="5" t="inlineStr">
        <is>
          <t>CC-034</t>
        </is>
      </c>
      <c r="B727" s="2" t="inlineStr">
        <is>
          <t>CC-034:77</t>
        </is>
      </c>
      <c r="C727" s="2" t="inlineStr">
        <is>
          <t>Msida CO, Jun-Aug (summer): hour (EEA Start) of the day's highest mean, by year</t>
        </is>
      </c>
      <c r="D727" s="2" t="inlineStr">
        <is>
          <t>2013: 06; 2014: 06; 2015: 06; 2016: 06; 2017: 06; 2018: 06; 2019: 05; 2020: 06; 2021: 06; 2022: 06; 2023: 06</t>
        </is>
      </c>
      <c r="E727" s="2" t="inlineStr">
        <is>
          <t>hour</t>
        </is>
      </c>
      <c r="F727" s="2" t="inlineStr">
        <is>
          <t>EEA Air Quality download service (E1a validated; AirBase before 2013), retrieved 6 Oct 2026</t>
        </is>
      </c>
      <c r="G727" s="2" t="inlineStr">
        <is>
          <t>all days; a year is skipped if no hour has 30 valid values (CO 2016)</t>
        </is>
      </c>
      <c r="H727" s="2" t="inlineStr">
        <is>
          <t>id: G-CO-summer-peakhour</t>
        </is>
      </c>
    </row>
    <row r="728">
      <c r="A728" s="5" t="inlineStr">
        <is>
          <t>CC-034</t>
        </is>
      </c>
      <c r="B728" s="2" t="inlineStr">
        <is>
          <t>CC-034:78</t>
        </is>
      </c>
      <c r="C728" s="2" t="inlineStr">
        <is>
          <t>Plan Figure 26 (digitised), winter NO2 peak: 2014-17 → 2018-19</t>
        </is>
      </c>
      <c r="D728" s="2" t="inlineStr">
        <is>
          <t>69.6 (label 07) → 61.3 (label 08)</t>
        </is>
      </c>
      <c r="E728" s="2" t="inlineStr">
        <is>
          <t>µg/m³</t>
        </is>
      </c>
      <c r="F728" s="2" t="inlineStr">
        <is>
          <t>ERA, Air Quality Plan for Malta (2025), Figure 26, p. 60; digitised at 300 dpi</t>
        </is>
      </c>
      <c r="G728" s="2" t="inlineStr">
        <is>
          <t>peak to peak -8.3; reading error about ±1 at a peak; the plan says 'around 10'; the 2018-19 peak sits one label later than the 2014-17 peak</t>
        </is>
      </c>
      <c r="H728" s="2" t="inlineStr">
        <is>
          <t>id: G-plan-winter-peaks</t>
        </is>
      </c>
    </row>
    <row r="729">
      <c r="A729" s="5" t="inlineStr">
        <is>
          <t>CC-034</t>
        </is>
      </c>
      <c r="B729" s="2" t="inlineStr">
        <is>
          <t>CC-034:79</t>
        </is>
      </c>
      <c r="C729" s="2" t="inlineStr">
        <is>
          <t>Msida NO2, Oct-Dec, peak of the mean daily profile: 2014-17 → 2018-19, all days / weekdays only</t>
        </is>
      </c>
      <c r="D729" s="2" t="inlineStr">
        <is>
          <t>all days 62.3 → 61.3; weekdays 68.0 → 68.7</t>
        </is>
      </c>
      <c r="E729" s="2" t="inlineStr">
        <is>
          <t>µg/m³</t>
        </is>
      </c>
      <c r="F729" s="2" t="inlineStr">
        <is>
          <t>EEA Air Quality download service (E1a validated; AirBase before 2013), retrieved 6 Oct 2026</t>
        </is>
      </c>
      <c r="G729" s="2" t="inlineStr">
        <is>
          <t>peak to peak -1.0 (all days), +0.7 (weekdays); both periods peak at Start 07; the same under any shift applied to both periods</t>
        </is>
      </c>
      <c r="H729" s="2" t="inlineStr">
        <is>
          <t>id: G-eea-winter-peaks</t>
        </is>
      </c>
    </row>
    <row r="730">
      <c r="A730" s="5" t="inlineStr">
        <is>
          <t>CC-034</t>
        </is>
      </c>
      <c r="B730" s="2" t="inlineStr">
        <is>
          <t>CC-034:80</t>
        </is>
      </c>
      <c r="C730" s="2" t="inlineStr">
        <is>
          <t>Msida NO2, Oct-Dec: 2014-17 at Start 07 against 2018-19 labelled one hour later (label 07 = Start 06)</t>
        </is>
      </c>
      <c r="D730" s="2" t="inlineStr">
        <is>
          <t>62.3 → 54.8</t>
        </is>
      </c>
      <c r="E730" s="2" t="inlineStr">
        <is>
          <t>µg/m³</t>
        </is>
      </c>
      <c r="F730" s="2" t="inlineStr">
        <is>
          <t>EEA Air Quality download service (E1a validated; AirBase before 2013), retrieved 6 Oct 2026</t>
        </is>
      </c>
      <c r="G730" s="2" t="inlineStr">
        <is>
          <t>-7.5: a one-hour offset between the periods alone gives a 'fall' of this size at label 07, close to the plan's peak to peak</t>
        </is>
      </c>
      <c r="H730" s="2" t="inlineStr">
        <is>
          <t>id: G-offset</t>
        </is>
      </c>
    </row>
    <row r="731">
      <c r="A731" s="5" t="inlineStr">
        <is>
          <t>CC-034</t>
        </is>
      </c>
      <c r="B731" s="2" t="inlineStr">
        <is>
          <t>CC-034:81</t>
        </is>
      </c>
      <c r="C731" s="2" t="inlineStr">
        <is>
          <t>Msida NO2, Oct-Dec, 2014-17: RMSE of the EEA profile against the plan's curve</t>
        </is>
      </c>
      <c r="D731" s="2" t="inlineStr">
        <is>
          <t>label = Start: 5.8 (all); label = Start + 1: 5.0 (all)</t>
        </is>
      </c>
      <c r="E731" s="2" t="inlineStr">
        <is>
          <t>µg/m³</t>
        </is>
      </c>
      <c r="F731" s="2" t="inlineStr">
        <is>
          <t>EEA Air Quality download service (E1a validated; AirBase before 2013), retrieved 6 Oct 2026; plan Figure 26</t>
        </is>
      </c>
      <c r="G731" s="2" t="inlineStr">
        <is>
          <t>best day-type in brackets; Start + 1 means hour-ending labels</t>
        </is>
      </c>
      <c r="H731" s="2" t="inlineStr">
        <is>
          <t>id: G-fit-winter_2014-17</t>
        </is>
      </c>
    </row>
    <row r="732">
      <c r="A732" s="5" t="inlineStr">
        <is>
          <t>CC-034</t>
        </is>
      </c>
      <c r="B732" s="2" t="inlineStr">
        <is>
          <t>CC-034:82</t>
        </is>
      </c>
      <c r="C732" s="2" t="inlineStr">
        <is>
          <t>Msida NO2, Oct-Dec, 2018-19: RMSE of the EEA profile against the plan's curve</t>
        </is>
      </c>
      <c r="D732" s="2" t="inlineStr">
        <is>
          <t>label = Start: 7.0 (all); label = Start + 1: 0.2 (all)</t>
        </is>
      </c>
      <c r="E732" s="2" t="inlineStr">
        <is>
          <t>µg/m³</t>
        </is>
      </c>
      <c r="F732" s="2" t="inlineStr">
        <is>
          <t>EEA Air Quality download service (E1a validated; AirBase before 2013), retrieved 6 Oct 2026; plan Figure 26</t>
        </is>
      </c>
      <c r="G732" s="2" t="inlineStr">
        <is>
          <t>best day-type in brackets; Start + 1 means hour-ending labels</t>
        </is>
      </c>
      <c r="H732" s="2" t="inlineStr">
        <is>
          <t>id: G-fit-winter_2018-19</t>
        </is>
      </c>
    </row>
    <row r="733">
      <c r="A733" s="5" t="inlineStr">
        <is>
          <t>CC-034</t>
        </is>
      </c>
      <c r="B733" s="2" t="inlineStr">
        <is>
          <t>CC-034:83</t>
        </is>
      </c>
      <c r="C733" s="2" t="inlineStr">
        <is>
          <t>Msida NO2, Jun-Aug, 2014-17: RMSE of the EEA profile against the plan's curve</t>
        </is>
      </c>
      <c r="D733" s="2" t="inlineStr">
        <is>
          <t>label = Start: 5.0 (all); label = Start + 1: 2.7 (all)</t>
        </is>
      </c>
      <c r="E733" s="2" t="inlineStr">
        <is>
          <t>µg/m³</t>
        </is>
      </c>
      <c r="F733" s="2" t="inlineStr">
        <is>
          <t>EEA Air Quality download service (E1a validated; AirBase before 2013), retrieved 6 Oct 2026; plan Figure 26</t>
        </is>
      </c>
      <c r="G733" s="2" t="inlineStr">
        <is>
          <t>best day-type in brackets; Start + 1 means hour-ending labels</t>
        </is>
      </c>
      <c r="H733" s="2" t="inlineStr">
        <is>
          <t>id: G-fit-summer_2014-17</t>
        </is>
      </c>
    </row>
    <row r="734">
      <c r="A734" s="5" t="inlineStr">
        <is>
          <t>CC-034</t>
        </is>
      </c>
      <c r="B734" s="2" t="inlineStr">
        <is>
          <t>CC-034:84</t>
        </is>
      </c>
      <c r="C734" s="2" t="inlineStr">
        <is>
          <t>Msida NO2, Jun-Aug, 2018-19: RMSE of the EEA profile against the plan's curve</t>
        </is>
      </c>
      <c r="D734" s="2" t="inlineStr">
        <is>
          <t>label = Start: 5.3 (all); label = Start + 1: 0.2 (all)</t>
        </is>
      </c>
      <c r="E734" s="2" t="inlineStr">
        <is>
          <t>µg/m³</t>
        </is>
      </c>
      <c r="F734" s="2" t="inlineStr">
        <is>
          <t>EEA Air Quality download service (E1a validated; AirBase before 2013), retrieved 6 Oct 2026; plan Figure 26</t>
        </is>
      </c>
      <c r="G734" s="2" t="inlineStr">
        <is>
          <t>best day-type in brackets; Start + 1 means hour-ending labels</t>
        </is>
      </c>
      <c r="H734" s="2" t="inlineStr">
        <is>
          <t>id: G-fit-summer_2018-19</t>
        </is>
      </c>
    </row>
    <row r="735">
      <c r="A735" s="5" t="inlineStr">
        <is>
          <t>CC-034</t>
        </is>
      </c>
      <c r="B735" s="2" t="inlineStr">
        <is>
          <t>CC-034:85</t>
        </is>
      </c>
      <c r="C735" s="2" t="inlineStr">
        <is>
          <t>Plan's winter 2014-17 NO2 curve: best RMSE over any subset of the years 2013-2019, either day-type, either labelling</t>
        </is>
      </c>
      <c r="D735" s="2" t="inlineStr">
        <is>
          <t>3.9</t>
        </is>
      </c>
      <c r="E735" s="2" t="inlineStr">
        <is>
          <t>µg/m³</t>
        </is>
      </c>
      <c r="F735" s="2" t="inlineStr">
        <is>
          <t>EEA Air Quality download service (E1a validated; AirBase before 2013), retrieved 6 Oct 2026</t>
        </is>
      </c>
      <c r="G735" s="2" t="inlineStr">
        <is>
          <t>best subset (2017, 2018), all, shift 1; the best-fitting subsets are not the years 2014-17</t>
        </is>
      </c>
      <c r="H735" s="2" t="inlineStr">
        <is>
          <t>id: G-fit-subset</t>
        </is>
      </c>
    </row>
    <row r="736">
      <c r="A736" s="5" t="inlineStr">
        <is>
          <t>CC-034</t>
        </is>
      </c>
      <c r="B736" s="2" t="inlineStr">
        <is>
          <t>CC-034:86</t>
        </is>
      </c>
      <c r="C736" s="2" t="inlineStr">
        <is>
          <t>Reading of G-fit and G-eea-winter-peaks</t>
        </is>
      </c>
      <c r="D736" s="2" t="inlineStr">
        <is>
          <t>2018-19 reproduces with hour-ending labels; 2014-17 does not reproduce under either labelling</t>
        </is>
      </c>
      <c r="E736" s="2" t="inlineStr"/>
      <c r="F736" s="2" t="inlineStr">
        <is>
          <t>EEA Air Quality download service (E1a validated; AirBase before 2013), retrieved 6 Oct 2026; plan Figure 26</t>
        </is>
      </c>
      <c r="G736" s="2" t="inlineStr">
        <is>
          <t>so the plan's gap lies in its 2014-17 baseline; like for like the winter peak does not fall (all days -1.0; weekdays +0.7)</t>
        </is>
      </c>
      <c r="H736" s="2" t="inlineStr">
        <is>
          <t>id: G-conclusion</t>
        </is>
      </c>
    </row>
    <row r="737">
      <c r="A737" s="5" t="inlineStr">
        <is>
          <t>CC-034</t>
        </is>
      </c>
      <c r="B737" s="2" t="inlineStr">
        <is>
          <t>CC-034:87</t>
        </is>
      </c>
      <c r="C737" s="2" t="inlineStr">
        <is>
          <t>PM10 at MT00005, Oct 2021-Sep 2022 → Oct 2022-Sep 2023</t>
        </is>
      </c>
      <c r="D737" s="2" t="inlineStr">
        <is>
          <t>36.3 → 44.4</t>
        </is>
      </c>
      <c r="E737" s="2" t="inlineStr">
        <is>
          <t>µg/m³</t>
        </is>
      </c>
      <c r="F737" s="2" t="inlineStr">
        <is>
          <t>EEA Air Quality download service (E1a validated; AirBase before 2013), retrieved 6 Oct 2026</t>
        </is>
      </c>
      <c r="G737" s="2" t="inlineStr">
        <is>
          <t>change +8.1; days 365, 359</t>
        </is>
      </c>
      <c r="H737" s="2" t="inlineStr">
        <is>
          <t>id: F-PM10-MT00005</t>
        </is>
      </c>
    </row>
    <row r="738">
      <c r="A738" s="5" t="inlineStr">
        <is>
          <t>CC-034</t>
        </is>
      </c>
      <c r="B738" s="2" t="inlineStr">
        <is>
          <t>CC-034:88</t>
        </is>
      </c>
      <c r="C738" s="2" t="inlineStr">
        <is>
          <t>PM10 at MT00004, Oct 2021-Sep 2022 → Oct 2022-Sep 2023</t>
        </is>
      </c>
      <c r="D738" s="2" t="inlineStr">
        <is>
          <t>27.0 → 28.5</t>
        </is>
      </c>
      <c r="E738" s="2" t="inlineStr">
        <is>
          <t>µg/m³</t>
        </is>
      </c>
      <c r="F738" s="2" t="inlineStr">
        <is>
          <t>EEA Air Quality download service (E1a validated; AirBase before 2013), retrieved 6 Oct 2026</t>
        </is>
      </c>
      <c r="G738" s="2" t="inlineStr">
        <is>
          <t>change +1.5; days 364, 364</t>
        </is>
      </c>
      <c r="H738" s="2" t="inlineStr">
        <is>
          <t>id: F-PM10-MT00004</t>
        </is>
      </c>
    </row>
    <row r="739">
      <c r="A739" s="5" t="inlineStr">
        <is>
          <t>CC-034</t>
        </is>
      </c>
      <c r="B739" s="2" t="inlineStr">
        <is>
          <t>CC-034:89</t>
        </is>
      </c>
      <c r="C739" s="2" t="inlineStr">
        <is>
          <t>PM10 at MT00008, Oct 2021-Sep 2022 → Oct 2022-Sep 2023</t>
        </is>
      </c>
      <c r="D739" s="2" t="inlineStr">
        <is>
          <t>n/a</t>
        </is>
      </c>
      <c r="E739" s="2" t="inlineStr"/>
      <c r="F739" s="2" t="inlineStr">
        <is>
          <t>EEA Air Quality download service (E1a validated; AirBase before 2013), retrieved 6 Oct 2026</t>
        </is>
      </c>
      <c r="G739" s="2" t="inlineStr">
        <is>
          <t>too few days (0, 0)</t>
        </is>
      </c>
      <c r="H739" s="2" t="inlineStr">
        <is>
          <t>id: F-PM10-MT00008</t>
        </is>
      </c>
    </row>
    <row r="740">
      <c r="A740" s="5" t="inlineStr">
        <is>
          <t>CC-034</t>
        </is>
      </c>
      <c r="B740" s="2" t="inlineStr">
        <is>
          <t>CC-034:90</t>
        </is>
      </c>
      <c r="C740" s="2" t="inlineStr">
        <is>
          <t>PM10 at MT00007, Oct 2021-Sep 2022 → Oct 2022-Sep 2023</t>
        </is>
      </c>
      <c r="D740" s="2" t="inlineStr">
        <is>
          <t>18.4 → 18.3</t>
        </is>
      </c>
      <c r="E740" s="2" t="inlineStr">
        <is>
          <t>µg/m³</t>
        </is>
      </c>
      <c r="F740" s="2" t="inlineStr">
        <is>
          <t>EEA Air Quality download service (E1a validated; AirBase before 2013), retrieved 6 Oct 2026</t>
        </is>
      </c>
      <c r="G740" s="2" t="inlineStr">
        <is>
          <t>change -0.1; days 334, 331</t>
        </is>
      </c>
      <c r="H740" s="2" t="inlineStr">
        <is>
          <t>id: F-PM10-MT00007</t>
        </is>
      </c>
    </row>
    <row r="741">
      <c r="A741" s="5" t="inlineStr">
        <is>
          <t>CC-034</t>
        </is>
      </c>
      <c r="B741" s="2" t="inlineStr">
        <is>
          <t>CC-034:91</t>
        </is>
      </c>
      <c r="C741" s="2" t="inlineStr">
        <is>
          <t>PM10 at MT00009, Oct 2021-Sep 2022 → Oct 2022-Sep 2023</t>
        </is>
      </c>
      <c r="D741" s="2" t="inlineStr">
        <is>
          <t>n/a</t>
        </is>
      </c>
      <c r="E741" s="2" t="inlineStr"/>
      <c r="F741" s="2" t="inlineStr">
        <is>
          <t>EEA Air Quality download service (E1a validated; AirBase before 2013), retrieved 6 Oct 2026</t>
        </is>
      </c>
      <c r="G741" s="2" t="inlineStr">
        <is>
          <t>too few days (272, 364)</t>
        </is>
      </c>
      <c r="H741" s="2" t="inlineStr">
        <is>
          <t>id: F-PM10-MT00009</t>
        </is>
      </c>
    </row>
    <row r="742">
      <c r="A742" s="5" t="inlineStr">
        <is>
          <t>CC-034</t>
        </is>
      </c>
      <c r="B742" s="2" t="inlineStr">
        <is>
          <t>CC-034:92</t>
        </is>
      </c>
      <c r="C742" s="2" t="inlineStr">
        <is>
          <t>PM2.5 at MT00005, Oct 2021-Sep 2022 → Oct 2022-Sep 2023</t>
        </is>
      </c>
      <c r="D742" s="2" t="inlineStr">
        <is>
          <t>11.4 → 13.9</t>
        </is>
      </c>
      <c r="E742" s="2" t="inlineStr">
        <is>
          <t>µg/m³</t>
        </is>
      </c>
      <c r="F742" s="2" t="inlineStr">
        <is>
          <t>EEA Air Quality download service (E1a validated; AirBase before 2013), retrieved 6 Oct 2026</t>
        </is>
      </c>
      <c r="G742" s="2" t="inlineStr">
        <is>
          <t>change +2.6; days 364, 355</t>
        </is>
      </c>
      <c r="H742" s="2" t="inlineStr">
        <is>
          <t>id: F-PM2.5-MT00005</t>
        </is>
      </c>
    </row>
    <row r="743">
      <c r="A743" s="5" t="inlineStr">
        <is>
          <t>CC-034</t>
        </is>
      </c>
      <c r="B743" s="2" t="inlineStr">
        <is>
          <t>CC-034:93</t>
        </is>
      </c>
      <c r="C743" s="2" t="inlineStr">
        <is>
          <t>PM2.5 at MT00004, Oct 2021-Sep 2022 → Oct 2022-Sep 2023</t>
        </is>
      </c>
      <c r="D743" s="2" t="inlineStr">
        <is>
          <t>9.9 → 10.9</t>
        </is>
      </c>
      <c r="E743" s="2" t="inlineStr">
        <is>
          <t>µg/m³</t>
        </is>
      </c>
      <c r="F743" s="2" t="inlineStr">
        <is>
          <t>EEA Air Quality download service (E1a validated; AirBase before 2013), retrieved 6 Oct 2026</t>
        </is>
      </c>
      <c r="G743" s="2" t="inlineStr">
        <is>
          <t>change +1.1; days 364, 362</t>
        </is>
      </c>
      <c r="H743" s="2" t="inlineStr">
        <is>
          <t>id: F-PM2.5-MT00004</t>
        </is>
      </c>
    </row>
    <row r="744">
      <c r="A744" s="5" t="inlineStr">
        <is>
          <t>CC-034</t>
        </is>
      </c>
      <c r="B744" s="2" t="inlineStr">
        <is>
          <t>CC-034:94</t>
        </is>
      </c>
      <c r="C744" s="2" t="inlineStr">
        <is>
          <t>PM2.5 at MT00008, Oct 2021-Sep 2022 → Oct 2022-Sep 2023</t>
        </is>
      </c>
      <c r="D744" s="2" t="inlineStr">
        <is>
          <t>10.6 → 11.5</t>
        </is>
      </c>
      <c r="E744" s="2" t="inlineStr">
        <is>
          <t>µg/m³</t>
        </is>
      </c>
      <c r="F744" s="2" t="inlineStr">
        <is>
          <t>EEA Air Quality download service (E1a validated; AirBase before 2013), retrieved 6 Oct 2026</t>
        </is>
      </c>
      <c r="G744" s="2" t="inlineStr">
        <is>
          <t>change +0.9; days 365, 365</t>
        </is>
      </c>
      <c r="H744" s="2" t="inlineStr">
        <is>
          <t>id: F-PM2.5-MT00008</t>
        </is>
      </c>
    </row>
    <row r="745">
      <c r="A745" s="5" t="inlineStr">
        <is>
          <t>CC-034</t>
        </is>
      </c>
      <c r="B745" s="2" t="inlineStr">
        <is>
          <t>CC-034:95</t>
        </is>
      </c>
      <c r="C745" s="2" t="inlineStr">
        <is>
          <t>PM2.5 at MT00007, Oct 2021-Sep 2022 → Oct 2022-Sep 2023</t>
        </is>
      </c>
      <c r="D745" s="2" t="inlineStr">
        <is>
          <t>8.4 → 9.2</t>
        </is>
      </c>
      <c r="E745" s="2" t="inlineStr">
        <is>
          <t>µg/m³</t>
        </is>
      </c>
      <c r="F745" s="2" t="inlineStr">
        <is>
          <t>EEA Air Quality download service (E1a validated; AirBase before 2013), retrieved 6 Oct 2026</t>
        </is>
      </c>
      <c r="G745" s="2" t="inlineStr">
        <is>
          <t>change +0.8; days 343, 327</t>
        </is>
      </c>
      <c r="H745" s="2" t="inlineStr">
        <is>
          <t>id: F-PM2.5-MT00007</t>
        </is>
      </c>
    </row>
    <row r="746">
      <c r="A746" s="5" t="inlineStr">
        <is>
          <t>CC-034</t>
        </is>
      </c>
      <c r="B746" s="2" t="inlineStr">
        <is>
          <t>CC-034:96</t>
        </is>
      </c>
      <c r="C746" s="2" t="inlineStr">
        <is>
          <t>PM2.5 at MT00009, Oct 2021-Sep 2022 → Oct 2022-Sep 2023</t>
        </is>
      </c>
      <c r="D746" s="2" t="inlineStr">
        <is>
          <t>n/a</t>
        </is>
      </c>
      <c r="E746" s="2" t="inlineStr"/>
      <c r="F746" s="2" t="inlineStr">
        <is>
          <t>EEA Air Quality download service (E1a validated; AirBase before 2013), retrieved 6 Oct 2026</t>
        </is>
      </c>
      <c r="G746" s="2" t="inlineStr">
        <is>
          <t>too few days (270, 364)</t>
        </is>
      </c>
      <c r="H746" s="2" t="inlineStr">
        <is>
          <t>id: F-PM2.5-MT00009</t>
        </is>
      </c>
    </row>
    <row r="747">
      <c r="A747" s="5" t="inlineStr">
        <is>
          <t>CC-034</t>
        </is>
      </c>
      <c r="B747" s="2" t="inlineStr">
        <is>
          <t>CC-034:97</t>
        </is>
      </c>
      <c r="C747" s="2" t="inlineStr">
        <is>
          <t>NO2 at MT00005, Oct 2021-Sep 2022 → Oct 2022-Sep 2023</t>
        </is>
      </c>
      <c r="D747" s="2" t="inlineStr">
        <is>
          <t>29.2 → 29.5</t>
        </is>
      </c>
      <c r="E747" s="2" t="inlineStr">
        <is>
          <t>µg/m³</t>
        </is>
      </c>
      <c r="F747" s="2" t="inlineStr">
        <is>
          <t>EEA Air Quality download service (E1a validated; AirBase before 2013), retrieved 6 Oct 2026</t>
        </is>
      </c>
      <c r="G747" s="2" t="inlineStr">
        <is>
          <t>change +0.3; days 364, 355</t>
        </is>
      </c>
      <c r="H747" s="2" t="inlineStr">
        <is>
          <t>id: F-NO2-MT00005</t>
        </is>
      </c>
    </row>
    <row r="748">
      <c r="A748" s="5" t="inlineStr">
        <is>
          <t>CC-034</t>
        </is>
      </c>
      <c r="B748" s="2" t="inlineStr">
        <is>
          <t>CC-034:98</t>
        </is>
      </c>
      <c r="C748" s="2" t="inlineStr">
        <is>
          <t>NO2 at MT00004, Oct 2021-Sep 2022 → Oct 2022-Sep 2023</t>
        </is>
      </c>
      <c r="D748" s="2" t="inlineStr">
        <is>
          <t>13.6 → 14.8</t>
        </is>
      </c>
      <c r="E748" s="2" t="inlineStr">
        <is>
          <t>µg/m³</t>
        </is>
      </c>
      <c r="F748" s="2" t="inlineStr">
        <is>
          <t>EEA Air Quality download service (E1a validated; AirBase before 2013), retrieved 6 Oct 2026</t>
        </is>
      </c>
      <c r="G748" s="2" t="inlineStr">
        <is>
          <t>change +1.2; days 365, 359</t>
        </is>
      </c>
      <c r="H748" s="2" t="inlineStr">
        <is>
          <t>id: F-NO2-MT00004</t>
        </is>
      </c>
    </row>
    <row r="749">
      <c r="A749" s="5" t="inlineStr">
        <is>
          <t>CC-034</t>
        </is>
      </c>
      <c r="B749" s="2" t="inlineStr">
        <is>
          <t>CC-034:99</t>
        </is>
      </c>
      <c r="C749" s="2" t="inlineStr">
        <is>
          <t>NO2 at MT00008, Oct 2021-Sep 2022 → Oct 2022-Sep 2023</t>
        </is>
      </c>
      <c r="D749" s="2" t="inlineStr">
        <is>
          <t>11.4 → 12.1</t>
        </is>
      </c>
      <c r="E749" s="2" t="inlineStr">
        <is>
          <t>µg/m³</t>
        </is>
      </c>
      <c r="F749" s="2" t="inlineStr">
        <is>
          <t>EEA Air Quality download service (E1a validated; AirBase before 2013), retrieved 6 Oct 2026</t>
        </is>
      </c>
      <c r="G749" s="2" t="inlineStr">
        <is>
          <t>change +0.8; days 355, 352</t>
        </is>
      </c>
      <c r="H749" s="2" t="inlineStr">
        <is>
          <t>id: F-NO2-MT00008</t>
        </is>
      </c>
    </row>
    <row r="750">
      <c r="A750" s="5" t="inlineStr">
        <is>
          <t>CC-034</t>
        </is>
      </c>
      <c r="B750" s="2" t="inlineStr">
        <is>
          <t>CC-034:100</t>
        </is>
      </c>
      <c r="C750" s="2" t="inlineStr">
        <is>
          <t>NO2 at MT00007, Oct 2021-Sep 2022 → Oct 2022-Sep 2023</t>
        </is>
      </c>
      <c r="D750" s="2" t="inlineStr">
        <is>
          <t>2.5 → 2.7</t>
        </is>
      </c>
      <c r="E750" s="2" t="inlineStr">
        <is>
          <t>µg/m³</t>
        </is>
      </c>
      <c r="F750" s="2" t="inlineStr">
        <is>
          <t>EEA Air Quality download service (E1a validated; AirBase before 2013), retrieved 6 Oct 2026</t>
        </is>
      </c>
      <c r="G750" s="2" t="inlineStr">
        <is>
          <t>change +0.2; days 329, 325</t>
        </is>
      </c>
      <c r="H750" s="2" t="inlineStr">
        <is>
          <t>id: F-NO2-MT00007</t>
        </is>
      </c>
    </row>
    <row r="751">
      <c r="A751" s="5" t="inlineStr">
        <is>
          <t>CC-034</t>
        </is>
      </c>
      <c r="B751" s="2" t="inlineStr">
        <is>
          <t>CC-034:101</t>
        </is>
      </c>
      <c r="C751" s="2" t="inlineStr">
        <is>
          <t>NO2 at MT00009, Oct 2021-Sep 2022 → Oct 2022-Sep 2023</t>
        </is>
      </c>
      <c r="D751" s="2" t="inlineStr">
        <is>
          <t>n/a</t>
        </is>
      </c>
      <c r="E751" s="2" t="inlineStr"/>
      <c r="F751" s="2" t="inlineStr">
        <is>
          <t>EEA Air Quality download service (E1a validated; AirBase before 2013), retrieved 6 Oct 2026</t>
        </is>
      </c>
      <c r="G751" s="2" t="inlineStr">
        <is>
          <t>too few days (206, 356)</t>
        </is>
      </c>
      <c r="H751" s="2" t="inlineStr">
        <is>
          <t>id: F-NO2-MT00009</t>
        </is>
      </c>
    </row>
    <row r="752">
      <c r="A752" s="5" t="inlineStr">
        <is>
          <t>CC-034</t>
        </is>
      </c>
      <c r="B752" s="2" t="inlineStr">
        <is>
          <t>CC-034:102</t>
        </is>
      </c>
      <c r="C752" s="2" t="inlineStr">
        <is>
          <t>Station-pollutant pairs lower in the 12 months after free public transport began</t>
        </is>
      </c>
      <c r="D752" s="2" t="inlineStr">
        <is>
          <t>1 of 11</t>
        </is>
      </c>
      <c r="E752" s="2" t="inlineStr"/>
      <c r="F752" s="2" t="inlineStr">
        <is>
          <t>EEA Air Quality download service (E1a validated; AirBase before 2013), retrieved 6 Oct 2026</t>
        </is>
      </c>
      <c r="G752" s="2" t="inlineStr">
        <is>
          <t>stations with at least 300 valid days in both windows</t>
        </is>
      </c>
      <c r="H752" s="2" t="inlineStr">
        <is>
          <t>id: F-improved</t>
        </is>
      </c>
    </row>
    <row r="753">
      <c r="A753" s="5" t="inlineStr">
        <is>
          <t>CC-034</t>
        </is>
      </c>
      <c r="B753" s="2" t="inlineStr">
        <is>
          <t>CC-034:103</t>
        </is>
      </c>
      <c r="C753" s="2" t="inlineStr">
        <is>
          <t>PM10 days above 50 at MT00005, Oct 2021-Sep 2022 → Oct 2022-Sep 2023</t>
        </is>
      </c>
      <c r="D753" s="2" t="inlineStr">
        <is>
          <t>48 → 90</t>
        </is>
      </c>
      <c r="E753" s="2" t="inlineStr">
        <is>
          <t>days</t>
        </is>
      </c>
      <c r="F753" s="2" t="inlineStr">
        <is>
          <t>EEA Air Quality download service (E1a validated; AirBase before 2013), retrieved 6 Oct 2026</t>
        </is>
      </c>
      <c r="G753" s="2" t="inlineStr"/>
      <c r="H753" s="2" t="inlineStr">
        <is>
          <t>id: F-days-MT00005</t>
        </is>
      </c>
    </row>
    <row r="754">
      <c r="A754" s="5" t="inlineStr">
        <is>
          <t>CC-034</t>
        </is>
      </c>
      <c r="B754" s="2" t="inlineStr">
        <is>
          <t>CC-034:104</t>
        </is>
      </c>
      <c r="C754" s="2" t="inlineStr">
        <is>
          <t>PM10 days above 50 at MT00007, Oct 2021-Sep 2022 → Oct 2022-Sep 2023</t>
        </is>
      </c>
      <c r="D754" s="2" t="inlineStr">
        <is>
          <t>8 → 7</t>
        </is>
      </c>
      <c r="E754" s="2" t="inlineStr">
        <is>
          <t>days</t>
        </is>
      </c>
      <c r="F754" s="2" t="inlineStr">
        <is>
          <t>EEA Air Quality download service (E1a validated; AirBase before 2013), retrieved 6 Oct 2026</t>
        </is>
      </c>
      <c r="G754" s="2" t="inlineStr"/>
      <c r="H754" s="2" t="inlineStr">
        <is>
          <t>id: F-days-MT00007</t>
        </is>
      </c>
    </row>
    <row r="755">
      <c r="A755" s="5" t="inlineStr">
        <is>
          <t>CC-035</t>
        </is>
      </c>
      <c r="B755" s="2" t="inlineStr">
        <is>
          <t>CC-035:2</t>
        </is>
      </c>
      <c r="C755" s="2" t="inlineStr">
        <is>
          <t>EEA table: Malta rate 2005 (AD per 100k aged 30+)</t>
        </is>
      </c>
      <c r="D755" s="2" t="inlineStr">
        <is>
          <t>143.5</t>
        </is>
      </c>
      <c r="E755" s="2" t="inlineStr">
        <is>
          <t>per 100k</t>
        </is>
      </c>
      <c r="F755" s="2" t="inlineStr">
        <is>
          <t>EEA burden-of-disease table (Countries &amp; NUTS), retrieved 6 Oct 2026</t>
        </is>
      </c>
      <c r="G755" s="2" t="inlineStr">
        <is>
          <t>statement: 143.5</t>
        </is>
      </c>
      <c r="H755" s="2" t="inlineStr"/>
    </row>
    <row r="756">
      <c r="A756" s="5" t="inlineStr">
        <is>
          <t>CC-035</t>
        </is>
      </c>
      <c r="B756" s="2" t="inlineStr">
        <is>
          <t>CC-035:3</t>
        </is>
      </c>
      <c r="C756" s="2" t="inlineStr">
        <is>
          <t>EEA table: Malta rate 2023</t>
        </is>
      </c>
      <c r="D756" s="2" t="inlineStr">
        <is>
          <t>46.3</t>
        </is>
      </c>
      <c r="E756" s="2" t="inlineStr">
        <is>
          <t>per 100k</t>
        </is>
      </c>
      <c r="F756" s="2" t="inlineStr">
        <is>
          <t>EEA burden-of-disease table (Countries &amp; NUTS), retrieved 6 Oct 2026</t>
        </is>
      </c>
      <c r="G756" s="2" t="inlineStr">
        <is>
          <t>statement: 46.3</t>
        </is>
      </c>
      <c r="H756" s="2" t="inlineStr"/>
    </row>
    <row r="757">
      <c r="A757" s="5" t="inlineStr">
        <is>
          <t>CC-035</t>
        </is>
      </c>
      <c r="B757" s="2" t="inlineStr">
        <is>
          <t>CC-035:4</t>
        </is>
      </c>
      <c r="C757" s="2" t="inlineStr">
        <is>
          <t>Fall in the rate, 2005-2023</t>
        </is>
      </c>
      <c r="D757" s="2" t="inlineStr">
        <is>
          <t>67.74</t>
        </is>
      </c>
      <c r="E757" s="2" t="inlineStr">
        <is>
          <t>%</t>
        </is>
      </c>
      <c r="F757" s="2" t="inlineStr">
        <is>
          <t>calculated</t>
        </is>
      </c>
      <c r="G757" s="2" t="inlineStr">
        <is>
          <t>statement: 67.7%</t>
        </is>
      </c>
      <c r="H757" s="2" t="inlineStr"/>
    </row>
    <row r="758">
      <c r="A758" s="5" t="inlineStr">
        <is>
          <t>CC-035</t>
        </is>
      </c>
      <c r="B758" s="2" t="inlineStr">
        <is>
          <t>CC-035:5</t>
        </is>
      </c>
      <c r="C758" s="2" t="inlineStr">
        <is>
          <t>EEA table: Malta attributable deaths 2023 (95% CI)</t>
        </is>
      </c>
      <c r="D758" s="2" t="inlineStr">
        <is>
          <t>172 (131-192)</t>
        </is>
      </c>
      <c r="E758" s="2" t="inlineStr">
        <is>
          <t>deaths</t>
        </is>
      </c>
      <c r="F758" s="2" t="inlineStr">
        <is>
          <t>EEA burden-of-disease table (Countries &amp; NUTS), retrieved 6 Oct 2026</t>
        </is>
      </c>
      <c r="G758" s="2" t="inlineStr">
        <is>
          <t>statement: 172 (131-192)</t>
        </is>
      </c>
      <c r="H758" s="2" t="inlineStr"/>
    </row>
    <row r="759">
      <c r="A759" s="5" t="inlineStr">
        <is>
          <t>CC-035</t>
        </is>
      </c>
      <c r="B759" s="2" t="inlineStr">
        <is>
          <t>CC-035:6</t>
        </is>
      </c>
      <c r="C759" s="2" t="inlineStr">
        <is>
          <t>ETC HE technical report: Malta AD 2023 (95% CI) and rate</t>
        </is>
      </c>
      <c r="D759" s="2" t="inlineStr">
        <is>
          <t>173 (132-193); 46.3 (35.2-51.7)</t>
        </is>
      </c>
      <c r="E759" s="2" t="inlineStr">
        <is>
          <t>deaths; per 100k</t>
        </is>
      </c>
      <c r="F759" s="2" t="inlineStr">
        <is>
          <t>ETC HE Report 2025/8 (Soares et al. 2025), Annex 3-4</t>
        </is>
      </c>
      <c r="G759" s="2" t="inlineStr">
        <is>
          <t>Table A4.1, read 6 Oct 2026; one death above the table and the quick-facts page</t>
        </is>
      </c>
      <c r="H759" s="2" t="inlineStr"/>
    </row>
    <row r="760">
      <c r="A760" s="5" t="inlineStr">
        <is>
          <t>CC-035</t>
        </is>
      </c>
      <c r="B760" s="2" t="inlineStr">
        <is>
          <t>CC-035:7</t>
        </is>
      </c>
      <c r="C760" s="2" t="inlineStr">
        <is>
          <t>Deaths implied by the 2023 rate x population aged 30+</t>
        </is>
      </c>
      <c r="D760" s="2" t="inlineStr">
        <is>
          <t>172.8</t>
        </is>
      </c>
      <c r="E760" s="2" t="inlineStr">
        <is>
          <t>deaths</t>
        </is>
      </c>
      <c r="F760" s="2" t="inlineStr">
        <is>
          <t>calculated</t>
        </is>
      </c>
      <c r="G760" s="2" t="inlineStr">
        <is>
          <t>46.3 x 373208 / 100 000; 46.25-46.35 gives 172.6-173.0: consistent with 172 truncated and 173 rounded</t>
        </is>
      </c>
      <c r="H760" s="2" t="inlineStr"/>
    </row>
    <row r="761">
      <c r="A761" s="5" t="inlineStr">
        <is>
          <t>CC-035</t>
        </is>
      </c>
      <c r="B761" s="2" t="inlineStr">
        <is>
          <t>CC-035:8</t>
        </is>
      </c>
      <c r="C761" s="2" t="inlineStr">
        <is>
          <t>Rate recomputed from table AD / population 30+, 2005</t>
        </is>
      </c>
      <c r="D761" s="2" t="inlineStr">
        <is>
          <t>143.49</t>
        </is>
      </c>
      <c r="E761" s="2" t="inlineStr">
        <is>
          <t>per 100k</t>
        </is>
      </c>
      <c r="F761" s="2" t="inlineStr">
        <is>
          <t>calculated</t>
        </is>
      </c>
      <c r="G761" s="2" t="inlineStr"/>
      <c r="H761" s="2" t="inlineStr"/>
    </row>
    <row r="762">
      <c r="A762" s="5" t="inlineStr">
        <is>
          <t>CC-035</t>
        </is>
      </c>
      <c r="B762" s="2" t="inlineStr">
        <is>
          <t>CC-035:9</t>
        </is>
      </c>
      <c r="C762" s="2" t="inlineStr">
        <is>
          <t>Rate recomputed from table AD / population 30+, 2023</t>
        </is>
      </c>
      <c r="D762" s="2" t="inlineStr">
        <is>
          <t>46.09</t>
        </is>
      </c>
      <c r="E762" s="2" t="inlineStr">
        <is>
          <t>per 100k</t>
        </is>
      </c>
      <c r="F762" s="2" t="inlineStr">
        <is>
          <t>calculated</t>
        </is>
      </c>
      <c r="G762" s="2" t="inlineStr">
        <is>
          <t>with AD = 172; the table's 46.3 uses the unrounded AD</t>
        </is>
      </c>
      <c r="H762" s="2" t="inlineStr"/>
    </row>
    <row r="763">
      <c r="A763" s="5" t="inlineStr">
        <is>
          <t>CC-035</t>
        </is>
      </c>
      <c r="B763" s="2" t="inlineStr">
        <is>
          <t>CC-035:10</t>
        </is>
      </c>
      <c r="C763" s="2" t="inlineStr">
        <is>
          <t>Eurostat sdg_11_52: Malta deaths 2005 / 2023</t>
        </is>
      </c>
      <c r="D763" s="2" t="inlineStr">
        <is>
          <t>348 / 172</t>
        </is>
      </c>
      <c r="E763" s="2" t="inlineStr">
        <is>
          <t>deaths</t>
        </is>
      </c>
      <c r="F763" s="2" t="inlineStr">
        <is>
          <t>Eurostat sdg_11_52, updated 9 Dec 2025, retrieved 6 Oct 2026</t>
        </is>
      </c>
      <c r="G763" s="2" t="inlineStr">
        <is>
          <t>no flags on the Malta values</t>
        </is>
      </c>
      <c r="H763" s="2" t="inlineStr"/>
    </row>
    <row r="764">
      <c r="A764" s="5" t="inlineStr">
        <is>
          <t>CC-035</t>
        </is>
      </c>
      <c r="B764" s="2" t="inlineStr">
        <is>
          <t>CC-035:11</t>
        </is>
      </c>
      <c r="C764" s="2" t="inlineStr">
        <is>
          <t>Eurostat sdg_11_52: Malta rate per 100 000 inhabitants (all ages) 2005 / 2023</t>
        </is>
      </c>
      <c r="D764" s="2" t="inlineStr">
        <is>
          <t>86 / 31</t>
        </is>
      </c>
      <c r="E764" s="2" t="inlineStr">
        <is>
          <t>per 100k</t>
        </is>
      </c>
      <c r="F764" s="2" t="inlineStr">
        <is>
          <t>Eurostat sdg_11_52, updated 9 Dec 2025, retrieved 6 Oct 2026</t>
        </is>
      </c>
      <c r="G764" s="2" t="inlineStr">
        <is>
          <t>a different denominator from the statement's (all ages, not 30+)</t>
        </is>
      </c>
      <c r="H764" s="2" t="inlineStr"/>
    </row>
    <row r="765">
      <c r="A765" s="5" t="inlineStr">
        <is>
          <t>CC-035</t>
        </is>
      </c>
      <c r="B765" s="2" t="inlineStr">
        <is>
          <t>CC-035:12</t>
        </is>
      </c>
      <c r="C765" s="2" t="inlineStr">
        <is>
          <t>Eurostat rate (all ages): fall 2005-2023</t>
        </is>
      </c>
      <c r="D765" s="2" t="inlineStr">
        <is>
          <t>64.0</t>
        </is>
      </c>
      <c r="E765" s="2" t="inlineStr">
        <is>
          <t>%</t>
        </is>
      </c>
      <c r="F765" s="2" t="inlineStr">
        <is>
          <t>calculated</t>
        </is>
      </c>
      <c r="G765" s="2" t="inlineStr"/>
      <c r="H765" s="2" t="inlineStr"/>
    </row>
    <row r="766">
      <c r="A766" s="5" t="inlineStr">
        <is>
          <t>CC-035</t>
        </is>
      </c>
      <c r="B766" s="2" t="inlineStr">
        <is>
          <t>CC-035:13</t>
        </is>
      </c>
      <c r="C766" s="2" t="inlineStr">
        <is>
          <t>Eurostat sdg_11_52: years in the series</t>
        </is>
      </c>
      <c r="D766" s="2" t="inlineStr">
        <is>
          <t>2005, 2007, 2008, 2009, 2010, 2011, 2012, 2013, 2014, 2015, 2016, 2017, 2018, 2019, 2020, 2021, 2022, 2023</t>
        </is>
      </c>
      <c r="E766" s="2" t="inlineStr">
        <is>
          <t>years</t>
        </is>
      </c>
      <c r="F766" s="2" t="inlineStr">
        <is>
          <t>Eurostat sdg_11_52, updated 9 Dec 2025, retrieved 6 Oct 2026</t>
        </is>
      </c>
      <c r="G766" s="2" t="inlineStr">
        <is>
          <t>no 2006 value (the EEA table has none either)</t>
        </is>
      </c>
      <c r="H766" s="2" t="inlineStr"/>
    </row>
    <row r="767">
      <c r="A767" s="5" t="inlineStr">
        <is>
          <t>CC-035</t>
        </is>
      </c>
      <c r="B767" s="2" t="inlineStr">
        <is>
          <t>CC-035:14</t>
        </is>
      </c>
      <c r="C767" s="2" t="inlineStr">
        <is>
          <t>Attributable deaths 2005 -&gt; 2023</t>
        </is>
      </c>
      <c r="D767" s="2" t="inlineStr">
        <is>
          <t>348 -&gt; 172</t>
        </is>
      </c>
      <c r="E767" s="2" t="inlineStr">
        <is>
          <t>deaths</t>
        </is>
      </c>
      <c r="F767" s="2" t="inlineStr">
        <is>
          <t>EEA burden-of-disease table (Countries &amp; NUTS), retrieved 6 Oct 2026</t>
        </is>
      </c>
      <c r="G767" s="2" t="inlineStr"/>
      <c r="H767" s="2" t="inlineStr"/>
    </row>
    <row r="768">
      <c r="A768" s="5" t="inlineStr">
        <is>
          <t>CC-035</t>
        </is>
      </c>
      <c r="B768" s="2" t="inlineStr">
        <is>
          <t>CC-035:15</t>
        </is>
      </c>
      <c r="C768" s="2" t="inlineStr">
        <is>
          <t>Fall in the number of attributable deaths, 2005-2023</t>
        </is>
      </c>
      <c r="D768" s="2" t="inlineStr">
        <is>
          <t>50.6</t>
        </is>
      </c>
      <c r="E768" s="2" t="inlineStr">
        <is>
          <t>%</t>
        </is>
      </c>
      <c r="F768" s="2" t="inlineStr">
        <is>
          <t>calculated</t>
        </is>
      </c>
      <c r="G768" s="2" t="inlineStr">
        <is>
          <t>the statement gives the rate, not the number</t>
        </is>
      </c>
      <c r="H768" s="2" t="inlineStr"/>
    </row>
    <row r="769">
      <c r="A769" s="5" t="inlineStr">
        <is>
          <t>CC-035</t>
        </is>
      </c>
      <c r="B769" s="2" t="inlineStr">
        <is>
          <t>CC-035:16</t>
        </is>
      </c>
      <c r="C769" s="2" t="inlineStr">
        <is>
          <t>Population aged 30+ (EEA table) 2005 -&gt; 2023</t>
        </is>
      </c>
      <c r="D769" s="2" t="inlineStr">
        <is>
          <t>242534 -&gt; 373208</t>
        </is>
      </c>
      <c r="E769" s="2" t="inlineStr">
        <is>
          <t>people</t>
        </is>
      </c>
      <c r="F769" s="2" t="inlineStr">
        <is>
          <t>EEA burden-of-disease table (Countries &amp; NUTS), retrieved 6 Oct 2026</t>
        </is>
      </c>
      <c r="G769" s="2" t="inlineStr">
        <is>
          <t>+53.9%</t>
        </is>
      </c>
      <c r="H769" s="2" t="inlineStr"/>
    </row>
    <row r="770">
      <c r="A770" s="5" t="inlineStr">
        <is>
          <t>CC-035</t>
        </is>
      </c>
      <c r="B770" s="2" t="inlineStr">
        <is>
          <t>CC-035:17</t>
        </is>
      </c>
      <c r="C770" s="2" t="inlineStr">
        <is>
          <t>Eurostat demo_pjan: Malta population aged 30+ on 1 Jan 2005</t>
        </is>
      </c>
      <c r="D770" s="2" t="inlineStr">
        <is>
          <t>242544</t>
        </is>
      </c>
      <c r="E770" s="2" t="inlineStr">
        <is>
          <t>people</t>
        </is>
      </c>
      <c r="F770" s="2" t="inlineStr">
        <is>
          <t>Eurostat demo_pjan, retrieved 6 Oct 2026</t>
        </is>
      </c>
      <c r="G770" s="2" t="inlineStr">
        <is>
          <t>EEA table: 242534</t>
        </is>
      </c>
      <c r="H770" s="2" t="inlineStr"/>
    </row>
    <row r="771">
      <c r="A771" s="5" t="inlineStr">
        <is>
          <t>CC-035</t>
        </is>
      </c>
      <c r="B771" s="2" t="inlineStr">
        <is>
          <t>CC-035:18</t>
        </is>
      </c>
      <c r="C771" s="2" t="inlineStr">
        <is>
          <t>Eurostat demo_pjan: Malta population aged 30+ on 1 Jan 2023</t>
        </is>
      </c>
      <c r="D771" s="2" t="inlineStr">
        <is>
          <t>373224</t>
        </is>
      </c>
      <c r="E771" s="2" t="inlineStr">
        <is>
          <t>people</t>
        </is>
      </c>
      <c r="F771" s="2" t="inlineStr">
        <is>
          <t>Eurostat demo_pjan, retrieved 6 Oct 2026</t>
        </is>
      </c>
      <c r="G771" s="2" t="inlineStr">
        <is>
          <t>EEA table: 373208</t>
        </is>
      </c>
      <c r="H771" s="2" t="inlineStr"/>
    </row>
    <row r="772">
      <c r="A772" s="5" t="inlineStr">
        <is>
          <t>CC-035</t>
        </is>
      </c>
      <c r="B772" s="2" t="inlineStr">
        <is>
          <t>CC-035:19</t>
        </is>
      </c>
      <c r="C772" s="2" t="inlineStr">
        <is>
          <t>Population-weighted PM2.5 (modelled), 2005 -&gt; 2023</t>
        </is>
      </c>
      <c r="D772" s="2" t="inlineStr">
        <is>
          <t>21.0 -&gt; 10.9</t>
        </is>
      </c>
      <c r="E772" s="2" t="inlineStr">
        <is>
          <t>ug/m3</t>
        </is>
      </c>
      <c r="F772" s="2" t="inlineStr">
        <is>
          <t>EEA burden-of-disease table (Countries &amp; NUTS), retrieved 6 Oct 2026</t>
        </is>
      </c>
      <c r="G772" s="2" t="inlineStr">
        <is>
          <t>fall 48.1%</t>
        </is>
      </c>
      <c r="H772" s="2" t="inlineStr"/>
    </row>
    <row r="773">
      <c r="A773" s="5" t="inlineStr">
        <is>
          <t>CC-035</t>
        </is>
      </c>
      <c r="B773" s="2" t="inlineStr">
        <is>
          <t>CC-035:20</t>
        </is>
      </c>
      <c r="C773" s="2" t="inlineStr">
        <is>
          <t>Excess above 5 ug/m3, 2005 -&gt; 2023</t>
        </is>
      </c>
      <c r="D773" s="2" t="inlineStr">
        <is>
          <t>16.0 -&gt; 5.9</t>
        </is>
      </c>
      <c r="E773" s="2" t="inlineStr">
        <is>
          <t>ug/m3</t>
        </is>
      </c>
      <c r="F773" s="2" t="inlineStr">
        <is>
          <t>calculated</t>
        </is>
      </c>
      <c r="G773" s="2" t="inlineStr">
        <is>
          <t>fall 63.1%</t>
        </is>
      </c>
      <c r="H773" s="2" t="inlineStr"/>
    </row>
    <row r="774">
      <c r="A774" s="5" t="inlineStr">
        <is>
          <t>CC-035</t>
        </is>
      </c>
      <c r="B774" s="2" t="inlineStr">
        <is>
          <t>CC-035:21</t>
        </is>
      </c>
      <c r="C774" s="2" t="inlineStr">
        <is>
          <t>2005 reference map (ETC/ATNI 2020/1): Malta population-weighted PM2.5</t>
        </is>
      </c>
      <c r="D774" s="2" t="inlineStr">
        <is>
          <t>21.2</t>
        </is>
      </c>
      <c r="E774" s="2" t="inlineStr">
        <is>
          <t>ug/m3</t>
        </is>
      </c>
      <c r="F774" s="2" t="inlineStr">
        <is>
          <t>ETC/ATNI Report 2020/1, Table 2.3</t>
        </is>
      </c>
      <c r="G774" s="2" t="inlineStr">
        <is>
          <t>EEA table now 21.0</t>
        </is>
      </c>
      <c r="H774" s="2" t="inlineStr"/>
    </row>
    <row r="775">
      <c r="A775" s="5" t="inlineStr">
        <is>
          <t>CC-035</t>
        </is>
      </c>
      <c r="B775" s="2" t="inlineStr">
        <is>
          <t>CC-035:22</t>
        </is>
      </c>
      <c r="C775" s="2" t="inlineStr">
        <is>
          <t>Attributable fraction at the national PWC, 2005 / 2023</t>
        </is>
      </c>
      <c r="D775" s="2" t="inlineStr">
        <is>
          <t>11.59 / 4.44</t>
        </is>
      </c>
      <c r="E775" s="2" t="inlineStr">
        <is>
          <t>%</t>
        </is>
      </c>
      <c r="F775" s="2" t="inlineStr">
        <is>
          <t>calculated</t>
        </is>
      </c>
      <c r="G775" s="2" t="inlineStr">
        <is>
          <t>PAF = 1 - exp(-ln(1.08)/10 x (PWC - 5)); the EEA works cell by cell on a 1 km grid</t>
        </is>
      </c>
      <c r="H775" s="2" t="inlineStr"/>
    </row>
    <row r="776">
      <c r="A776" s="5" t="inlineStr">
        <is>
          <t>CC-035</t>
        </is>
      </c>
      <c r="B776" s="2" t="inlineStr">
        <is>
          <t>CC-035:23</t>
        </is>
      </c>
      <c r="C776" s="2" t="inlineStr">
        <is>
          <t>Eurostat: deaths aged 30+ (all causes) 2005 / 2023</t>
        </is>
      </c>
      <c r="D776" s="2" t="inlineStr">
        <is>
          <t>3065 / 3987</t>
        </is>
      </c>
      <c r="E776" s="2" t="inlineStr">
        <is>
          <t>deaths</t>
        </is>
      </c>
      <c r="F776" s="2" t="inlineStr">
        <is>
          <t>Eurostat demo_magec, retrieved 6 Oct 2026</t>
        </is>
      </c>
      <c r="G776" s="2" t="inlineStr"/>
      <c r="H776" s="2" t="inlineStr"/>
    </row>
    <row r="777">
      <c r="A777" s="5" t="inlineStr">
        <is>
          <t>CC-035</t>
        </is>
      </c>
      <c r="B777" s="2" t="inlineStr">
        <is>
          <t>CC-035:24</t>
        </is>
      </c>
      <c r="C777" s="2" t="inlineStr">
        <is>
          <t>Eurostat: external-cause share of deaths aged 30+, 2011 / 2023</t>
        </is>
      </c>
      <c r="D777" s="2" t="inlineStr">
        <is>
          <t>2.57 / 3.94</t>
        </is>
      </c>
      <c r="E777" s="2" t="inlineStr">
        <is>
          <t>%</t>
        </is>
      </c>
      <c r="F777" s="2" t="inlineStr">
        <is>
          <t>Eurostat hlth_cd_aro (residents), retrieved 6 Oct 2026</t>
        </is>
      </c>
      <c r="G777" s="2" t="inlineStr">
        <is>
          <t>2011 stands in for 2005, as in the ETC method</t>
        </is>
      </c>
      <c r="H777" s="2" t="inlineStr"/>
    </row>
    <row r="778">
      <c r="A778" s="5" t="inlineStr">
        <is>
          <t>CC-035</t>
        </is>
      </c>
      <c r="B778" s="2" t="inlineStr">
        <is>
          <t>CC-035:25</t>
        </is>
      </c>
      <c r="C778" s="2" t="inlineStr">
        <is>
          <t>Our approximation of attributable deaths 2005 (PAF at national PWC x natural deaths 30+)</t>
        </is>
      </c>
      <c r="D778" s="2" t="inlineStr">
        <is>
          <t>346.0</t>
        </is>
      </c>
      <c r="E778" s="2" t="inlineStr">
        <is>
          <t>deaths</t>
        </is>
      </c>
      <c r="F778" s="2" t="inlineStr">
        <is>
          <t>calculated</t>
        </is>
      </c>
      <c r="G778" s="2" t="inlineStr">
        <is>
          <t>EEA: 348; difference -0.6%</t>
        </is>
      </c>
      <c r="H778" s="2" t="inlineStr"/>
    </row>
    <row r="779">
      <c r="A779" s="5" t="inlineStr">
        <is>
          <t>CC-035</t>
        </is>
      </c>
      <c r="B779" s="2" t="inlineStr">
        <is>
          <t>CC-035:26</t>
        </is>
      </c>
      <c r="C779" s="2" t="inlineStr">
        <is>
          <t>Implied natural death rate aged 30+ 2005 (EEA AD / PAF / population 30+)</t>
        </is>
      </c>
      <c r="D779" s="2" t="inlineStr">
        <is>
          <t>1238.5</t>
        </is>
      </c>
      <c r="E779" s="2" t="inlineStr">
        <is>
          <t>per 100k</t>
        </is>
      </c>
      <c r="F779" s="2" t="inlineStr">
        <is>
          <t>calculated</t>
        </is>
      </c>
      <c r="G779" s="2" t="inlineStr">
        <is>
          <t>Eurostat-based: 1231.3</t>
        </is>
      </c>
      <c r="H779" s="2" t="inlineStr"/>
    </row>
    <row r="780">
      <c r="A780" s="5" t="inlineStr">
        <is>
          <t>CC-035</t>
        </is>
      </c>
      <c r="B780" s="2" t="inlineStr">
        <is>
          <t>CC-035:27</t>
        </is>
      </c>
      <c r="C780" s="2" t="inlineStr">
        <is>
          <t>Our approximation of attributable deaths 2023 (PAF at national PWC x natural deaths 30+)</t>
        </is>
      </c>
      <c r="D780" s="2" t="inlineStr">
        <is>
          <t>170.0</t>
        </is>
      </c>
      <c r="E780" s="2" t="inlineStr">
        <is>
          <t>deaths</t>
        </is>
      </c>
      <c r="F780" s="2" t="inlineStr">
        <is>
          <t>calculated</t>
        </is>
      </c>
      <c r="G780" s="2" t="inlineStr">
        <is>
          <t>EEA: 172; difference -1.2%</t>
        </is>
      </c>
      <c r="H780" s="2" t="inlineStr"/>
    </row>
    <row r="781">
      <c r="A781" s="5" t="inlineStr">
        <is>
          <t>CC-035</t>
        </is>
      </c>
      <c r="B781" s="2" t="inlineStr">
        <is>
          <t>CC-035:28</t>
        </is>
      </c>
      <c r="C781" s="2" t="inlineStr">
        <is>
          <t>Implied natural death rate aged 30+ 2023 (EEA AD / PAF / population 30+)</t>
        </is>
      </c>
      <c r="D781" s="2" t="inlineStr">
        <is>
          <t>1038.2</t>
        </is>
      </c>
      <c r="E781" s="2" t="inlineStr">
        <is>
          <t>per 100k</t>
        </is>
      </c>
      <c r="F781" s="2" t="inlineStr">
        <is>
          <t>calculated</t>
        </is>
      </c>
      <c r="G781" s="2" t="inlineStr">
        <is>
          <t>Eurostat-based: 1026.2</t>
        </is>
      </c>
      <c r="H781" s="2" t="inlineStr"/>
    </row>
    <row r="782">
      <c r="A782" s="5" t="inlineStr">
        <is>
          <t>CC-035</t>
        </is>
      </c>
      <c r="B782" s="2" t="inlineStr">
        <is>
          <t>CC-035:29</t>
        </is>
      </c>
      <c r="C782" s="2" t="inlineStr">
        <is>
          <t>Decomposition of the rate fall: attributable fraction ratio x baseline death-rate ratio</t>
        </is>
      </c>
      <c r="D782" s="2" t="inlineStr">
        <is>
          <t>0.383 x 0.838 = 0.321</t>
        </is>
      </c>
      <c r="E782" s="2" t="inlineStr">
        <is>
          <t>ratio</t>
        </is>
      </c>
      <c r="F782" s="2" t="inlineStr">
        <is>
          <t>calculated</t>
        </is>
      </c>
      <c r="G782" s="2" t="inlineStr">
        <is>
          <t>fall 67.9%; with the fraction alone the fall would be 61.7%</t>
        </is>
      </c>
      <c r="H782" s="2" t="inlineStr"/>
    </row>
    <row r="783">
      <c r="A783" s="5" t="inlineStr">
        <is>
          <t>CC-035</t>
        </is>
      </c>
      <c r="B783" s="2" t="inlineStr">
        <is>
          <t>CC-035:30</t>
        </is>
      </c>
      <c r="C783" s="2" t="inlineStr">
        <is>
          <t>Rate fall 2005-2023, previous method (RR 1.062, all concentrations)</t>
        </is>
      </c>
      <c r="D783" s="2" t="inlineStr">
        <is>
          <t>55.0</t>
        </is>
      </c>
      <c r="E783" s="2" t="inlineStr">
        <is>
          <t>%</t>
        </is>
      </c>
      <c r="F783" s="2" t="inlineStr">
        <is>
          <t>EEA burden-of-disease table (Countries &amp; NUTS), retrieved 6 Oct 2026</t>
        </is>
      </c>
      <c r="G783" s="2" t="inlineStr">
        <is>
          <t>147.0 -&gt; 66.1 per 100k aged 30+</t>
        </is>
      </c>
      <c r="H783" s="2" t="inlineStr"/>
    </row>
    <row r="784">
      <c r="A784" s="5" t="inlineStr">
        <is>
          <t>CC-035</t>
        </is>
      </c>
      <c r="B784" s="2" t="inlineStr">
        <is>
          <t>CC-035:31</t>
        </is>
      </c>
      <c r="C784" s="2" t="inlineStr">
        <is>
          <t>Rate fall 2005-2023, all concentrations (CF 0)</t>
        </is>
      </c>
      <c r="D784" s="2" t="inlineStr">
        <is>
          <t>54.7</t>
        </is>
      </c>
      <c r="E784" s="2" t="inlineStr">
        <is>
          <t>%</t>
        </is>
      </c>
      <c r="F784" s="2" t="inlineStr">
        <is>
          <t>EEA burden-of-disease table (Countries &amp; NUTS), retrieved 6 Oct 2026</t>
        </is>
      </c>
      <c r="G784" s="2" t="inlineStr">
        <is>
          <t>184.8 -&gt; 83.7 per 100k aged 30+</t>
        </is>
      </c>
      <c r="H784" s="2" t="inlineStr"/>
    </row>
    <row r="785">
      <c r="A785" s="5" t="inlineStr">
        <is>
          <t>CC-035</t>
        </is>
      </c>
      <c r="B785" s="2" t="inlineStr">
        <is>
          <t>CC-035:32</t>
        </is>
      </c>
      <c r="C785" s="2" t="inlineStr">
        <is>
          <t>Rate fall 2005-2023, above the 2030 EU limit (CF 10)</t>
        </is>
      </c>
      <c r="D785" s="2" t="inlineStr">
        <is>
          <t>92.4</t>
        </is>
      </c>
      <c r="E785" s="2" t="inlineStr">
        <is>
          <t>%</t>
        </is>
      </c>
      <c r="F785" s="2" t="inlineStr">
        <is>
          <t>EEA burden-of-disease table (Countries &amp; NUTS), retrieved 6 Oct 2026</t>
        </is>
      </c>
      <c r="G785" s="2" t="inlineStr">
        <is>
          <t>100.6 -&gt; 7.6 per 100k aged 30+</t>
        </is>
      </c>
      <c r="H785" s="2" t="inlineStr"/>
    </row>
    <row r="786">
      <c r="A786" s="5" t="inlineStr">
        <is>
          <t>CC-035</t>
        </is>
      </c>
      <c r="B786" s="2" t="inlineStr">
        <is>
          <t>CC-035:33</t>
        </is>
      </c>
      <c r="C786" s="2" t="inlineStr">
        <is>
          <t>Rate fall 2005-2023 if Malta's 2005 map value were -2.9 ug/m3</t>
        </is>
      </c>
      <c r="D786" s="2" t="inlineStr">
        <is>
          <t>61.0</t>
        </is>
      </c>
      <c r="E786" s="2" t="inlineStr">
        <is>
          <t>%</t>
        </is>
      </c>
      <c r="F786" s="2" t="inlineStr">
        <is>
          <t>calculated; RMSE from ETC/ATNI Report 2020/1, Table A.4 (urban background, 2005)</t>
        </is>
      </c>
      <c r="G786" s="2" t="inlineStr">
        <is>
          <t>2005 rate would be 118.8; indicative only</t>
        </is>
      </c>
      <c r="H786" s="2" t="inlineStr"/>
    </row>
    <row r="787">
      <c r="A787" s="5" t="inlineStr">
        <is>
          <t>CC-035</t>
        </is>
      </c>
      <c r="B787" s="2" t="inlineStr">
        <is>
          <t>CC-035:34</t>
        </is>
      </c>
      <c r="C787" s="2" t="inlineStr">
        <is>
          <t>Rate fall 2005-2023 if Malta's 2005 map value were +2.9 ug/m3</t>
        </is>
      </c>
      <c r="D787" s="2" t="inlineStr">
        <is>
          <t>72.4</t>
        </is>
      </c>
      <c r="E787" s="2" t="inlineStr">
        <is>
          <t>%</t>
        </is>
      </c>
      <c r="F787" s="2" t="inlineStr">
        <is>
          <t>calculated; RMSE from ETC/ATNI Report 2020/1, Table A.4 (urban background, 2005)</t>
        </is>
      </c>
      <c r="G787" s="2" t="inlineStr">
        <is>
          <t>2005 rate would be 167.7; indicative only</t>
        </is>
      </c>
      <c r="H787" s="2" t="inlineStr"/>
    </row>
    <row r="788">
      <c r="A788" s="5" t="inlineStr">
        <is>
          <t>CC-035</t>
        </is>
      </c>
      <c r="B788" s="2" t="inlineStr">
        <is>
          <t>CC-035:35</t>
        </is>
      </c>
      <c r="C788" s="2" t="inlineStr">
        <is>
          <t>Rate fall 2007-2023 (WHO 2021 baseline)</t>
        </is>
      </c>
      <c r="D788" s="2" t="inlineStr">
        <is>
          <t>56.6</t>
        </is>
      </c>
      <c r="E788" s="2" t="inlineStr">
        <is>
          <t>%</t>
        </is>
      </c>
      <c r="F788" s="2" t="inlineStr">
        <is>
          <t>EEA burden-of-disease table (Countries &amp; NUTS), retrieved 6 Oct 2026</t>
        </is>
      </c>
      <c r="G788" s="2" t="inlineStr">
        <is>
          <t>106.7 -&gt; 46.3</t>
        </is>
      </c>
      <c r="H788" s="2" t="inlineStr"/>
    </row>
    <row r="789">
      <c r="A789" s="5" t="inlineStr">
        <is>
          <t>CC-035</t>
        </is>
      </c>
      <c r="B789" s="2" t="inlineStr">
        <is>
          <t>CC-035:36</t>
        </is>
      </c>
      <c r="C789" s="2" t="inlineStr">
        <is>
          <t>Rate fall 2008-2023 (WHO 2021 baseline)</t>
        </is>
      </c>
      <c r="D789" s="2" t="inlineStr">
        <is>
          <t>47.7</t>
        </is>
      </c>
      <c r="E789" s="2" t="inlineStr">
        <is>
          <t>%</t>
        </is>
      </c>
      <c r="F789" s="2" t="inlineStr">
        <is>
          <t>EEA burden-of-disease table (Countries &amp; NUTS), retrieved 6 Oct 2026</t>
        </is>
      </c>
      <c r="G789" s="2" t="inlineStr">
        <is>
          <t>88.6 -&gt; 46.3</t>
        </is>
      </c>
      <c r="H789" s="2" t="inlineStr"/>
    </row>
    <row r="790">
      <c r="A790" s="5" t="inlineStr">
        <is>
          <t>CC-035</t>
        </is>
      </c>
      <c r="B790" s="2" t="inlineStr">
        <is>
          <t>CC-035:37</t>
        </is>
      </c>
      <c r="C790" s="2" t="inlineStr">
        <is>
          <t>Rate fall 2010-2023 (WHO 2021 baseline)</t>
        </is>
      </c>
      <c r="D790" s="2" t="inlineStr">
        <is>
          <t>35.1</t>
        </is>
      </c>
      <c r="E790" s="2" t="inlineStr">
        <is>
          <t>%</t>
        </is>
      </c>
      <c r="F790" s="2" t="inlineStr">
        <is>
          <t>EEA burden-of-disease table (Countries &amp; NUTS), retrieved 6 Oct 2026</t>
        </is>
      </c>
      <c r="G790" s="2" t="inlineStr">
        <is>
          <t>71.3 -&gt; 46.3</t>
        </is>
      </c>
      <c r="H790" s="2" t="inlineStr"/>
    </row>
    <row r="791">
      <c r="A791" s="5" t="inlineStr">
        <is>
          <t>CC-035</t>
        </is>
      </c>
      <c r="B791" s="2" t="inlineStr">
        <is>
          <t>CC-035:38</t>
        </is>
      </c>
      <c r="C791" s="2" t="inlineStr">
        <is>
          <t>Highest rate in the series</t>
        </is>
      </c>
      <c r="D791" s="2" t="inlineStr">
        <is>
          <t>143.5</t>
        </is>
      </c>
      <c r="E791" s="2" t="inlineStr">
        <is>
          <t>per 100k</t>
        </is>
      </c>
      <c r="F791" s="2" t="inlineStr">
        <is>
          <t>EEA burden-of-disease table (Countries &amp; NUTS), retrieved 6 Oct 2026</t>
        </is>
      </c>
      <c r="G791" s="2" t="inlineStr">
        <is>
          <t>2005</t>
        </is>
      </c>
      <c r="H791" s="2" t="inlineStr"/>
    </row>
    <row r="792">
      <c r="A792" s="5" t="inlineStr">
        <is>
          <t>CC-035</t>
        </is>
      </c>
      <c r="B792" s="2" t="inlineStr">
        <is>
          <t>CC-035:39</t>
        </is>
      </c>
      <c r="C792" s="2" t="inlineStr">
        <is>
          <t>Rate range 2013-2023</t>
        </is>
      </c>
      <c r="D792" s="2" t="inlineStr">
        <is>
          <t>43.2-67.6</t>
        </is>
      </c>
      <c r="E792" s="2" t="inlineStr">
        <is>
          <t>per 100k</t>
        </is>
      </c>
      <c r="F792" s="2" t="inlineStr">
        <is>
          <t>EEA burden-of-disease table (Countries &amp; NUTS), retrieved 6 Oct 2026</t>
        </is>
      </c>
      <c r="G792" s="2" t="inlineStr"/>
      <c r="H792" s="2" t="inlineStr"/>
    </row>
    <row r="793">
      <c r="A793" s="5" t="inlineStr">
        <is>
          <t>CC-035</t>
        </is>
      </c>
      <c r="B793" s="2" t="inlineStr">
        <is>
          <t>CC-035:40</t>
        </is>
      </c>
      <c r="C793" s="2" t="inlineStr">
        <is>
          <t>EU-27 countries with a 2005 and 2023 rate</t>
        </is>
      </c>
      <c r="D793" s="2" t="inlineStr">
        <is>
          <t>27</t>
        </is>
      </c>
      <c r="E793" s="2" t="inlineStr">
        <is>
          <t>count</t>
        </is>
      </c>
      <c r="F793" s="2" t="inlineStr">
        <is>
          <t>EEA burden-of-disease table (Countries &amp; NUTS), retrieved 6 Oct 2026</t>
        </is>
      </c>
      <c r="G793" s="2" t="inlineStr"/>
      <c r="H793" s="2" t="inlineStr"/>
    </row>
    <row r="794">
      <c r="A794" s="5" t="inlineStr">
        <is>
          <t>CC-035</t>
        </is>
      </c>
      <c r="B794" s="2" t="inlineStr">
        <is>
          <t>CC-035:41</t>
        </is>
      </c>
      <c r="C794" s="2" t="inlineStr">
        <is>
          <t>Malta's rank by rate fall among EU-27 (1 = largest fall)</t>
        </is>
      </c>
      <c r="D794" s="2" t="inlineStr">
        <is>
          <t>14</t>
        </is>
      </c>
      <c r="E794" s="2" t="inlineStr">
        <is>
          <t>of 27</t>
        </is>
      </c>
      <c r="F794" s="2" t="inlineStr">
        <is>
          <t>calculated</t>
        </is>
      </c>
      <c r="G794" s="2" t="inlineStr">
        <is>
          <t>largest Finland 97.5%, smallest Greece 35.1%</t>
        </is>
      </c>
      <c r="H794" s="2" t="inlineStr"/>
    </row>
    <row r="795">
      <c r="A795" s="5" t="inlineStr">
        <is>
          <t>CC-035</t>
        </is>
      </c>
      <c r="B795" s="2" t="inlineStr">
        <is>
          <t>CC-035:42</t>
        </is>
      </c>
      <c r="C795" s="2" t="inlineStr">
        <is>
          <t>EU-27: rate 2005 -&gt; 2023</t>
        </is>
      </c>
      <c r="D795" s="2" t="inlineStr">
        <is>
          <t>153.0 -&gt; 59.7</t>
        </is>
      </c>
      <c r="E795" s="2" t="inlineStr">
        <is>
          <t>per 100k</t>
        </is>
      </c>
      <c r="F795" s="2" t="inlineStr">
        <is>
          <t>EEA burden-of-disease table (Countries &amp; NUTS), retrieved 6 Oct 2026</t>
        </is>
      </c>
      <c r="G795" s="2" t="inlineStr">
        <is>
          <t>fall 61.0%</t>
        </is>
      </c>
      <c r="H795" s="2" t="inlineStr"/>
    </row>
    <row r="796">
      <c r="A796" s="5" t="inlineStr">
        <is>
          <t>CC-035</t>
        </is>
      </c>
      <c r="B796" s="2" t="inlineStr">
        <is>
          <t>CC-035:43</t>
        </is>
      </c>
      <c r="C796" s="2" t="inlineStr">
        <is>
          <t>EU-27: attributable deaths 2005 -&gt; 2023</t>
        </is>
      </c>
      <c r="D796" s="2" t="inlineStr">
        <is>
          <t>423593 -&gt; 182399</t>
        </is>
      </c>
      <c r="E796" s="2" t="inlineStr">
        <is>
          <t>deaths</t>
        </is>
      </c>
      <c r="F796" s="2" t="inlineStr">
        <is>
          <t>EEA burden-of-disease table (Countries &amp; NUTS), retrieved 6 Oct 2026</t>
        </is>
      </c>
      <c r="G796" s="2" t="inlineStr">
        <is>
          <t>fall 56.9% (EEA indicator: 57%)</t>
        </is>
      </c>
      <c r="H796" s="2" t="inlineStr"/>
    </row>
    <row r="797">
      <c r="A797" s="5" t="inlineStr">
        <is>
          <t>CC-035</t>
        </is>
      </c>
      <c r="B797" s="2" t="inlineStr">
        <is>
          <t>CC-035:44</t>
        </is>
      </c>
      <c r="C797" s="2" t="inlineStr">
        <is>
          <t>EU-27: population-weighted PM2.5 2005 -&gt; 2023</t>
        </is>
      </c>
      <c r="D797" s="2" t="inlineStr">
        <is>
          <t>19.4 -&gt; 10.2</t>
        </is>
      </c>
      <c r="E797" s="2" t="inlineStr">
        <is>
          <t>ug/m3</t>
        </is>
      </c>
      <c r="F797" s="2" t="inlineStr">
        <is>
          <t>EEA burden-of-disease table (Countries &amp; NUTS), retrieved 6 Oct 2026</t>
        </is>
      </c>
      <c r="G797" s="2" t="inlineStr">
        <is>
          <t>EEA indicator: 19.4 -&gt; 10.2</t>
        </is>
      </c>
      <c r="H797" s="2" t="inlineStr"/>
    </row>
    <row r="798">
      <c r="A798" s="5" t="inlineStr">
        <is>
          <t>CC-035</t>
        </is>
      </c>
      <c r="B798" s="2" t="inlineStr">
        <is>
          <t>CC-035:45</t>
        </is>
      </c>
      <c r="C798" s="2" t="inlineStr">
        <is>
          <t>Malta stations with PM2.5 reported to the EEA for 2005</t>
        </is>
      </c>
      <c r="D798" s="2" t="inlineStr">
        <is>
          <t>0</t>
        </is>
      </c>
      <c r="E798" s="2" t="inlineStr">
        <is>
          <t>stations</t>
        </is>
      </c>
      <c r="F798" s="2" t="inlineStr">
        <is>
          <t>EEA station files (AirBase, E1a), retrieved 6 Oct 2026</t>
        </is>
      </c>
      <c r="G798" s="2" t="inlineStr">
        <is>
          <t>first PM2.5 days in the EEA archive: Żejtun Aug 2006, Msida Oct 2006, Għarb Jun 2007; data never reported to the EEA would not appear</t>
        </is>
      </c>
      <c r="H798" s="2" t="inlineStr"/>
    </row>
    <row r="799">
      <c r="A799" s="5" t="inlineStr">
        <is>
          <t>CC-035</t>
        </is>
      </c>
      <c r="B799" s="2" t="inlineStr">
        <is>
          <t>CC-035:46</t>
        </is>
      </c>
      <c r="C799" s="2" t="inlineStr">
        <is>
          <t>Malta stations with PM10 reported to the EEA for 2005 (annual mean of valid days)</t>
        </is>
      </c>
      <c r="D799" s="2" t="inlineStr">
        <is>
          <t>MT00002 (PM10 only; closed) 49.0 (82% of days); Kordin 42.4 (81% of days)</t>
        </is>
      </c>
      <c r="E799" s="2" t="inlineStr">
        <is>
          <t>ug/m3</t>
        </is>
      </c>
      <c r="F799" s="2" t="inlineStr">
        <is>
          <t>EEA station files (AirBase, E1a), retrieved 6 Oct 2026</t>
        </is>
      </c>
      <c r="G799" s="2" t="inlineStr">
        <is>
          <t>PM10 feeds 'pseudo PM2.5' in the maps, but the ETC maps use background and traffic stations only (ETC/ATNI 2020/1, Table A.1); Kordin is industrial, MT00002's type is not in the current metadata</t>
        </is>
      </c>
      <c r="H799" s="2" t="inlineStr"/>
    </row>
    <row r="800">
      <c r="A800" s="5" t="inlineStr">
        <is>
          <t>CC-035</t>
        </is>
      </c>
      <c r="B800" s="2" t="inlineStr">
        <is>
          <t>CC-035:47</t>
        </is>
      </c>
      <c r="C800" s="2" t="inlineStr">
        <is>
          <t>Mean of the five stations' PM2.5, 2023 (EEA files)</t>
        </is>
      </c>
      <c r="D800" s="2" t="inlineStr">
        <is>
          <t>10.92</t>
        </is>
      </c>
      <c r="E800" s="2" t="inlineStr">
        <is>
          <t>ug/m3</t>
        </is>
      </c>
      <c r="F800" s="2" t="inlineStr">
        <is>
          <t>EEA station files (AirBase, E1a), retrieved 6 Oct 2026</t>
        </is>
      </c>
      <c r="G800" s="2" t="inlineStr">
        <is>
          <t>PQ 29696 annex (CC-007): 11.4, 13.9, 9.5, 10.9, 8.9 -&gt; mean 10.9; EEA modelled PWC 10.9</t>
        </is>
      </c>
      <c r="H800" s="2" t="inlineStr"/>
    </row>
    <row r="801">
      <c r="A801" s="5" t="inlineStr">
        <is>
          <t>CC-035</t>
        </is>
      </c>
      <c r="B801" s="2" t="inlineStr">
        <is>
          <t>CC-035:48</t>
        </is>
      </c>
      <c r="C801" s="2" t="inlineStr">
        <is>
          <t>Three long-running stations (Msida, Żejtun, Għarb): first year all &gt;= 75% of days</t>
        </is>
      </c>
      <c r="D801" s="2" t="inlineStr">
        <is>
          <t>2010</t>
        </is>
      </c>
      <c r="E801" s="2" t="inlineStr">
        <is>
          <t>year</t>
        </is>
      </c>
      <c r="F801" s="2" t="inlineStr">
        <is>
          <t>EEA station files (AirBase, E1a), retrieved 6 Oct 2026</t>
        </is>
      </c>
      <c r="G801" s="2" t="inlineStr">
        <is>
          <t>mean 15.05 vs EEA PWC 13.8</t>
        </is>
      </c>
      <c r="H801" s="2" t="inlineStr"/>
    </row>
    <row r="802">
      <c r="A802" s="5" t="inlineStr">
        <is>
          <t>CC-035</t>
        </is>
      </c>
      <c r="B802" s="2" t="inlineStr">
        <is>
          <t>CC-035:49</t>
        </is>
      </c>
      <c r="C802" s="2" t="inlineStr">
        <is>
          <t>Three-station mean PM2.5, first full year -&gt; 2023</t>
        </is>
      </c>
      <c r="D802" s="2" t="inlineStr">
        <is>
          <t>15.05 -&gt; 11.22</t>
        </is>
      </c>
      <c r="E802" s="2" t="inlineStr">
        <is>
          <t>ug/m3</t>
        </is>
      </c>
      <c r="F802" s="2" t="inlineStr">
        <is>
          <t>EEA station files (AirBase, E1a), retrieved 6 Oct 2026</t>
        </is>
      </c>
      <c r="G802" s="2" t="inlineStr">
        <is>
          <t>fall 25.4%; EEA PWC 13.8 -&gt; 10.9 (fall 21.0%)</t>
        </is>
      </c>
      <c r="H802" s="2" t="inlineStr"/>
    </row>
    <row r="803">
      <c r="A803" s="5" t="inlineStr">
        <is>
          <t>CC-035</t>
        </is>
      </c>
      <c r="B803" s="2" t="inlineStr">
        <is>
          <t>CC-035:50</t>
        </is>
      </c>
      <c r="C803" s="2" t="inlineStr">
        <is>
          <t>Msida: PM2.5 first year with &gt;= 75% of days -&gt; 2023</t>
        </is>
      </c>
      <c r="D803" s="2" t="inlineStr">
        <is>
          <t>2007: 22.74 -&gt; 13.86</t>
        </is>
      </c>
      <c r="E803" s="2" t="inlineStr">
        <is>
          <t>ug/m3</t>
        </is>
      </c>
      <c r="F803" s="2" t="inlineStr">
        <is>
          <t>EEA station files (AirBase, E1a), retrieved 6 Oct 2026</t>
        </is>
      </c>
      <c r="G803" s="2" t="inlineStr">
        <is>
          <t>fall 39.1%; coverage 86.3% and 98.4%</t>
        </is>
      </c>
      <c r="H803" s="2" t="inlineStr"/>
    </row>
    <row r="804">
      <c r="A804" s="5" t="inlineStr">
        <is>
          <t>CC-035</t>
        </is>
      </c>
      <c r="B804" s="2" t="inlineStr">
        <is>
          <t>CC-035:51</t>
        </is>
      </c>
      <c r="C804" s="2" t="inlineStr">
        <is>
          <t>Żejtun: PM2.5 first year with &gt;= 75% of days -&gt; 2023</t>
        </is>
      </c>
      <c r="D804" s="2" t="inlineStr">
        <is>
          <t>2010: 13.6 -&gt; 10.93</t>
        </is>
      </c>
      <c r="E804" s="2" t="inlineStr">
        <is>
          <t>ug/m3</t>
        </is>
      </c>
      <c r="F804" s="2" t="inlineStr">
        <is>
          <t>EEA station files (AirBase, E1a), retrieved 6 Oct 2026</t>
        </is>
      </c>
      <c r="G804" s="2" t="inlineStr">
        <is>
          <t>fall 19.6%; coverage 85.2% and 99.2%</t>
        </is>
      </c>
      <c r="H804" s="2" t="inlineStr"/>
    </row>
    <row r="805">
      <c r="A805" s="5" t="inlineStr">
        <is>
          <t>CC-035</t>
        </is>
      </c>
      <c r="B805" s="2" t="inlineStr">
        <is>
          <t>CC-035:52</t>
        </is>
      </c>
      <c r="C805" s="2" t="inlineStr">
        <is>
          <t>Għarb: PM2.5 first year with &gt;= 75% of days -&gt; 2023</t>
        </is>
      </c>
      <c r="D805" s="2" t="inlineStr">
        <is>
          <t>2008: 13.56 -&gt; 8.88</t>
        </is>
      </c>
      <c r="E805" s="2" t="inlineStr">
        <is>
          <t>ug/m3</t>
        </is>
      </c>
      <c r="F805" s="2" t="inlineStr">
        <is>
          <t>EEA station files (AirBase, E1a), retrieved 6 Oct 2026</t>
        </is>
      </c>
      <c r="G805" s="2" t="inlineStr">
        <is>
          <t>fall 34.5%; coverage 89.3% and 96.2%</t>
        </is>
      </c>
      <c r="H805" s="2" t="inlineStr"/>
    </row>
    <row r="806">
      <c r="A806" s="5" t="inlineStr">
        <is>
          <t>CC-035</t>
        </is>
      </c>
      <c r="B806" s="2" t="inlineStr">
        <is>
          <t>CC-035:53</t>
        </is>
      </c>
      <c r="C806" s="2" t="inlineStr">
        <is>
          <t>Three-station mean minus EEA PWC, years with full coverage</t>
        </is>
      </c>
      <c r="D806" s="2" t="inlineStr">
        <is>
          <t>-0.96 to +1.25</t>
        </is>
      </c>
      <c r="E806" s="2" t="inlineStr">
        <is>
          <t>ug/m3</t>
        </is>
      </c>
      <c r="F806" s="2" t="inlineStr">
        <is>
          <t>calculated</t>
        </is>
      </c>
      <c r="G806" s="2" t="inlineStr">
        <is>
          <t>13 years: 2010, 2011, 2013, 2014, 2015, 2016, 2017, 2018, 2019, 2020, 2021, 2022, 2023. Not an independent check: the map interpolates between these stations</t>
        </is>
      </c>
      <c r="H806" s="2" t="inlineStr"/>
    </row>
    <row r="807">
      <c r="A807" s="5" t="inlineStr">
        <is>
          <t>CC-035</t>
        </is>
      </c>
      <c r="B807" s="2" t="inlineStr">
        <is>
          <t>CC-035:54</t>
        </is>
      </c>
      <c r="C807" s="2" t="inlineStr">
        <is>
          <t>Station type in EEA metadata: MT00002 (PM10 only; closed) (MT00002)</t>
        </is>
      </c>
      <c r="D807" s="2" t="inlineStr">
        <is>
          <t>not in the current metadata</t>
        </is>
      </c>
      <c r="E807" s="2" t="inlineStr">
        <is>
          <t>type</t>
        </is>
      </c>
      <c r="F807" s="2" t="inlineStr">
        <is>
          <t>EEA station metadata (PanEuropean_metadata.csv), retrieved 6 Oct 2026</t>
        </is>
      </c>
      <c r="G807" s="2" t="inlineStr"/>
      <c r="H807" s="2" t="inlineStr"/>
    </row>
    <row r="808">
      <c r="A808" s="5" t="inlineStr">
        <is>
          <t>CC-035</t>
        </is>
      </c>
      <c r="B808" s="2" t="inlineStr">
        <is>
          <t>CC-035:55</t>
        </is>
      </c>
      <c r="C808" s="2" t="inlineStr">
        <is>
          <t>Station type in EEA metadata: Kordin (MT00003)</t>
        </is>
      </c>
      <c r="D808" s="2" t="inlineStr">
        <is>
          <t>industrial urban</t>
        </is>
      </c>
      <c r="E808" s="2" t="inlineStr">
        <is>
          <t>type</t>
        </is>
      </c>
      <c r="F808" s="2" t="inlineStr">
        <is>
          <t>EEA station metadata (PanEuropean_metadata.csv), retrieved 6 Oct 2026</t>
        </is>
      </c>
      <c r="G808" s="2" t="inlineStr"/>
      <c r="H808" s="2" t="inlineStr"/>
    </row>
    <row r="809">
      <c r="A809" s="5" t="inlineStr">
        <is>
          <t>CC-035</t>
        </is>
      </c>
      <c r="B809" s="2" t="inlineStr">
        <is>
          <t>CC-035:56</t>
        </is>
      </c>
      <c r="C809" s="2" t="inlineStr">
        <is>
          <t>Station type in EEA metadata: Żejtun (MT00004)</t>
        </is>
      </c>
      <c r="D809" s="2" t="inlineStr">
        <is>
          <t>background urban</t>
        </is>
      </c>
      <c r="E809" s="2" t="inlineStr">
        <is>
          <t>type</t>
        </is>
      </c>
      <c r="F809" s="2" t="inlineStr">
        <is>
          <t>EEA station metadata (PanEuropean_metadata.csv), retrieved 6 Oct 2026</t>
        </is>
      </c>
      <c r="G809" s="2" t="inlineStr">
        <is>
          <t>SPP-MT_A_BETA_enviroMP101M (2006-07-01 to open); SPP-MT_A_light-scat_GRIMM-EDM280 (no date to open); SPP-MT_N_gravi_leckelSEQ47-50 (2014-01-01 to open)</t>
        </is>
      </c>
      <c r="H809" s="2" t="inlineStr"/>
    </row>
    <row r="810">
      <c r="A810" s="5" t="inlineStr">
        <is>
          <t>CC-035</t>
        </is>
      </c>
      <c r="B810" s="2" t="inlineStr">
        <is>
          <t>CC-035:57</t>
        </is>
      </c>
      <c r="C810" s="2" t="inlineStr">
        <is>
          <t>Station type in EEA metadata: Msida (MT00005)</t>
        </is>
      </c>
      <c r="D810" s="2" t="inlineStr">
        <is>
          <t>traffic urban</t>
        </is>
      </c>
      <c r="E810" s="2" t="inlineStr">
        <is>
          <t>type</t>
        </is>
      </c>
      <c r="F810" s="2" t="inlineStr">
        <is>
          <t>EEA station metadata (PanEuropean_metadata.csv), retrieved 6 Oct 2026</t>
        </is>
      </c>
      <c r="G810" s="2" t="inlineStr">
        <is>
          <t>SPP-MT_A_BETA_enviroMP101M (2006-07-01 to 2021-09-23); SPP-MT_A_light-scat_GRIMM-EDM180C (2021-09-24 to open); SPP-MT_A_light-scat_GRIMM-EDM280 (no date to open); SPP-MT_N_gravi_leckelSEQ47-50 (2014-01-01 to open)</t>
        </is>
      </c>
      <c r="H810" s="2" t="inlineStr"/>
    </row>
    <row r="811">
      <c r="A811" s="5" t="inlineStr">
        <is>
          <t>CC-035</t>
        </is>
      </c>
      <c r="B811" s="2" t="inlineStr">
        <is>
          <t>CC-035:58</t>
        </is>
      </c>
      <c r="C811" s="2" t="inlineStr">
        <is>
          <t>Station type in EEA metadata: Għarb (MT00007)</t>
        </is>
      </c>
      <c r="D811" s="2" t="inlineStr">
        <is>
          <t>background rural-regional</t>
        </is>
      </c>
      <c r="E811" s="2" t="inlineStr">
        <is>
          <t>type</t>
        </is>
      </c>
      <c r="F811" s="2" t="inlineStr">
        <is>
          <t>EEA station metadata (PanEuropean_metadata.csv), retrieved 6 Oct 2026</t>
        </is>
      </c>
      <c r="G811" s="2" t="inlineStr">
        <is>
          <t>SPP-MT_A_TEOM-FDMS_TEOM1400AB-FDMS (2007-06-01 to open); SPP-MT_A_light-scat_GRIMM-EDM280 (no date to open); SPP-MT_N_gravi_derendaLVS-3-1 (2014-01-01 to open); atmospheric_relative_humidity_procedure (no date to open)</t>
        </is>
      </c>
      <c r="H811" s="2" t="inlineStr"/>
    </row>
    <row r="812">
      <c r="A812" s="5" t="inlineStr">
        <is>
          <t>CC-035</t>
        </is>
      </c>
      <c r="B812" s="2" t="inlineStr">
        <is>
          <t>CC-035:59</t>
        </is>
      </c>
      <c r="C812" s="2" t="inlineStr">
        <is>
          <t>Station type in EEA metadata: Attard (MT00008)</t>
        </is>
      </c>
      <c r="D812" s="2" t="inlineStr">
        <is>
          <t>background urban</t>
        </is>
      </c>
      <c r="E812" s="2" t="inlineStr">
        <is>
          <t>type</t>
        </is>
      </c>
      <c r="F812" s="2" t="inlineStr">
        <is>
          <t>EEA station metadata (PanEuropean_metadata.csv), retrieved 6 Oct 2026</t>
        </is>
      </c>
      <c r="G812" s="2" t="inlineStr">
        <is>
          <t>SPP-MT_A_TEOM-FDMS_TEOM1400AB-FDMS (2015-01-01 to open); SPP-MT_A_light-scat_GRIMM-EDM280 (no date to open); SPP-MT_N_gravi_partisol2025 (2021-01-01 to open)</t>
        </is>
      </c>
      <c r="H812" s="2" t="inlineStr"/>
    </row>
    <row r="813">
      <c r="A813" s="5" t="inlineStr">
        <is>
          <t>CC-035</t>
        </is>
      </c>
      <c r="B813" s="2" t="inlineStr">
        <is>
          <t>CC-035:60</t>
        </is>
      </c>
      <c r="C813" s="2" t="inlineStr">
        <is>
          <t>Station type in EEA metadata: St Paul's Bay (MT00009)</t>
        </is>
      </c>
      <c r="D813" s="2" t="inlineStr">
        <is>
          <t>traffic urban</t>
        </is>
      </c>
      <c r="E813" s="2" t="inlineStr">
        <is>
          <t>type</t>
        </is>
      </c>
      <c r="F813" s="2" t="inlineStr">
        <is>
          <t>EEA station metadata (PanEuropean_metadata.csv), retrieved 6 Oct 2026</t>
        </is>
      </c>
      <c r="G813" s="2" t="inlineStr">
        <is>
          <t>SPP-MT_A_light-scat_FIDAS200E (2022-02-15 to open); SPP-MT_N_gravi_MCZ-M-PNS-LVS16 (2022-01-01 to open)</t>
        </is>
      </c>
      <c r="H813" s="2" t="inlineStr"/>
    </row>
    <row r="814">
      <c r="A814" s="5" t="inlineStr">
        <is>
          <t>CC-035</t>
        </is>
      </c>
      <c r="B814" s="2" t="inlineStr">
        <is>
          <t>CC-035:61</t>
        </is>
      </c>
      <c r="C814" s="2" t="inlineStr">
        <is>
          <t>Station type in EEA metadata: Msida (new site) (MT00011)</t>
        </is>
      </c>
      <c r="D814" s="2" t="inlineStr">
        <is>
          <t>not in the current metadata</t>
        </is>
      </c>
      <c r="E814" s="2" t="inlineStr">
        <is>
          <t>type</t>
        </is>
      </c>
      <c r="F814" s="2" t="inlineStr">
        <is>
          <t>EEA station metadata (PanEuropean_metadata.csv), retrieved 6 Oct 2026</t>
        </is>
      </c>
      <c r="G814" s="2" t="inlineStr"/>
      <c r="H814" s="2" t="inlineStr"/>
    </row>
    <row r="815">
      <c r="A815" s="5" t="inlineStr">
        <is>
          <t>CC-035</t>
        </is>
      </c>
      <c r="B815" s="2" t="inlineStr">
        <is>
          <t>CC-035:62</t>
        </is>
      </c>
      <c r="C815" s="2" t="inlineStr">
        <is>
          <t>2023 five-station mean: station types</t>
        </is>
      </c>
      <c r="D815" s="2" t="inlineStr">
        <is>
          <t>2 traffic (Msida, St Paul's Bay), 2 urban background (Żejtun, Attard), 1 rural background (Għarb)</t>
        </is>
      </c>
      <c r="E815" s="2" t="inlineStr">
        <is>
          <t>types</t>
        </is>
      </c>
      <c r="F815" s="2" t="inlineStr">
        <is>
          <t>EEA station metadata (PanEuropean_metadata.csv), retrieved 6 Oct 2026</t>
        </is>
      </c>
      <c r="G815" s="2" t="inlineStr">
        <is>
          <t>unweighted mean, not population-weighted</t>
        </is>
      </c>
      <c r="H815" s="2" t="inlineStr"/>
    </row>
    <row r="816">
      <c r="A816" s="5" t="inlineStr">
        <is>
          <t>CC-035</t>
        </is>
      </c>
      <c r="B816" s="2" t="inlineStr">
        <is>
          <t>CC-035:63</t>
        </is>
      </c>
      <c r="C816" s="2" t="inlineStr">
        <is>
          <t>Msida: PM10 2009 -&gt; 2023</t>
        </is>
      </c>
      <c r="D816" s="2" t="inlineStr">
        <is>
          <t>42.49 -&gt; 43.7</t>
        </is>
      </c>
      <c r="E816" s="2" t="inlineStr">
        <is>
          <t>ug/m3</t>
        </is>
      </c>
      <c r="F816" s="2" t="inlineStr">
        <is>
          <t>EEA station files (AirBase, E1a), retrieved 6 Oct 2026</t>
        </is>
      </c>
      <c r="G816" s="2" t="inlineStr">
        <is>
          <t>coverage 85.8% and 98.4%; PM2.5 22.45 -&gt; 13.86 (-38.3%, coverage 84.4%)</t>
        </is>
      </c>
      <c r="H816" s="2" t="inlineStr"/>
    </row>
    <row r="817">
      <c r="A817" s="5" t="inlineStr">
        <is>
          <t>CC-035</t>
        </is>
      </c>
      <c r="B817" s="2" t="inlineStr">
        <is>
          <t>CC-035:64</t>
        </is>
      </c>
      <c r="C817" s="2" t="inlineStr">
        <is>
          <t>Żejtun: PM10 2007 -&gt; 2023</t>
        </is>
      </c>
      <c r="D817" s="2" t="inlineStr">
        <is>
          <t>29.3 -&gt; 28.73</t>
        </is>
      </c>
      <c r="E817" s="2" t="inlineStr">
        <is>
          <t>ug/m3</t>
        </is>
      </c>
      <c r="F817" s="2" t="inlineStr">
        <is>
          <t>EEA station files (AirBase, E1a), retrieved 6 Oct 2026</t>
        </is>
      </c>
      <c r="G817" s="2" t="inlineStr">
        <is>
          <t>coverage 93.2% and 99.7%; PM2.5 18.2 -&gt; 10.93 (-39.9%, coverage 66.8%)</t>
        </is>
      </c>
      <c r="H817" s="2" t="inlineStr"/>
    </row>
    <row r="818">
      <c r="A818" s="5" t="inlineStr">
        <is>
          <t>CC-035</t>
        </is>
      </c>
      <c r="B818" s="2" t="inlineStr">
        <is>
          <t>CC-035:65</t>
        </is>
      </c>
      <c r="C818" s="2" t="inlineStr">
        <is>
          <t>Msida: PM2.5/PM10 ratio of annual means, 2007</t>
        </is>
      </c>
      <c r="D818" s="2" t="inlineStr">
        <is>
          <t>0.535</t>
        </is>
      </c>
      <c r="E818" s="2" t="inlineStr">
        <is>
          <t>ratio</t>
        </is>
      </c>
      <c r="F818" s="2" t="inlineStr">
        <is>
          <t>EEA station files (AirBase, E1a), retrieved 6 Oct 2026</t>
        </is>
      </c>
      <c r="G818" s="2" t="inlineStr">
        <is>
          <t>PM2.5 coverage 86.3%, PM10 64.9%; different valid days</t>
        </is>
      </c>
      <c r="H818" s="2" t="inlineStr"/>
    </row>
    <row r="819">
      <c r="A819" s="5" t="inlineStr">
        <is>
          <t>CC-035</t>
        </is>
      </c>
      <c r="B819" s="2" t="inlineStr">
        <is>
          <t>CC-035:66</t>
        </is>
      </c>
      <c r="C819" s="2" t="inlineStr">
        <is>
          <t>Żejtun: PM2.5/PM10 ratio of annual means, 2007</t>
        </is>
      </c>
      <c r="D819" s="2" t="inlineStr">
        <is>
          <t>0.621</t>
        </is>
      </c>
      <c r="E819" s="2" t="inlineStr">
        <is>
          <t>ratio</t>
        </is>
      </c>
      <c r="F819" s="2" t="inlineStr">
        <is>
          <t>EEA station files (AirBase, E1a), retrieved 6 Oct 2026</t>
        </is>
      </c>
      <c r="G819" s="2" t="inlineStr">
        <is>
          <t>PM2.5 coverage 66.8%, PM10 93.2%; different valid days</t>
        </is>
      </c>
      <c r="H819" s="2" t="inlineStr"/>
    </row>
    <row r="820">
      <c r="A820" s="5" t="inlineStr">
        <is>
          <t>CC-035</t>
        </is>
      </c>
      <c r="B820" s="2" t="inlineStr">
        <is>
          <t>CC-035:67</t>
        </is>
      </c>
      <c r="C820" s="2" t="inlineStr">
        <is>
          <t>Indicative 2005 PM2.5 at MT00002 (PM10 only; closed) (2005 PM10 49.02 x 2007 ratios)</t>
        </is>
      </c>
      <c r="D820" s="2" t="inlineStr">
        <is>
          <t>26.2-30.4</t>
        </is>
      </c>
      <c r="E820" s="2" t="inlineStr">
        <is>
          <t>ug/m3</t>
        </is>
      </c>
      <c r="F820" s="2" t="inlineStr">
        <is>
          <t>calculated</t>
        </is>
      </c>
      <c r="G820" s="2" t="inlineStr">
        <is>
          <t>map value for Malta 21.0; site type: not in the current metadata; indicative only</t>
        </is>
      </c>
      <c r="H820" s="2" t="inlineStr"/>
    </row>
    <row r="821">
      <c r="A821" s="5" t="inlineStr">
        <is>
          <t>CC-035</t>
        </is>
      </c>
      <c r="B821" s="2" t="inlineStr">
        <is>
          <t>CC-035:68</t>
        </is>
      </c>
      <c r="C821" s="2" t="inlineStr">
        <is>
          <t>Indicative 2005 PM2.5 at Kordin (2005 PM10 42.4 x 2007 ratios)</t>
        </is>
      </c>
      <c r="D821" s="2" t="inlineStr">
        <is>
          <t>22.7-26.3</t>
        </is>
      </c>
      <c r="E821" s="2" t="inlineStr">
        <is>
          <t>ug/m3</t>
        </is>
      </c>
      <c r="F821" s="2" t="inlineStr">
        <is>
          <t>calculated</t>
        </is>
      </c>
      <c r="G821" s="2" t="inlineStr">
        <is>
          <t>map value for Malta 21.0; site type: industrial urban; indicative only</t>
        </is>
      </c>
      <c r="H821" s="2" t="inlineStr"/>
    </row>
    <row r="822">
      <c r="A822" s="5" t="inlineStr">
        <is>
          <t>CC-035</t>
        </is>
      </c>
      <c r="B822" s="2" t="inlineStr">
        <is>
          <t>CC-035:69</t>
        </is>
      </c>
      <c r="C822" s="2" t="inlineStr">
        <is>
          <t>Malta primary PM2.5 emissions, national total, 2005 -&gt; 2023</t>
        </is>
      </c>
      <c r="D822" s="2" t="inlineStr">
        <is>
          <t>750 -&gt; 310</t>
        </is>
      </c>
      <c r="E822" s="2" t="inlineStr">
        <is>
          <t>tonnes</t>
        </is>
      </c>
      <c r="F822" s="2" t="inlineStr">
        <is>
          <t>Eurostat env_air_emis (NECD inventory), retrieved 6 Oct 2026</t>
        </is>
      </c>
      <c r="G822" s="2" t="inlineStr">
        <is>
          <t>fall 58.7%; flags: none/none</t>
        </is>
      </c>
      <c r="H822" s="2" t="inlineStr"/>
    </row>
    <row r="823">
      <c r="A823" s="5" t="inlineStr">
        <is>
          <t>CC-035</t>
        </is>
      </c>
      <c r="B823" s="2" t="inlineStr">
        <is>
          <t>CC-035:70</t>
        </is>
      </c>
      <c r="C823" s="2" t="inlineStr">
        <is>
          <t>Of which public electricity and heat production (NFR 1A1a), 2005 -&gt; 2023</t>
        </is>
      </c>
      <c r="D823" s="2" t="inlineStr">
        <is>
          <t>420 -&gt; 3</t>
        </is>
      </c>
      <c r="E823" s="2" t="inlineStr">
        <is>
          <t>tonnes</t>
        </is>
      </c>
      <c r="F823" s="2" t="inlineStr">
        <is>
          <t>Eurostat env_air_emis, retrieved 6 Oct 2026</t>
        </is>
      </c>
      <c r="G823" s="2" t="inlineStr"/>
      <c r="H823" s="2" t="inlineStr"/>
    </row>
    <row r="824">
      <c r="A824" s="5" t="inlineStr">
        <is>
          <t>CC-037</t>
        </is>
      </c>
      <c r="B824" s="2" t="inlineStr">
        <is>
          <t>CC-037:2</t>
        </is>
      </c>
      <c r="C824" s="2" t="inlineStr">
        <is>
          <t>Malta: share reporting pollution, grime or other environmental problems, 2023</t>
        </is>
      </c>
      <c r="D824" s="2" t="inlineStr">
        <is>
          <t>34.7</t>
        </is>
      </c>
      <c r="E824" s="2" t="inlineStr">
        <is>
          <t>%</t>
        </is>
      </c>
      <c r="F824" s="2" t="inlineStr">
        <is>
          <t>Eurostat ilc_mddw02 (EU-SILC), retrieved 5 Oct 2026</t>
        </is>
      </c>
      <c r="G824" s="2" t="inlineStr">
        <is>
          <t>no Eurostat flag</t>
        </is>
      </c>
      <c r="H824" s="2" t="inlineStr"/>
    </row>
    <row r="825">
      <c r="A825" s="5" t="inlineStr">
        <is>
          <t>CC-037</t>
        </is>
      </c>
      <c r="B825" s="2" t="inlineStr">
        <is>
          <t>CC-037:3</t>
        </is>
      </c>
      <c r="C825" s="2" t="inlineStr">
        <is>
          <t>EU-27: same, 2023</t>
        </is>
      </c>
      <c r="D825" s="2" t="inlineStr">
        <is>
          <t>12.2</t>
        </is>
      </c>
      <c r="E825" s="2" t="inlineStr">
        <is>
          <t>%</t>
        </is>
      </c>
      <c r="F825" s="2" t="inlineStr">
        <is>
          <t>Eurostat ilc_mddw02 (EU-SILC), retrieved 5 Oct 2026</t>
        </is>
      </c>
      <c r="G825" s="2" t="inlineStr">
        <is>
          <t>no Eurostat flag</t>
        </is>
      </c>
      <c r="H825" s="2" t="inlineStr"/>
    </row>
    <row r="826">
      <c r="A826" s="5" t="inlineStr">
        <is>
          <t>CC-037</t>
        </is>
      </c>
      <c r="B826" s="2" t="inlineStr">
        <is>
          <t>CC-037:4</t>
        </is>
      </c>
      <c r="C826" s="2" t="inlineStr">
        <is>
          <t>Countries with data for 2023 (EU-27)</t>
        </is>
      </c>
      <c r="D826" s="2" t="inlineStr">
        <is>
          <t>27</t>
        </is>
      </c>
      <c r="E826" s="2" t="inlineStr">
        <is>
          <t>count</t>
        </is>
      </c>
      <c r="F826" s="2" t="inlineStr">
        <is>
          <t>Eurostat ilc_mddw02 (EU-SILC), retrieved 5 Oct 2026</t>
        </is>
      </c>
      <c r="G826" s="2" t="inlineStr"/>
      <c r="H826" s="2" t="inlineStr"/>
    </row>
    <row r="827">
      <c r="A827" s="5" t="inlineStr">
        <is>
          <t>CC-037</t>
        </is>
      </c>
      <c r="B827" s="2" t="inlineStr">
        <is>
          <t>CC-037:5</t>
        </is>
      </c>
      <c r="C827" s="2" t="inlineStr">
        <is>
          <t>Malta rank among EU-27, 2023 (1 = highest)</t>
        </is>
      </c>
      <c r="D827" s="2" t="inlineStr">
        <is>
          <t>1</t>
        </is>
      </c>
      <c r="E827" s="2" t="inlineStr">
        <is>
          <t>rank</t>
        </is>
      </c>
      <c r="F827" s="2" t="inlineStr">
        <is>
          <t>Eurostat ilc_mddw02 (EU-SILC), retrieved 5 Oct 2026</t>
        </is>
      </c>
      <c r="G827" s="2" t="inlineStr"/>
      <c r="H827" s="2" t="inlineStr"/>
    </row>
    <row r="828">
      <c r="A828" s="5" t="inlineStr">
        <is>
          <t>CC-037</t>
        </is>
      </c>
      <c r="B828" s="2" t="inlineStr">
        <is>
          <t>CC-037:6</t>
        </is>
      </c>
      <c r="C828" s="2" t="inlineStr">
        <is>
          <t>Second-highest EU-27 country, 2023</t>
        </is>
      </c>
      <c r="D828" s="2" t="inlineStr">
        <is>
          <t>20.5</t>
        </is>
      </c>
      <c r="E828" s="2" t="inlineStr">
        <is>
          <t>%</t>
        </is>
      </c>
      <c r="F828" s="2" t="inlineStr">
        <is>
          <t>Eurostat ilc_mddw02 (EU-SILC), retrieved 5 Oct 2026</t>
        </is>
      </c>
      <c r="G828" s="2" t="inlineStr">
        <is>
          <t>EL</t>
        </is>
      </c>
      <c r="H828" s="2" t="inlineStr"/>
    </row>
    <row r="829">
      <c r="A829" s="5" t="inlineStr">
        <is>
          <t>CC-037</t>
        </is>
      </c>
      <c r="B829" s="2" t="inlineStr">
        <is>
          <t>CC-037:7</t>
        </is>
      </c>
      <c r="C829" s="2" t="inlineStr">
        <is>
          <t>Third-highest EU-27 country, 2023</t>
        </is>
      </c>
      <c r="D829" s="2" t="inlineStr">
        <is>
          <t>16.8</t>
        </is>
      </c>
      <c r="E829" s="2" t="inlineStr">
        <is>
          <t>%</t>
        </is>
      </c>
      <c r="F829" s="2" t="inlineStr">
        <is>
          <t>Eurostat ilc_mddw02 (EU-SILC), retrieved 5 Oct 2026</t>
        </is>
      </c>
      <c r="G829" s="2" t="inlineStr">
        <is>
          <t>DE; flag 'u' (u = low reliability)</t>
        </is>
      </c>
      <c r="H829" s="2" t="inlineStr"/>
    </row>
    <row r="830">
      <c r="A830" s="5" t="inlineStr">
        <is>
          <t>CC-037</t>
        </is>
      </c>
      <c r="B830" s="2" t="inlineStr">
        <is>
          <t>CC-037:8</t>
        </is>
      </c>
      <c r="C830" s="2" t="inlineStr">
        <is>
          <t>Fourth-highest EU-27 country, 2023</t>
        </is>
      </c>
      <c r="D830" s="2" t="inlineStr">
        <is>
          <t>16.0</t>
        </is>
      </c>
      <c r="E830" s="2" t="inlineStr">
        <is>
          <t>%</t>
        </is>
      </c>
      <c r="F830" s="2" t="inlineStr">
        <is>
          <t>Eurostat ilc_mddw02 (EU-SILC), retrieved 5 Oct 2026</t>
        </is>
      </c>
      <c r="G830" s="2" t="inlineStr">
        <is>
          <t>FR</t>
        </is>
      </c>
      <c r="H830" s="2" t="inlineStr"/>
    </row>
    <row r="831">
      <c r="A831" s="5" t="inlineStr">
        <is>
          <t>CC-037</t>
        </is>
      </c>
      <c r="B831" s="2" t="inlineStr">
        <is>
          <t>CC-037:9</t>
        </is>
      </c>
      <c r="C831" s="2" t="inlineStr">
        <is>
          <t>Malta minus second-highest, 2023</t>
        </is>
      </c>
      <c r="D831" s="2" t="inlineStr">
        <is>
          <t>14.2</t>
        </is>
      </c>
      <c r="E831" s="2" t="inlineStr">
        <is>
          <t>pp</t>
        </is>
      </c>
      <c r="F831" s="2" t="inlineStr">
        <is>
          <t>calculated</t>
        </is>
      </c>
      <c r="G831" s="2" t="inlineStr"/>
      <c r="H831" s="2" t="inlineStr"/>
    </row>
    <row r="832">
      <c r="A832" s="5" t="inlineStr">
        <is>
          <t>CC-037</t>
        </is>
      </c>
      <c r="B832" s="2" t="inlineStr">
        <is>
          <t>CC-037:10</t>
        </is>
      </c>
      <c r="C832" s="2" t="inlineStr">
        <is>
          <t>Malta / EU-27 ratio, 2023</t>
        </is>
      </c>
      <c r="D832" s="2" t="inlineStr">
        <is>
          <t>2.84</t>
        </is>
      </c>
      <c r="E832" s="2" t="inlineStr">
        <is>
          <t>x</t>
        </is>
      </c>
      <c r="F832" s="2" t="inlineStr">
        <is>
          <t>calculated</t>
        </is>
      </c>
      <c r="G832" s="2" t="inlineStr">
        <is>
          <t>'nearly three times' tested</t>
        </is>
      </c>
      <c r="H832" s="2" t="inlineStr"/>
    </row>
    <row r="833">
      <c r="A833" s="5" t="inlineStr">
        <is>
          <t>CC-037</t>
        </is>
      </c>
      <c r="B833" s="2" t="inlineStr">
        <is>
          <t>CC-037:11</t>
        </is>
      </c>
      <c r="C833" s="2" t="inlineStr">
        <is>
          <t>Ratio on Amphora's rounded figures (35 / 12)</t>
        </is>
      </c>
      <c r="D833" s="2" t="inlineStr">
        <is>
          <t>2.92</t>
        </is>
      </c>
      <c r="E833" s="2" t="inlineStr">
        <is>
          <t>x</t>
        </is>
      </c>
      <c r="F833" s="2" t="inlineStr">
        <is>
          <t>calculated</t>
        </is>
      </c>
      <c r="G833" s="2" t="inlineStr"/>
      <c r="H833" s="2" t="inlineStr"/>
    </row>
    <row r="834">
      <c r="A834" s="5" t="inlineStr">
        <is>
          <t>CC-037</t>
        </is>
      </c>
      <c r="B834" s="2" t="inlineStr">
        <is>
          <t>CC-037:12</t>
        </is>
      </c>
      <c r="C834" s="2" t="inlineStr">
        <is>
          <t>Malta rank among every country in the dataset, 2023</t>
        </is>
      </c>
      <c r="D834" s="2" t="inlineStr">
        <is>
          <t>1</t>
        </is>
      </c>
      <c r="E834" s="2" t="inlineStr">
        <is>
          <t>of 34</t>
        </is>
      </c>
      <c r="F834" s="2" t="inlineStr">
        <is>
          <t>Eurostat ilc_mddw02 (EU-SILC), retrieved 5 Oct 2026</t>
        </is>
      </c>
      <c r="G834" s="2" t="inlineStr">
        <is>
          <t>highest non-EU: TR 19.8%</t>
        </is>
      </c>
      <c r="H834" s="2" t="inlineStr"/>
    </row>
    <row r="835">
      <c r="A835" s="5" t="inlineStr">
        <is>
          <t>CC-037</t>
        </is>
      </c>
      <c r="B835" s="2" t="inlineStr">
        <is>
          <t>CC-037:13</t>
        </is>
      </c>
      <c r="C835" s="2" t="inlineStr">
        <is>
          <t>Malta rank among EU-27 with data, 2005</t>
        </is>
      </c>
      <c r="D835" s="2" t="inlineStr">
        <is>
          <t>1</t>
        </is>
      </c>
      <c r="E835" s="2" t="inlineStr">
        <is>
          <t>of 25</t>
        </is>
      </c>
      <c r="F835" s="2" t="inlineStr">
        <is>
          <t>Eurostat ilc_mddw02 (EU-SILC), retrieved 5 Oct 2026</t>
        </is>
      </c>
      <c r="G835" s="2" t="inlineStr">
        <is>
          <t>Malta 33.9%; EU-27 n/a; second LV 28.0%; no data for HR, RO</t>
        </is>
      </c>
      <c r="H835" s="2" t="inlineStr"/>
    </row>
    <row r="836">
      <c r="A836" s="5" t="inlineStr">
        <is>
          <t>CC-037</t>
        </is>
      </c>
      <c r="B836" s="2" t="inlineStr">
        <is>
          <t>CC-037:14</t>
        </is>
      </c>
      <c r="C836" s="2" t="inlineStr">
        <is>
          <t>Malta rank among EU-27 with data, 2006</t>
        </is>
      </c>
      <c r="D836" s="2" t="inlineStr">
        <is>
          <t>1</t>
        </is>
      </c>
      <c r="E836" s="2" t="inlineStr">
        <is>
          <t>of 25</t>
        </is>
      </c>
      <c r="F836" s="2" t="inlineStr">
        <is>
          <t>Eurostat ilc_mddw02 (EU-SILC), retrieved 5 Oct 2026</t>
        </is>
      </c>
      <c r="G836" s="2" t="inlineStr">
        <is>
          <t>Malta 38.6%; EU-27 n/a; second LV 33.2%; no data for HR, RO</t>
        </is>
      </c>
      <c r="H836" s="2" t="inlineStr"/>
    </row>
    <row r="837">
      <c r="A837" s="5" t="inlineStr">
        <is>
          <t>CC-037</t>
        </is>
      </c>
      <c r="B837" s="2" t="inlineStr">
        <is>
          <t>CC-037:15</t>
        </is>
      </c>
      <c r="C837" s="2" t="inlineStr">
        <is>
          <t>Malta rank among EU-27 with data, 2007</t>
        </is>
      </c>
      <c r="D837" s="2" t="inlineStr">
        <is>
          <t>1</t>
        </is>
      </c>
      <c r="E837" s="2" t="inlineStr">
        <is>
          <t>of 26</t>
        </is>
      </c>
      <c r="F837" s="2" t="inlineStr">
        <is>
          <t>Eurostat ilc_mddw02 (EU-SILC), retrieved 5 Oct 2026</t>
        </is>
      </c>
      <c r="G837" s="2" t="inlineStr">
        <is>
          <t>Malta 35.4%; EU-27 n/a; second LV 34.0%; no data for HR</t>
        </is>
      </c>
      <c r="H837" s="2" t="inlineStr"/>
    </row>
    <row r="838">
      <c r="A838" s="5" t="inlineStr">
        <is>
          <t>CC-037</t>
        </is>
      </c>
      <c r="B838" s="2" t="inlineStr">
        <is>
          <t>CC-037:16</t>
        </is>
      </c>
      <c r="C838" s="2" t="inlineStr">
        <is>
          <t>Malta rank among EU-27 with data, 2008</t>
        </is>
      </c>
      <c r="D838" s="2" t="inlineStr">
        <is>
          <t>1</t>
        </is>
      </c>
      <c r="E838" s="2" t="inlineStr">
        <is>
          <t>of 26</t>
        </is>
      </c>
      <c r="F838" s="2" t="inlineStr">
        <is>
          <t>Eurostat ilc_mddw02 (EU-SILC), retrieved 5 Oct 2026</t>
        </is>
      </c>
      <c r="G838" s="2" t="inlineStr">
        <is>
          <t>Malta 35.8%; EU-27 n/a; second LV 34.8%; no data for HR</t>
        </is>
      </c>
      <c r="H838" s="2" t="inlineStr"/>
    </row>
    <row r="839">
      <c r="A839" s="5" t="inlineStr">
        <is>
          <t>CC-037</t>
        </is>
      </c>
      <c r="B839" s="2" t="inlineStr">
        <is>
          <t>CC-037:17</t>
        </is>
      </c>
      <c r="C839" s="2" t="inlineStr">
        <is>
          <t>Malta rank among EU-27 with data, 2009</t>
        </is>
      </c>
      <c r="D839" s="2" t="inlineStr">
        <is>
          <t>1</t>
        </is>
      </c>
      <c r="E839" s="2" t="inlineStr">
        <is>
          <t>of 26</t>
        </is>
      </c>
      <c r="F839" s="2" t="inlineStr">
        <is>
          <t>Eurostat ilc_mddw02 (EU-SILC), retrieved 5 Oct 2026</t>
        </is>
      </c>
      <c r="G839" s="2" t="inlineStr">
        <is>
          <t>Malta 38.4%; EU-27 n/a; second LV 30.3%; no data for HR</t>
        </is>
      </c>
      <c r="H839" s="2" t="inlineStr"/>
    </row>
    <row r="840">
      <c r="A840" s="5" t="inlineStr">
        <is>
          <t>CC-037</t>
        </is>
      </c>
      <c r="B840" s="2" t="inlineStr">
        <is>
          <t>CC-037:18</t>
        </is>
      </c>
      <c r="C840" s="2" t="inlineStr">
        <is>
          <t>Malta rank among EU-27 with data, 2010</t>
        </is>
      </c>
      <c r="D840" s="2" t="inlineStr">
        <is>
          <t>1</t>
        </is>
      </c>
      <c r="E840" s="2" t="inlineStr">
        <is>
          <t>of 27</t>
        </is>
      </c>
      <c r="F840" s="2" t="inlineStr">
        <is>
          <t>Eurostat ilc_mddw02 (EU-SILC), retrieved 5 Oct 2026</t>
        </is>
      </c>
      <c r="G840" s="2" t="inlineStr">
        <is>
          <t>Malta 41.1%; EU-27 15.2% (flag 'e'); second LV 28.5%</t>
        </is>
      </c>
      <c r="H840" s="2" t="inlineStr"/>
    </row>
    <row r="841">
      <c r="A841" s="5" t="inlineStr">
        <is>
          <t>CC-037</t>
        </is>
      </c>
      <c r="B841" s="2" t="inlineStr">
        <is>
          <t>CC-037:19</t>
        </is>
      </c>
      <c r="C841" s="2" t="inlineStr">
        <is>
          <t>Malta rank among EU-27 with data, 2011</t>
        </is>
      </c>
      <c r="D841" s="2" t="inlineStr">
        <is>
          <t>1</t>
        </is>
      </c>
      <c r="E841" s="2" t="inlineStr">
        <is>
          <t>of 27</t>
        </is>
      </c>
      <c r="F841" s="2" t="inlineStr">
        <is>
          <t>Eurostat ilc_mddw02 (EU-SILC), retrieved 5 Oct 2026</t>
        </is>
      </c>
      <c r="G841" s="2" t="inlineStr">
        <is>
          <t>Malta 41.4%; EU-27 15.6% (flag 'e'); second EL 25.3%</t>
        </is>
      </c>
      <c r="H841" s="2" t="inlineStr"/>
    </row>
    <row r="842">
      <c r="A842" s="5" t="inlineStr">
        <is>
          <t>CC-037</t>
        </is>
      </c>
      <c r="B842" s="2" t="inlineStr">
        <is>
          <t>CC-037:20</t>
        </is>
      </c>
      <c r="C842" s="2" t="inlineStr">
        <is>
          <t>Malta rank among EU-27 with data, 2012</t>
        </is>
      </c>
      <c r="D842" s="2" t="inlineStr">
        <is>
          <t>1</t>
        </is>
      </c>
      <c r="E842" s="2" t="inlineStr">
        <is>
          <t>of 27</t>
        </is>
      </c>
      <c r="F842" s="2" t="inlineStr">
        <is>
          <t>Eurostat ilc_mddw02 (EU-SILC), retrieved 5 Oct 2026</t>
        </is>
      </c>
      <c r="G842" s="2" t="inlineStr">
        <is>
          <t>Malta 39.6%; EU-27 14.8% (flag 'e'); second EL 25.9%</t>
        </is>
      </c>
      <c r="H842" s="2" t="inlineStr"/>
    </row>
    <row r="843">
      <c r="A843" s="5" t="inlineStr">
        <is>
          <t>CC-037</t>
        </is>
      </c>
      <c r="B843" s="2" t="inlineStr">
        <is>
          <t>CC-037:21</t>
        </is>
      </c>
      <c r="C843" s="2" t="inlineStr">
        <is>
          <t>Malta rank among EU-27 with data, 2013</t>
        </is>
      </c>
      <c r="D843" s="2" t="inlineStr">
        <is>
          <t>1</t>
        </is>
      </c>
      <c r="E843" s="2" t="inlineStr">
        <is>
          <t>of 27</t>
        </is>
      </c>
      <c r="F843" s="2" t="inlineStr">
        <is>
          <t>Eurostat ilc_mddw02 (EU-SILC), retrieved 5 Oct 2026</t>
        </is>
      </c>
      <c r="G843" s="2" t="inlineStr">
        <is>
          <t>Malta 40.2%; EU-27 15.1% (flag 'e'); second EL 26.5%</t>
        </is>
      </c>
      <c r="H843" s="2" t="inlineStr"/>
    </row>
    <row r="844">
      <c r="A844" s="5" t="inlineStr">
        <is>
          <t>CC-037</t>
        </is>
      </c>
      <c r="B844" s="2" t="inlineStr">
        <is>
          <t>CC-037:22</t>
        </is>
      </c>
      <c r="C844" s="2" t="inlineStr">
        <is>
          <t>Malta rank among EU-27 with data, 2014</t>
        </is>
      </c>
      <c r="D844" s="2" t="inlineStr">
        <is>
          <t>1</t>
        </is>
      </c>
      <c r="E844" s="2" t="inlineStr">
        <is>
          <t>of 27</t>
        </is>
      </c>
      <c r="F844" s="2" t="inlineStr">
        <is>
          <t>Eurostat ilc_mddw02 (EU-SILC), retrieved 5 Oct 2026</t>
        </is>
      </c>
      <c r="G844" s="2" t="inlineStr">
        <is>
          <t>Malta 37.4%; EU-27 15.2% (flag 'e'); second EL 23.2%</t>
        </is>
      </c>
      <c r="H844" s="2" t="inlineStr"/>
    </row>
    <row r="845">
      <c r="A845" s="5" t="inlineStr">
        <is>
          <t>CC-037</t>
        </is>
      </c>
      <c r="B845" s="2" t="inlineStr">
        <is>
          <t>CC-037:23</t>
        </is>
      </c>
      <c r="C845" s="2" t="inlineStr">
        <is>
          <t>Malta rank among EU-27 with data, 2015</t>
        </is>
      </c>
      <c r="D845" s="2" t="inlineStr">
        <is>
          <t>1</t>
        </is>
      </c>
      <c r="E845" s="2" t="inlineStr">
        <is>
          <t>of 27</t>
        </is>
      </c>
      <c r="F845" s="2" t="inlineStr">
        <is>
          <t>Eurostat ilc_mddw02 (EU-SILC), retrieved 5 Oct 2026</t>
        </is>
      </c>
      <c r="G845" s="2" t="inlineStr">
        <is>
          <t>Malta 32.4%; EU-27 15.0% (flag 'e'); second DE 23.4%</t>
        </is>
      </c>
      <c r="H845" s="2" t="inlineStr"/>
    </row>
    <row r="846">
      <c r="A846" s="5" t="inlineStr">
        <is>
          <t>CC-037</t>
        </is>
      </c>
      <c r="B846" s="2" t="inlineStr">
        <is>
          <t>CC-037:24</t>
        </is>
      </c>
      <c r="C846" s="2" t="inlineStr">
        <is>
          <t>Malta rank among EU-27 with data, 2016</t>
        </is>
      </c>
      <c r="D846" s="2" t="inlineStr">
        <is>
          <t>1</t>
        </is>
      </c>
      <c r="E846" s="2" t="inlineStr">
        <is>
          <t>of 27</t>
        </is>
      </c>
      <c r="F846" s="2" t="inlineStr">
        <is>
          <t>Eurostat ilc_mddw02 (EU-SILC), retrieved 5 Oct 2026</t>
        </is>
      </c>
      <c r="G846" s="2" t="inlineStr">
        <is>
          <t>Malta 30.2%; EU-27 14.7% (flag 'e'); second DE 23.2%</t>
        </is>
      </c>
      <c r="H846" s="2" t="inlineStr"/>
    </row>
    <row r="847">
      <c r="A847" s="5" t="inlineStr">
        <is>
          <t>CC-037</t>
        </is>
      </c>
      <c r="B847" s="2" t="inlineStr">
        <is>
          <t>CC-037:25</t>
        </is>
      </c>
      <c r="C847" s="2" t="inlineStr">
        <is>
          <t>Malta rank among EU-27 with data, 2017</t>
        </is>
      </c>
      <c r="D847" s="2" t="inlineStr">
        <is>
          <t>1</t>
        </is>
      </c>
      <c r="E847" s="2" t="inlineStr">
        <is>
          <t>of 27</t>
        </is>
      </c>
      <c r="F847" s="2" t="inlineStr">
        <is>
          <t>Eurostat ilc_mddw02 (EU-SILC), retrieved 5 Oct 2026</t>
        </is>
      </c>
      <c r="G847" s="2" t="inlineStr">
        <is>
          <t>Malta 26.5%; EU-27 14.2% (flag 'e'); second DE 24.5%</t>
        </is>
      </c>
      <c r="H847" s="2" t="inlineStr"/>
    </row>
    <row r="848">
      <c r="A848" s="5" t="inlineStr">
        <is>
          <t>CC-037</t>
        </is>
      </c>
      <c r="B848" s="2" t="inlineStr">
        <is>
          <t>CC-037:26</t>
        </is>
      </c>
      <c r="C848" s="2" t="inlineStr">
        <is>
          <t>Malta rank among EU-27 with data, 2018</t>
        </is>
      </c>
      <c r="D848" s="2" t="inlineStr">
        <is>
          <t>1</t>
        </is>
      </c>
      <c r="E848" s="2" t="inlineStr">
        <is>
          <t>of 27</t>
        </is>
      </c>
      <c r="F848" s="2" t="inlineStr">
        <is>
          <t>Eurostat ilc_mddw02 (EU-SILC), retrieved 5 Oct 2026</t>
        </is>
      </c>
      <c r="G848" s="2" t="inlineStr">
        <is>
          <t>Malta 29.7%; EU-27 15.0% (flag 'e'); second DE 24.8%</t>
        </is>
      </c>
      <c r="H848" s="2" t="inlineStr"/>
    </row>
    <row r="849">
      <c r="A849" s="5" t="inlineStr">
        <is>
          <t>CC-037</t>
        </is>
      </c>
      <c r="B849" s="2" t="inlineStr">
        <is>
          <t>CC-037:27</t>
        </is>
      </c>
      <c r="C849" s="2" t="inlineStr">
        <is>
          <t>Malta rank among EU-27 with data, 2019</t>
        </is>
      </c>
      <c r="D849" s="2" t="inlineStr">
        <is>
          <t>1</t>
        </is>
      </c>
      <c r="E849" s="2" t="inlineStr">
        <is>
          <t>of 27</t>
        </is>
      </c>
      <c r="F849" s="2" t="inlineStr">
        <is>
          <t>Eurostat ilc_mddw02 (EU-SILC), retrieved 5 Oct 2026</t>
        </is>
      </c>
      <c r="G849" s="2" t="inlineStr">
        <is>
          <t>Malta 33.9%; EU-27 15.1% (flag 'e'); second DE 25.2%</t>
        </is>
      </c>
      <c r="H849" s="2" t="inlineStr"/>
    </row>
    <row r="850">
      <c r="A850" s="5" t="inlineStr">
        <is>
          <t>CC-037</t>
        </is>
      </c>
      <c r="B850" s="2" t="inlineStr">
        <is>
          <t>CC-037:28</t>
        </is>
      </c>
      <c r="C850" s="2" t="inlineStr">
        <is>
          <t>Malta rank among EU-27 with data, 2020</t>
        </is>
      </c>
      <c r="D850" s="2" t="inlineStr">
        <is>
          <t>1</t>
        </is>
      </c>
      <c r="E850" s="2" t="inlineStr">
        <is>
          <t>of 26</t>
        </is>
      </c>
      <c r="F850" s="2" t="inlineStr">
        <is>
          <t>Eurostat ilc_mddw02 (EU-SILC), retrieved 5 Oct 2026</t>
        </is>
      </c>
      <c r="G850" s="2" t="inlineStr">
        <is>
          <t>Malta 31.6%; EU-27 13.7% (flag 'e'); second EL 20.2%; no data for PL</t>
        </is>
      </c>
      <c r="H850" s="2" t="inlineStr"/>
    </row>
    <row r="851">
      <c r="A851" s="5" t="inlineStr">
        <is>
          <t>CC-037</t>
        </is>
      </c>
      <c r="B851" s="2" t="inlineStr">
        <is>
          <t>CC-037:29</t>
        </is>
      </c>
      <c r="C851" s="2" t="inlineStr">
        <is>
          <t>Malta rank among EU-27 with data, 2023</t>
        </is>
      </c>
      <c r="D851" s="2" t="inlineStr">
        <is>
          <t>1</t>
        </is>
      </c>
      <c r="E851" s="2" t="inlineStr">
        <is>
          <t>of 27</t>
        </is>
      </c>
      <c r="F851" s="2" t="inlineStr">
        <is>
          <t>Eurostat ilc_mddw02 (EU-SILC), retrieved 5 Oct 2026</t>
        </is>
      </c>
      <c r="G851" s="2" t="inlineStr">
        <is>
          <t>Malta 34.7%; EU-27 12.2%; second EL 20.5%</t>
        </is>
      </c>
      <c r="H851" s="2" t="inlineStr"/>
    </row>
    <row r="852">
      <c r="A852" s="5" t="inlineStr">
        <is>
          <t>CC-037</t>
        </is>
      </c>
      <c r="B852" s="2" t="inlineStr">
        <is>
          <t>CC-037:30</t>
        </is>
      </c>
      <c r="C852" s="2" t="inlineStr">
        <is>
          <t>Malta: survey years 2005-2023 ranked first among EU-27 countries with data</t>
        </is>
      </c>
      <c r="D852" s="2" t="inlineStr">
        <is>
          <t>17</t>
        </is>
      </c>
      <c r="E852" s="2" t="inlineStr">
        <is>
          <t>years</t>
        </is>
      </c>
      <c r="F852" s="2" t="inlineStr">
        <is>
          <t>Eurostat ilc_mddw02 (EU-SILC), retrieved 5 Oct 2026</t>
        </is>
      </c>
      <c r="G852" s="2" t="inlineStr">
        <is>
          <t>of 17 years with data; 2021 and 2022 not collected</t>
        </is>
      </c>
      <c r="H852" s="2" t="inlineStr"/>
    </row>
    <row r="853">
      <c r="A853" s="5" t="inlineStr">
        <is>
          <t>CC-037</t>
        </is>
      </c>
      <c r="B853" s="2" t="inlineStr">
        <is>
          <t>CC-037:31</t>
        </is>
      </c>
      <c r="C853" s="2" t="inlineStr">
        <is>
          <t>Malta: years without data, 2005-2023</t>
        </is>
      </c>
      <c r="D853" s="2" t="inlineStr">
        <is>
          <t>2021, 2022</t>
        </is>
      </c>
      <c r="E853" s="2" t="inlineStr">
        <is>
          <t>years</t>
        </is>
      </c>
      <c r="F853" s="2" t="inlineStr">
        <is>
          <t>Eurostat ilc_mddw02 (EU-SILC), retrieved 5 Oct 2026</t>
        </is>
      </c>
      <c r="G853" s="2" t="inlineStr">
        <is>
          <t>item moved to the three-yearly module 'Labour market and housing' (collected 2023, 2026)</t>
        </is>
      </c>
      <c r="H853" s="2" t="inlineStr"/>
    </row>
    <row r="854">
      <c r="A854" s="5" t="inlineStr">
        <is>
          <t>CC-037</t>
        </is>
      </c>
      <c r="B854" s="2" t="inlineStr">
        <is>
          <t>CC-037:32</t>
        </is>
      </c>
      <c r="C854" s="2" t="inlineStr">
        <is>
          <t>Eurostat flags on the Malta series, 2005-2023</t>
        </is>
      </c>
      <c r="D854" s="2" t="inlineStr">
        <is>
          <t>none</t>
        </is>
      </c>
      <c r="E854" s="2" t="inlineStr">
        <is>
          <t>flags</t>
        </is>
      </c>
      <c r="F854" s="2" t="inlineStr">
        <is>
          <t>Eurostat ilc_mddw02 (EU-SILC), retrieved 5 Oct 2026</t>
        </is>
      </c>
      <c r="G854" s="2" t="inlineStr"/>
      <c r="H854" s="2" t="inlineStr"/>
    </row>
    <row r="855">
      <c r="A855" s="5" t="inlineStr">
        <is>
          <t>CC-037</t>
        </is>
      </c>
      <c r="B855" s="2" t="inlineStr">
        <is>
          <t>CC-037:33</t>
        </is>
      </c>
      <c r="C855" s="2" t="inlineStr">
        <is>
          <t>Eurostat flags on the EU-27 series</t>
        </is>
      </c>
      <c r="D855" s="2" t="inlineStr">
        <is>
          <t>2010:e, 2011:e, 2012:e, 2013:e, 2014:e, 2015:e, 2016:e, 2017:e, 2018:e, 2019:e, 2020:e</t>
        </is>
      </c>
      <c r="E855" s="2" t="inlineStr">
        <is>
          <t>flags</t>
        </is>
      </c>
      <c r="F855" s="2" t="inlineStr">
        <is>
          <t>Eurostat ilc_mddw02 (EU-SILC), retrieved 5 Oct 2026</t>
        </is>
      </c>
      <c r="G855" s="2" t="inlineStr">
        <is>
          <t>e = estimated</t>
        </is>
      </c>
      <c r="H855" s="2" t="inlineStr"/>
    </row>
    <row r="856">
      <c r="A856" s="5" t="inlineStr">
        <is>
          <t>CC-037</t>
        </is>
      </c>
      <c r="B856" s="2" t="inlineStr">
        <is>
          <t>CC-037:34</t>
        </is>
      </c>
      <c r="C856" s="2" t="inlineStr">
        <is>
          <t>EU-27 change, 2019 to 2023</t>
        </is>
      </c>
      <c r="D856" s="2" t="inlineStr">
        <is>
          <t>15.1 -&gt; 12.2</t>
        </is>
      </c>
      <c r="E856" s="2" t="inlineStr">
        <is>
          <t>%</t>
        </is>
      </c>
      <c r="F856" s="2" t="inlineStr">
        <is>
          <t>Eurostat ilc_mddw02 (EU-SILC), retrieved 5 Oct 2026</t>
        </is>
      </c>
      <c r="G856" s="2" t="inlineStr">
        <is>
          <t>Eurostat news release 1 Sep 2025: 15.1% to 12.2%</t>
        </is>
      </c>
      <c r="H856" s="2" t="inlineStr"/>
    </row>
    <row r="857">
      <c r="A857" s="5" t="inlineStr">
        <is>
          <t>CC-037</t>
        </is>
      </c>
      <c r="B857" s="2" t="inlineStr">
        <is>
          <t>CC-037:35</t>
        </is>
      </c>
      <c r="C857" s="2" t="inlineStr">
        <is>
          <t>Malta: series peak</t>
        </is>
      </c>
      <c r="D857" s="2" t="inlineStr">
        <is>
          <t>41.4</t>
        </is>
      </c>
      <c r="E857" s="2" t="inlineStr">
        <is>
          <t>%</t>
        </is>
      </c>
      <c r="F857" s="2" t="inlineStr">
        <is>
          <t>Eurostat ilc_mddw02 (EU-SILC), retrieved 5 Oct 2026</t>
        </is>
      </c>
      <c r="G857" s="2" t="inlineStr">
        <is>
          <t>2011</t>
        </is>
      </c>
      <c r="H857" s="2" t="inlineStr"/>
    </row>
    <row r="858">
      <c r="A858" s="5" t="inlineStr">
        <is>
          <t>CC-037</t>
        </is>
      </c>
      <c r="B858" s="2" t="inlineStr">
        <is>
          <t>CC-037:36</t>
        </is>
      </c>
      <c r="C858" s="2" t="inlineStr">
        <is>
          <t>Malta: series low</t>
        </is>
      </c>
      <c r="D858" s="2" t="inlineStr">
        <is>
          <t>26.5</t>
        </is>
      </c>
      <c r="E858" s="2" t="inlineStr">
        <is>
          <t>%</t>
        </is>
      </c>
      <c r="F858" s="2" t="inlineStr">
        <is>
          <t>Eurostat ilc_mddw02 (EU-SILC), retrieved 5 Oct 2026</t>
        </is>
      </c>
      <c r="G858" s="2" t="inlineStr">
        <is>
          <t>2017</t>
        </is>
      </c>
      <c r="H858" s="2" t="inlineStr"/>
    </row>
    <row r="859">
      <c r="A859" s="5" t="inlineStr">
        <is>
          <t>CC-037</t>
        </is>
      </c>
      <c r="B859" s="2" t="inlineStr">
        <is>
          <t>CC-037:37</t>
        </is>
      </c>
      <c r="C859" s="2" t="inlineStr">
        <is>
          <t>Malta 2023 vs 2017 (series low)</t>
        </is>
      </c>
      <c r="D859" s="2" t="inlineStr">
        <is>
          <t>8.2</t>
        </is>
      </c>
      <c r="E859" s="2" t="inlineStr">
        <is>
          <t>pp</t>
        </is>
      </c>
      <c r="F859" s="2" t="inlineStr">
        <is>
          <t>Eurostat ilc_mddw02 (EU-SILC), retrieved 5 Oct 2026</t>
        </is>
      </c>
      <c r="G859" s="2" t="inlineStr">
        <is>
          <t>26.5% in 2017</t>
        </is>
      </c>
      <c r="H859" s="2" t="inlineStr"/>
    </row>
    <row r="860">
      <c r="A860" s="5" t="inlineStr">
        <is>
          <t>CC-037</t>
        </is>
      </c>
      <c r="B860" s="2" t="inlineStr">
        <is>
          <t>CC-037:38</t>
        </is>
      </c>
      <c r="C860" s="2" t="inlineStr">
        <is>
          <t>Malta: latest earlier year with a higher share than 2023</t>
        </is>
      </c>
      <c r="D860" s="2" t="inlineStr">
        <is>
          <t>2014</t>
        </is>
      </c>
      <c r="E860" s="2" t="inlineStr">
        <is>
          <t>year</t>
        </is>
      </c>
      <c r="F860" s="2" t="inlineStr">
        <is>
          <t>Eurostat ilc_mddw02 (EU-SILC), retrieved 5 Oct 2026</t>
        </is>
      </c>
      <c r="G860" s="2" t="inlineStr">
        <is>
          <t>37.4%; every year 2015-2020 was lower than 2023's 34.7%</t>
        </is>
      </c>
      <c r="H860" s="2" t="inlineStr"/>
    </row>
    <row r="861">
      <c r="A861" s="5" t="inlineStr">
        <is>
          <t>CC-037</t>
        </is>
      </c>
      <c r="B861" s="2" t="inlineStr">
        <is>
          <t>CC-037:39</t>
        </is>
      </c>
      <c r="C861" s="2" t="inlineStr">
        <is>
          <t>Malta: 2010-2014 range</t>
        </is>
      </c>
      <c r="D861" s="2" t="inlineStr">
        <is>
          <t>37.4-41.4</t>
        </is>
      </c>
      <c r="E861" s="2" t="inlineStr">
        <is>
          <t>%</t>
        </is>
      </c>
      <c r="F861" s="2" t="inlineStr">
        <is>
          <t>Eurostat ilc_mddw02 (EU-SILC), retrieved 5 Oct 2026</t>
        </is>
      </c>
      <c r="G861" s="2" t="inlineStr"/>
      <c r="H861" s="2" t="inlineStr"/>
    </row>
    <row r="862">
      <c r="A862" s="5" t="inlineStr">
        <is>
          <t>CC-037</t>
        </is>
      </c>
      <c r="B862" s="2" t="inlineStr">
        <is>
          <t>CC-037:40</t>
        </is>
      </c>
      <c r="C862" s="2" t="inlineStr">
        <is>
          <t>Malta: people above 60% of median income, 2023</t>
        </is>
      </c>
      <c r="D862" s="2" t="inlineStr">
        <is>
          <t>35.6</t>
        </is>
      </c>
      <c r="E862" s="2" t="inlineStr">
        <is>
          <t>%</t>
        </is>
      </c>
      <c r="F862" s="2" t="inlineStr">
        <is>
          <t>Eurostat ilc_mddw02 (EU-SILC), retrieved 5 Oct 2026</t>
        </is>
      </c>
      <c r="G862" s="2" t="inlineStr">
        <is>
          <t>Amphora: 'high-earning households were more affected'</t>
        </is>
      </c>
      <c r="H862" s="2" t="inlineStr"/>
    </row>
    <row r="863">
      <c r="A863" s="5" t="inlineStr">
        <is>
          <t>CC-037</t>
        </is>
      </c>
      <c r="B863" s="2" t="inlineStr">
        <is>
          <t>CC-037:41</t>
        </is>
      </c>
      <c r="C863" s="2" t="inlineStr">
        <is>
          <t>Malta: people below 60% of median income (at risk of poverty), 2023</t>
        </is>
      </c>
      <c r="D863" s="2" t="inlineStr">
        <is>
          <t>30.1</t>
        </is>
      </c>
      <c r="E863" s="2" t="inlineStr">
        <is>
          <t>%</t>
        </is>
      </c>
      <c r="F863" s="2" t="inlineStr">
        <is>
          <t>Eurostat ilc_mddw02 (EU-SILC), retrieved 5 Oct 2026</t>
        </is>
      </c>
      <c r="G863" s="2" t="inlineStr"/>
      <c r="H863" s="2" t="inlineStr"/>
    </row>
    <row r="864">
      <c r="A864" s="5" t="inlineStr">
        <is>
          <t>CC-037</t>
        </is>
      </c>
      <c r="B864" s="2" t="inlineStr">
        <is>
          <t>CC-037:42</t>
        </is>
      </c>
      <c r="C864" s="2" t="inlineStr">
        <is>
          <t>Malta: above minus below, 2023</t>
        </is>
      </c>
      <c r="D864" s="2" t="inlineStr">
        <is>
          <t>5.5</t>
        </is>
      </c>
      <c r="E864" s="2" t="inlineStr">
        <is>
          <t>pp</t>
        </is>
      </c>
      <c r="F864" s="2" t="inlineStr">
        <is>
          <t>calculated</t>
        </is>
      </c>
      <c r="G864" s="2" t="inlineStr">
        <is>
          <t>Eurostat Statistics Explained: Malta 5.5 pp lower for people at risk of poverty</t>
        </is>
      </c>
      <c r="H864" s="2" t="inlineStr"/>
    </row>
    <row r="865">
      <c r="A865" s="5" t="inlineStr">
        <is>
          <t>CC-037</t>
        </is>
      </c>
      <c r="B865" s="2" t="inlineStr">
        <is>
          <t>CC-037:43</t>
        </is>
      </c>
      <c r="C865" s="2" t="inlineStr">
        <is>
          <t>Malta: at-risk-of-poverty rate, 2023</t>
        </is>
      </c>
      <c r="D865" s="2" t="inlineStr">
        <is>
          <t>16.6</t>
        </is>
      </c>
      <c r="E865" s="2" t="inlineStr">
        <is>
          <t>%</t>
        </is>
      </c>
      <c r="F865" s="2" t="inlineStr">
        <is>
          <t>Eurostat ilc_li02 (EU-SILC), retrieved 5 Oct 2026</t>
        </is>
      </c>
      <c r="G865" s="2" t="inlineStr">
        <is>
          <t>share of people below 60% of median income</t>
        </is>
      </c>
      <c r="H865" s="2" t="inlineStr"/>
    </row>
    <row r="866">
      <c r="A866" s="5" t="inlineStr">
        <is>
          <t>CC-037</t>
        </is>
      </c>
      <c r="B866" s="2" t="inlineStr">
        <is>
          <t>CC-037:44</t>
        </is>
      </c>
      <c r="C866" s="2" t="inlineStr">
        <is>
          <t>Malta: share of people in the 'above 60%' group, 2023</t>
        </is>
      </c>
      <c r="D866" s="2" t="inlineStr">
        <is>
          <t>83.4</t>
        </is>
      </c>
      <c r="E866" s="2" t="inlineStr">
        <is>
          <t>%</t>
        </is>
      </c>
      <c r="F866" s="2" t="inlineStr">
        <is>
          <t>calculated</t>
        </is>
      </c>
      <c r="G866" s="2" t="inlineStr"/>
      <c r="H866" s="2" t="inlineStr"/>
    </row>
    <row r="867">
      <c r="A867" s="5" t="inlineStr">
        <is>
          <t>CC-037</t>
        </is>
      </c>
      <c r="B867" s="2" t="inlineStr">
        <is>
          <t>CC-037:45</t>
        </is>
      </c>
      <c r="C867" s="2" t="inlineStr">
        <is>
          <t>EU-27: at-risk-of-poverty rate, 2023</t>
        </is>
      </c>
      <c r="D867" s="2" t="inlineStr">
        <is>
          <t>16.2</t>
        </is>
      </c>
      <c r="E867" s="2" t="inlineStr">
        <is>
          <t>%</t>
        </is>
      </c>
      <c r="F867" s="2" t="inlineStr">
        <is>
          <t>Eurostat ilc_li02 (EU-SILC), retrieved 5 Oct 2026</t>
        </is>
      </c>
      <c r="G867" s="2" t="inlineStr"/>
      <c r="H867" s="2" t="inlineStr"/>
    </row>
    <row r="868">
      <c r="A868" s="5" t="inlineStr">
        <is>
          <t>CC-037</t>
        </is>
      </c>
      <c r="B868" s="2" t="inlineStr">
        <is>
          <t>CC-037:46</t>
        </is>
      </c>
      <c r="C868" s="2" t="inlineStr">
        <is>
          <t>Malta: years in which people below 60% reported more than people above</t>
        </is>
      </c>
      <c r="D868" s="2" t="inlineStr">
        <is>
          <t>6 of 17</t>
        </is>
      </c>
      <c r="E868" s="2" t="inlineStr">
        <is>
          <t>years</t>
        </is>
      </c>
      <c r="F868" s="2" t="inlineStr">
        <is>
          <t>Eurostat ilc_mddw02 (EU-SILC), retrieved 5 Oct 2026</t>
        </is>
      </c>
      <c r="G868" s="2" t="inlineStr">
        <is>
          <t>2006, 2007, 2009, 2010, 2016, 2018</t>
        </is>
      </c>
      <c r="H868" s="2" t="inlineStr"/>
    </row>
    <row r="869">
      <c r="A869" s="5" t="inlineStr">
        <is>
          <t>CC-037</t>
        </is>
      </c>
      <c r="B869" s="2" t="inlineStr">
        <is>
          <t>CC-037:47</t>
        </is>
      </c>
      <c r="C869" s="2" t="inlineStr">
        <is>
          <t>EU-27: above / below 60% of median income, 2023</t>
        </is>
      </c>
      <c r="D869" s="2" t="inlineStr">
        <is>
          <t>11.8 / 14.0</t>
        </is>
      </c>
      <c r="E869" s="2" t="inlineStr">
        <is>
          <t>%</t>
        </is>
      </c>
      <c r="F869" s="2" t="inlineStr">
        <is>
          <t>Eurostat ilc_mddw02 (EU-SILC), retrieved 5 Oct 2026</t>
        </is>
      </c>
      <c r="G869" s="2" t="inlineStr">
        <is>
          <t>the opposite direction to Malta</t>
        </is>
      </c>
      <c r="H869" s="2" t="inlineStr"/>
    </row>
    <row r="870">
      <c r="A870" s="5" t="inlineStr">
        <is>
          <t>CC-039</t>
        </is>
      </c>
      <c r="B870" s="2" t="inlineStr">
        <is>
          <t>CC-039:2</t>
        </is>
      </c>
      <c r="C870" s="2" t="inlineStr">
        <is>
          <t>Pledged cut</t>
        </is>
      </c>
      <c r="D870" s="2" t="inlineStr">
        <is>
          <t>4.0</t>
        </is>
      </c>
      <c r="E870" s="2" t="inlineStr">
        <is>
          <t>million m3 a year</t>
        </is>
      </c>
      <c r="F870" s="2" t="inlineStr">
        <is>
          <t>WSC 2 Apr 2019</t>
        </is>
      </c>
      <c r="G870" s="2" t="inlineStr">
        <is>
          <t>4 billion litres = 4.0 million m3</t>
        </is>
      </c>
      <c r="H870" s="2" t="inlineStr"/>
    </row>
    <row r="871">
      <c r="A871" s="5" t="inlineStr">
        <is>
          <t>CC-039</t>
        </is>
      </c>
      <c r="B871" s="2" t="inlineStr">
        <is>
          <t>CC-039:3</t>
        </is>
      </c>
      <c r="C871" s="2" t="inlineStr">
        <is>
          <t>WSC groundwater production 2022</t>
        </is>
      </c>
      <c r="D871" s="2" t="inlineStr">
        <is>
          <t>12.676</t>
        </is>
      </c>
      <c r="E871" s="2" t="inlineStr">
        <is>
          <t>million m3</t>
        </is>
      </c>
      <c r="F871" s="2" t="inlineStr">
        <is>
          <t>WSC AR 2016, AR 2025 Fig 20</t>
        </is>
      </c>
      <c r="G871" s="2" t="inlineStr"/>
      <c r="H871" s="2" t="inlineStr"/>
    </row>
    <row r="872">
      <c r="A872" s="5" t="inlineStr">
        <is>
          <t>CC-039</t>
        </is>
      </c>
      <c r="B872" s="2" t="inlineStr">
        <is>
          <t>CC-039:4</t>
        </is>
      </c>
      <c r="C872" s="2" t="inlineStr">
        <is>
          <t>Change vs 2016 (13.505)</t>
        </is>
      </c>
      <c r="D872" s="2" t="inlineStr">
        <is>
          <t>-0.83</t>
        </is>
      </c>
      <c r="E872" s="2" t="inlineStr">
        <is>
          <t>million m3</t>
        </is>
      </c>
      <c r="F872" s="2" t="inlineStr">
        <is>
          <t>calculated</t>
        </is>
      </c>
      <c r="G872" s="2" t="inlineStr"/>
      <c r="H872" s="2" t="inlineStr"/>
    </row>
    <row r="873">
      <c r="A873" s="5" t="inlineStr">
        <is>
          <t>CC-039</t>
        </is>
      </c>
      <c r="B873" s="2" t="inlineStr">
        <is>
          <t>CC-039:5</t>
        </is>
      </c>
      <c r="C873" s="2" t="inlineStr">
        <is>
          <t>Change vs 2016 as share of the 4.0 pledged</t>
        </is>
      </c>
      <c r="D873" s="2" t="inlineStr">
        <is>
          <t>20.74</t>
        </is>
      </c>
      <c r="E873" s="2" t="inlineStr">
        <is>
          <t>%</t>
        </is>
      </c>
      <c r="F873" s="2" t="inlineStr">
        <is>
          <t>calculated</t>
        </is>
      </c>
      <c r="G873" s="2" t="inlineStr">
        <is>
          <t>positive = fall</t>
        </is>
      </c>
      <c r="H873" s="2" t="inlineStr"/>
    </row>
    <row r="874">
      <c r="A874" s="5" t="inlineStr">
        <is>
          <t>CC-039</t>
        </is>
      </c>
      <c r="B874" s="2" t="inlineStr">
        <is>
          <t>CC-039:6</t>
        </is>
      </c>
      <c r="C874" s="2" t="inlineStr">
        <is>
          <t>WSC groundwater production 2023</t>
        </is>
      </c>
      <c r="D874" s="2" t="inlineStr">
        <is>
          <t>13.157</t>
        </is>
      </c>
      <c r="E874" s="2" t="inlineStr">
        <is>
          <t>million m3</t>
        </is>
      </c>
      <c r="F874" s="2" t="inlineStr">
        <is>
          <t>WSC AR 2016, AR 2025 Fig 20</t>
        </is>
      </c>
      <c r="G874" s="2" t="inlineStr"/>
      <c r="H874" s="2" t="inlineStr"/>
    </row>
    <row r="875">
      <c r="A875" s="5" t="inlineStr">
        <is>
          <t>CC-039</t>
        </is>
      </c>
      <c r="B875" s="2" t="inlineStr">
        <is>
          <t>CC-039:7</t>
        </is>
      </c>
      <c r="C875" s="2" t="inlineStr">
        <is>
          <t>Change vs 2016 (13.505)</t>
        </is>
      </c>
      <c r="D875" s="2" t="inlineStr">
        <is>
          <t>-0.348</t>
        </is>
      </c>
      <c r="E875" s="2" t="inlineStr">
        <is>
          <t>million m3</t>
        </is>
      </c>
      <c r="F875" s="2" t="inlineStr">
        <is>
          <t>calculated</t>
        </is>
      </c>
      <c r="G875" s="2" t="inlineStr"/>
      <c r="H875" s="2" t="inlineStr"/>
    </row>
    <row r="876">
      <c r="A876" s="5" t="inlineStr">
        <is>
          <t>CC-039</t>
        </is>
      </c>
      <c r="B876" s="2" t="inlineStr">
        <is>
          <t>CC-039:8</t>
        </is>
      </c>
      <c r="C876" s="2" t="inlineStr">
        <is>
          <t>Change vs 2016 as share of the 4.0 pledged</t>
        </is>
      </c>
      <c r="D876" s="2" t="inlineStr">
        <is>
          <t>8.7</t>
        </is>
      </c>
      <c r="E876" s="2" t="inlineStr">
        <is>
          <t>%</t>
        </is>
      </c>
      <c r="F876" s="2" t="inlineStr">
        <is>
          <t>calculated</t>
        </is>
      </c>
      <c r="G876" s="2" t="inlineStr">
        <is>
          <t>positive = fall</t>
        </is>
      </c>
      <c r="H876" s="2" t="inlineStr"/>
    </row>
    <row r="877">
      <c r="A877" s="5" t="inlineStr">
        <is>
          <t>CC-039</t>
        </is>
      </c>
      <c r="B877" s="2" t="inlineStr">
        <is>
          <t>CC-039:9</t>
        </is>
      </c>
      <c r="C877" s="2" t="inlineStr">
        <is>
          <t>WSC groundwater production 2024</t>
        </is>
      </c>
      <c r="D877" s="2" t="inlineStr">
        <is>
          <t>13.094</t>
        </is>
      </c>
      <c r="E877" s="2" t="inlineStr">
        <is>
          <t>million m3</t>
        </is>
      </c>
      <c r="F877" s="2" t="inlineStr">
        <is>
          <t>WSC AR 2016, AR 2025 Fig 20</t>
        </is>
      </c>
      <c r="G877" s="2" t="inlineStr"/>
      <c r="H877" s="2" t="inlineStr"/>
    </row>
    <row r="878">
      <c r="A878" s="5" t="inlineStr">
        <is>
          <t>CC-039</t>
        </is>
      </c>
      <c r="B878" s="2" t="inlineStr">
        <is>
          <t>CC-039:10</t>
        </is>
      </c>
      <c r="C878" s="2" t="inlineStr">
        <is>
          <t>Change vs 2016 (13.505)</t>
        </is>
      </c>
      <c r="D878" s="2" t="inlineStr">
        <is>
          <t>-0.411</t>
        </is>
      </c>
      <c r="E878" s="2" t="inlineStr">
        <is>
          <t>million m3</t>
        </is>
      </c>
      <c r="F878" s="2" t="inlineStr">
        <is>
          <t>calculated</t>
        </is>
      </c>
      <c r="G878" s="2" t="inlineStr"/>
      <c r="H878" s="2" t="inlineStr"/>
    </row>
    <row r="879">
      <c r="A879" s="5" t="inlineStr">
        <is>
          <t>CC-039</t>
        </is>
      </c>
      <c r="B879" s="2" t="inlineStr">
        <is>
          <t>CC-039:11</t>
        </is>
      </c>
      <c r="C879" s="2" t="inlineStr">
        <is>
          <t>Change vs 2016 as share of the 4.0 pledged</t>
        </is>
      </c>
      <c r="D879" s="2" t="inlineStr">
        <is>
          <t>10.273</t>
        </is>
      </c>
      <c r="E879" s="2" t="inlineStr">
        <is>
          <t>%</t>
        </is>
      </c>
      <c r="F879" s="2" t="inlineStr">
        <is>
          <t>calculated</t>
        </is>
      </c>
      <c r="G879" s="2" t="inlineStr">
        <is>
          <t>positive = fall</t>
        </is>
      </c>
      <c r="H879" s="2" t="inlineStr"/>
    </row>
    <row r="880">
      <c r="A880" s="5" t="inlineStr">
        <is>
          <t>CC-039</t>
        </is>
      </c>
      <c r="B880" s="2" t="inlineStr">
        <is>
          <t>CC-039:12</t>
        </is>
      </c>
      <c r="C880" s="2" t="inlineStr">
        <is>
          <t>WSC groundwater production 2025</t>
        </is>
      </c>
      <c r="D880" s="2" t="inlineStr">
        <is>
          <t>11.541</t>
        </is>
      </c>
      <c r="E880" s="2" t="inlineStr">
        <is>
          <t>million m3</t>
        </is>
      </c>
      <c r="F880" s="2" t="inlineStr">
        <is>
          <t>WSC AR 2016, AR 2025 Fig 20</t>
        </is>
      </c>
      <c r="G880" s="2" t="inlineStr"/>
      <c r="H880" s="2" t="inlineStr"/>
    </row>
    <row r="881">
      <c r="A881" s="5" t="inlineStr">
        <is>
          <t>CC-039</t>
        </is>
      </c>
      <c r="B881" s="2" t="inlineStr">
        <is>
          <t>CC-039:13</t>
        </is>
      </c>
      <c r="C881" s="2" t="inlineStr">
        <is>
          <t>Change vs 2016 (13.505)</t>
        </is>
      </c>
      <c r="D881" s="2" t="inlineStr">
        <is>
          <t>-1.964</t>
        </is>
      </c>
      <c r="E881" s="2" t="inlineStr">
        <is>
          <t>million m3</t>
        </is>
      </c>
      <c r="F881" s="2" t="inlineStr">
        <is>
          <t>calculated</t>
        </is>
      </c>
      <c r="G881" s="2" t="inlineStr"/>
      <c r="H881" s="2" t="inlineStr"/>
    </row>
    <row r="882">
      <c r="A882" s="5" t="inlineStr">
        <is>
          <t>CC-039</t>
        </is>
      </c>
      <c r="B882" s="2" t="inlineStr">
        <is>
          <t>CC-039:14</t>
        </is>
      </c>
      <c r="C882" s="2" t="inlineStr">
        <is>
          <t>Change vs 2016 as share of the 4.0 pledged</t>
        </is>
      </c>
      <c r="D882" s="2" t="inlineStr">
        <is>
          <t>49.1</t>
        </is>
      </c>
      <c r="E882" s="2" t="inlineStr">
        <is>
          <t>%</t>
        </is>
      </c>
      <c r="F882" s="2" t="inlineStr">
        <is>
          <t>calculated</t>
        </is>
      </c>
      <c r="G882" s="2" t="inlineStr">
        <is>
          <t>positive = fall</t>
        </is>
      </c>
      <c r="H882" s="2" t="inlineStr"/>
    </row>
    <row r="883">
      <c r="A883" s="5" t="inlineStr">
        <is>
          <t>CC-039</t>
        </is>
      </c>
      <c r="B883" s="2" t="inlineStr">
        <is>
          <t>CC-039:15</t>
        </is>
      </c>
      <c r="C883" s="2" t="inlineStr">
        <is>
          <t>WSC groundwater production 2016</t>
        </is>
      </c>
      <c r="D883" s="2" t="inlineStr">
        <is>
          <t>13.505</t>
        </is>
      </c>
      <c r="E883" s="2" t="inlineStr">
        <is>
          <t>million m3</t>
        </is>
      </c>
      <c r="F883" s="2" t="inlineStr">
        <is>
          <t>WSC AR 2016 p.10</t>
        </is>
      </c>
      <c r="G883" s="2" t="inlineStr"/>
      <c r="H883" s="2" t="inlineStr"/>
    </row>
    <row r="884">
      <c r="A884" s="5" t="inlineStr">
        <is>
          <t>CC-039</t>
        </is>
      </c>
      <c r="B884" s="2" t="inlineStr">
        <is>
          <t>CC-039:16</t>
        </is>
      </c>
      <c r="C884" s="2" t="inlineStr">
        <is>
          <t>Groundwater needed for the full cut from 2016 level</t>
        </is>
      </c>
      <c r="D884" s="2" t="inlineStr">
        <is>
          <t>9.505</t>
        </is>
      </c>
      <c r="E884" s="2" t="inlineStr">
        <is>
          <t>million m3</t>
        </is>
      </c>
      <c r="F884" s="2" t="inlineStr">
        <is>
          <t>calculated</t>
        </is>
      </c>
      <c r="G884" s="2" t="inlineStr"/>
      <c r="H884" s="2" t="inlineStr"/>
    </row>
    <row r="885">
      <c r="A885" s="5" t="inlineStr">
        <is>
          <t>CC-039</t>
        </is>
      </c>
      <c r="B885" s="2" t="inlineStr">
        <is>
          <t>CC-039:17</t>
        </is>
      </c>
      <c r="C885" s="2" t="inlineStr">
        <is>
          <t>Pledged cut as share of 2016 WSC groundwater production</t>
        </is>
      </c>
      <c r="D885" s="2" t="inlineStr">
        <is>
          <t>29.618</t>
        </is>
      </c>
      <c r="E885" s="2" t="inlineStr">
        <is>
          <t>%</t>
        </is>
      </c>
      <c r="F885" s="2" t="inlineStr">
        <is>
          <t>calculated</t>
        </is>
      </c>
      <c r="G885" s="2" t="inlineStr"/>
      <c r="H885" s="2" t="inlineStr"/>
    </row>
    <row r="886">
      <c r="A886" s="5" t="inlineStr">
        <is>
          <t>CC-039</t>
        </is>
      </c>
      <c r="B886" s="2" t="inlineStr">
        <is>
          <t>CC-039:18</t>
        </is>
      </c>
      <c r="C886" s="2" t="inlineStr">
        <is>
          <t>WSC total potable production 2016</t>
        </is>
      </c>
      <c r="D886" s="2" t="inlineStr">
        <is>
          <t>32.128</t>
        </is>
      </c>
      <c r="E886" s="2" t="inlineStr">
        <is>
          <t>million m3</t>
        </is>
      </c>
      <c r="F886" s="2" t="inlineStr">
        <is>
          <t>WSC AR 2016</t>
        </is>
      </c>
      <c r="G886" s="2" t="inlineStr"/>
      <c r="H886" s="2" t="inlineStr"/>
    </row>
    <row r="887">
      <c r="A887" s="5" t="inlineStr">
        <is>
          <t>CC-039</t>
        </is>
      </c>
      <c r="B887" s="2" t="inlineStr">
        <is>
          <t>CC-039:19</t>
        </is>
      </c>
      <c r="C887" s="2" t="inlineStr">
        <is>
          <t>WSC total potable production 2025</t>
        </is>
      </c>
      <c r="D887" s="2" t="inlineStr">
        <is>
          <t>39.456</t>
        </is>
      </c>
      <c r="E887" s="2" t="inlineStr">
        <is>
          <t>million m3</t>
        </is>
      </c>
      <c r="F887" s="2" t="inlineStr">
        <is>
          <t>WSC AR 2025</t>
        </is>
      </c>
      <c r="G887" s="2" t="inlineStr"/>
      <c r="H887" s="2" t="inlineStr"/>
    </row>
    <row r="888">
      <c r="A888" s="5" t="inlineStr">
        <is>
          <t>CC-039</t>
        </is>
      </c>
      <c r="B888" s="2" t="inlineStr">
        <is>
          <t>CC-039:20</t>
        </is>
      </c>
      <c r="C888" s="2" t="inlineStr">
        <is>
          <t>Growth in total production 2016-2025</t>
        </is>
      </c>
      <c r="D888" s="2" t="inlineStr">
        <is>
          <t>22.809</t>
        </is>
      </c>
      <c r="E888" s="2" t="inlineStr">
        <is>
          <t>%</t>
        </is>
      </c>
      <c r="F888" s="2" t="inlineStr">
        <is>
          <t>calculated</t>
        </is>
      </c>
      <c r="G888" s="2" t="inlineStr"/>
      <c r="H888" s="2" t="inlineStr"/>
    </row>
    <row r="889">
      <c r="A889" s="5" t="inlineStr">
        <is>
          <t>CC-039</t>
        </is>
      </c>
      <c r="B889" s="2" t="inlineStr">
        <is>
          <t>CC-039:21</t>
        </is>
      </c>
      <c r="C889" s="2" t="inlineStr">
        <is>
          <t>Groundwater share of production 2016</t>
        </is>
      </c>
      <c r="D889" s="2" t="inlineStr">
        <is>
          <t>42.035</t>
        </is>
      </c>
      <c r="E889" s="2" t="inlineStr">
        <is>
          <t>%</t>
        </is>
      </c>
      <c r="F889" s="2" t="inlineStr">
        <is>
          <t>calculated</t>
        </is>
      </c>
      <c r="G889" s="2" t="inlineStr"/>
      <c r="H889" s="2" t="inlineStr"/>
    </row>
    <row r="890">
      <c r="A890" s="5" t="inlineStr">
        <is>
          <t>CC-039</t>
        </is>
      </c>
      <c r="B890" s="2" t="inlineStr">
        <is>
          <t>CC-039:22</t>
        </is>
      </c>
      <c r="C890" s="2" t="inlineStr">
        <is>
          <t>Groundwater share of production 2025</t>
        </is>
      </c>
      <c r="D890" s="2" t="inlineStr">
        <is>
          <t>29.251</t>
        </is>
      </c>
      <c r="E890" s="2" t="inlineStr">
        <is>
          <t>%</t>
        </is>
      </c>
      <c r="F890" s="2" t="inlineStr">
        <is>
          <t>calculated</t>
        </is>
      </c>
      <c r="G890" s="2" t="inlineStr"/>
      <c r="H890" s="2" t="inlineStr"/>
    </row>
    <row r="891">
      <c r="A891" s="5" t="inlineStr">
        <is>
          <t>CC-039</t>
        </is>
      </c>
      <c r="B891" s="2" t="inlineStr">
        <is>
          <t>CC-039:23</t>
        </is>
      </c>
      <c r="C891" s="2" t="inlineStr">
        <is>
          <t>Eurostat public-supply groundwater abstraction 2018</t>
        </is>
      </c>
      <c r="D891" s="2" t="inlineStr">
        <is>
          <t>15.24</t>
        </is>
      </c>
      <c r="E891" s="2" t="inlineStr">
        <is>
          <t>million m3</t>
        </is>
      </c>
      <c r="F891" s="2" t="inlineStr">
        <is>
          <t>Eurostat env_wat_abs</t>
        </is>
      </c>
      <c r="G891" s="2" t="inlineStr">
        <is>
          <t>flag e (estimated)</t>
        </is>
      </c>
      <c r="H891" s="2" t="inlineStr"/>
    </row>
    <row r="892">
      <c r="A892" s="5" t="inlineStr">
        <is>
          <t>CC-039</t>
        </is>
      </c>
      <c r="B892" s="2" t="inlineStr">
        <is>
          <t>CC-039:24</t>
        </is>
      </c>
      <c r="C892" s="2" t="inlineStr">
        <is>
          <t>Eurostat public-supply groundwater abstraction 2019</t>
        </is>
      </c>
      <c r="D892" s="2" t="inlineStr">
        <is>
          <t>15.52</t>
        </is>
      </c>
      <c r="E892" s="2" t="inlineStr">
        <is>
          <t>million m3</t>
        </is>
      </c>
      <c r="F892" s="2" t="inlineStr">
        <is>
          <t>Eurostat env_wat_abs</t>
        </is>
      </c>
      <c r="G892" s="2" t="inlineStr">
        <is>
          <t>flag e (estimated)</t>
        </is>
      </c>
      <c r="H892" s="2" t="inlineStr"/>
    </row>
    <row r="893">
      <c r="A893" s="5" t="inlineStr">
        <is>
          <t>CC-039</t>
        </is>
      </c>
      <c r="B893" s="2" t="inlineStr">
        <is>
          <t>CC-039:25</t>
        </is>
      </c>
      <c r="C893" s="2" t="inlineStr">
        <is>
          <t>Eurostat public-supply groundwater abstraction 2024</t>
        </is>
      </c>
      <c r="D893" s="2" t="inlineStr">
        <is>
          <t>14.28</t>
        </is>
      </c>
      <c r="E893" s="2" t="inlineStr">
        <is>
          <t>million m3</t>
        </is>
      </c>
      <c r="F893" s="2" t="inlineStr">
        <is>
          <t>Eurostat env_wat_abs</t>
        </is>
      </c>
      <c r="G893" s="2" t="inlineStr">
        <is>
          <t>flag e (estimated)</t>
        </is>
      </c>
      <c r="H893" s="2" t="inlineStr"/>
    </row>
    <row r="894">
      <c r="A894" s="5" t="inlineStr">
        <is>
          <t>CC-039</t>
        </is>
      </c>
      <c r="B894" s="2" t="inlineStr">
        <is>
          <t>CC-039:26</t>
        </is>
      </c>
      <c r="C894" s="2" t="inlineStr">
        <is>
          <t>Eurostat public-supply change 2018 to 2024</t>
        </is>
      </c>
      <c r="D894" s="2" t="inlineStr">
        <is>
          <t>-0.96</t>
        </is>
      </c>
      <c r="E894" s="2" t="inlineStr">
        <is>
          <t>million m3</t>
        </is>
      </c>
      <c r="F894" s="2" t="inlineStr">
        <is>
          <t>calculated</t>
        </is>
      </c>
      <c r="G894" s="2" t="inlineStr">
        <is>
          <t>-6.3%</t>
        </is>
      </c>
      <c r="H894" s="2" t="inlineStr"/>
    </row>
    <row r="895">
      <c r="A895" s="5" t="inlineStr">
        <is>
          <t>CC-039</t>
        </is>
      </c>
      <c r="B895" s="2" t="inlineStr">
        <is>
          <t>CC-039:27</t>
        </is>
      </c>
      <c r="C895" s="2" t="inlineStr">
        <is>
          <t>as share of the 4.0 pledged</t>
        </is>
      </c>
      <c r="D895" s="2" t="inlineStr">
        <is>
          <t>24.0</t>
        </is>
      </c>
      <c r="E895" s="2" t="inlineStr">
        <is>
          <t>%</t>
        </is>
      </c>
      <c r="F895" s="2" t="inlineStr">
        <is>
          <t>calculated</t>
        </is>
      </c>
      <c r="G895" s="2" t="inlineStr"/>
      <c r="H895" s="2" t="inlineStr"/>
    </row>
    <row r="896">
      <c r="A896" s="5" t="inlineStr">
        <is>
          <t>CC-039</t>
        </is>
      </c>
      <c r="B896" s="2" t="inlineStr">
        <is>
          <t>CC-039:28</t>
        </is>
      </c>
      <c r="C896" s="2" t="inlineStr">
        <is>
          <t>Eurostat public-supply change 2019 to 2024</t>
        </is>
      </c>
      <c r="D896" s="2" t="inlineStr">
        <is>
          <t>-1.24</t>
        </is>
      </c>
      <c r="E896" s="2" t="inlineStr">
        <is>
          <t>million m3</t>
        </is>
      </c>
      <c r="F896" s="2" t="inlineStr">
        <is>
          <t>calculated</t>
        </is>
      </c>
      <c r="G896" s="2" t="inlineStr">
        <is>
          <t>-8.0%</t>
        </is>
      </c>
      <c r="H896" s="2" t="inlineStr"/>
    </row>
    <row r="897">
      <c r="A897" s="5" t="inlineStr">
        <is>
          <t>CC-039</t>
        </is>
      </c>
      <c r="B897" s="2" t="inlineStr">
        <is>
          <t>CC-039:29</t>
        </is>
      </c>
      <c r="C897" s="2" t="inlineStr">
        <is>
          <t>as share of the 4.0 pledged</t>
        </is>
      </c>
      <c r="D897" s="2" t="inlineStr">
        <is>
          <t>31.0</t>
        </is>
      </c>
      <c r="E897" s="2" t="inlineStr">
        <is>
          <t>%</t>
        </is>
      </c>
      <c r="F897" s="2" t="inlineStr">
        <is>
          <t>calculated</t>
        </is>
      </c>
      <c r="G897" s="2" t="inlineStr"/>
      <c r="H897" s="2" t="inlineStr"/>
    </row>
    <row r="898">
      <c r="A898" s="5" t="inlineStr">
        <is>
          <t>CC-039</t>
        </is>
      </c>
      <c r="B898" s="2" t="inlineStr">
        <is>
          <t>CC-039:30</t>
        </is>
      </c>
      <c r="C898" s="2" t="inlineStr">
        <is>
          <t>Pledged cut as share of national fresh groundwater abstraction 2024</t>
        </is>
      </c>
      <c r="D898" s="2" t="inlineStr">
        <is>
          <t>10.4</t>
        </is>
      </c>
      <c r="E898" s="2" t="inlineStr">
        <is>
          <t>%</t>
        </is>
      </c>
      <c r="F898" s="2" t="inlineStr">
        <is>
          <t>calculated</t>
        </is>
      </c>
      <c r="G898" s="2" t="inlineStr">
        <is>
          <t>national total 38.46 million m3 (estimated)</t>
        </is>
      </c>
      <c r="H898" s="2" t="inlineStr"/>
    </row>
    <row r="899">
      <c r="A899" s="5" t="inlineStr">
        <is>
          <t>CC-039</t>
        </is>
      </c>
      <c r="B899" s="2" t="inlineStr">
        <is>
          <t>CC-039:31</t>
        </is>
      </c>
      <c r="C899" s="2" t="inlineStr">
        <is>
          <t>RO production 2016</t>
        </is>
      </c>
      <c r="D899" s="2" t="inlineStr">
        <is>
          <t>18.623</t>
        </is>
      </c>
      <c r="E899" s="2" t="inlineStr">
        <is>
          <t>million m3</t>
        </is>
      </c>
      <c r="F899" s="2" t="inlineStr">
        <is>
          <t>WSC AR 2016</t>
        </is>
      </c>
      <c r="G899" s="2" t="inlineStr"/>
      <c r="H899" s="2" t="inlineStr"/>
    </row>
    <row r="900">
      <c r="A900" s="5" t="inlineStr">
        <is>
          <t>CC-039</t>
        </is>
      </c>
      <c r="B900" s="2" t="inlineStr">
        <is>
          <t>CC-039:32</t>
        </is>
      </c>
      <c r="C900" s="2" t="inlineStr">
        <is>
          <t>RO production 2025</t>
        </is>
      </c>
      <c r="D900" s="2" t="inlineStr">
        <is>
          <t>27.915</t>
        </is>
      </c>
      <c r="E900" s="2" t="inlineStr">
        <is>
          <t>million m3</t>
        </is>
      </c>
      <c r="F900" s="2" t="inlineStr">
        <is>
          <t>WSC AR 2025 Fig 20</t>
        </is>
      </c>
      <c r="G900" s="2" t="inlineStr"/>
      <c r="H900" s="2" t="inlineStr"/>
    </row>
    <row r="901">
      <c r="A901" s="5" t="inlineStr">
        <is>
          <t>CC-039</t>
        </is>
      </c>
      <c r="B901" s="2" t="inlineStr">
        <is>
          <t>CC-039:33</t>
        </is>
      </c>
      <c r="C901" s="2" t="inlineStr">
        <is>
          <t>RO production growth 2016-2025</t>
        </is>
      </c>
      <c r="D901" s="2" t="inlineStr">
        <is>
          <t>49.897</t>
        </is>
      </c>
      <c r="E901" s="2" t="inlineStr">
        <is>
          <t>%</t>
        </is>
      </c>
      <c r="F901" s="2" t="inlineStr">
        <is>
          <t>calculated</t>
        </is>
      </c>
      <c r="G901" s="2" t="inlineStr"/>
      <c r="H901" s="2" t="inlineStr"/>
    </row>
    <row r="902">
      <c r="A902" s="5" t="inlineStr">
        <is>
          <t>CC-039</t>
        </is>
      </c>
      <c r="B902" s="2" t="inlineStr">
        <is>
          <t>CC-039:34</t>
        </is>
      </c>
      <c r="C902" s="2" t="inlineStr">
        <is>
          <t>RO electricity 2016</t>
        </is>
      </c>
      <c r="D902" s="2" t="inlineStr">
        <is>
          <t>90.321</t>
        </is>
      </c>
      <c r="E902" s="2" t="inlineStr">
        <is>
          <t>GWh</t>
        </is>
      </c>
      <c r="F902" s="2" t="inlineStr">
        <is>
          <t>calculated</t>
        </is>
      </c>
      <c r="G902" s="2" t="inlineStr">
        <is>
          <t>2016 volume x 4.85 kWh/m3 (WSC AR 2016)</t>
        </is>
      </c>
      <c r="H902" s="2" t="inlineStr"/>
    </row>
    <row r="903">
      <c r="A903" s="5" t="inlineStr">
        <is>
          <t>CC-039</t>
        </is>
      </c>
      <c r="B903" s="2" t="inlineStr">
        <is>
          <t>CC-039:35</t>
        </is>
      </c>
      <c r="C903" s="2" t="inlineStr">
        <is>
          <t>RO electricity 2025 at the 2016 specific energy</t>
        </is>
      </c>
      <c r="D903" s="2" t="inlineStr">
        <is>
          <t>135.389</t>
        </is>
      </c>
      <c r="E903" s="2" t="inlineStr">
        <is>
          <t>GWh</t>
        </is>
      </c>
      <c r="F903" s="2" t="inlineStr">
        <is>
          <t>calculated</t>
        </is>
      </c>
      <c r="G903" s="2" t="inlineStr">
        <is>
          <t>scenario, not a measurement</t>
        </is>
      </c>
      <c r="H903" s="2" t="inlineStr"/>
    </row>
    <row r="904">
      <c r="A904" s="5" t="inlineStr">
        <is>
          <t>CC-039</t>
        </is>
      </c>
      <c r="B904" s="2" t="inlineStr">
        <is>
          <t>CC-039:36</t>
        </is>
      </c>
      <c r="C904" s="2" t="inlineStr">
        <is>
          <t>Increase at the 2016 specific energy</t>
        </is>
      </c>
      <c r="D904" s="2" t="inlineStr">
        <is>
          <t>49.897</t>
        </is>
      </c>
      <c r="E904" s="2" t="inlineStr">
        <is>
          <t>%</t>
        </is>
      </c>
      <c r="F904" s="2" t="inlineStr">
        <is>
          <t>calculated</t>
        </is>
      </c>
      <c r="G904" s="2" t="inlineStr"/>
      <c r="H904" s="2" t="inlineStr"/>
    </row>
    <row r="905">
      <c r="A905" s="5" t="inlineStr">
        <is>
          <t>CC-039</t>
        </is>
      </c>
      <c r="B905" s="2" t="inlineStr">
        <is>
          <t>CC-039:37</t>
        </is>
      </c>
      <c r="C905" s="2" t="inlineStr">
        <is>
          <t>Specific energy needed in 2025 to keep RO electricity at the 2016 level</t>
        </is>
      </c>
      <c r="D905" s="2" t="inlineStr">
        <is>
          <t>3.236</t>
        </is>
      </c>
      <c r="E905" s="2" t="inlineStr">
        <is>
          <t>kWh/m3</t>
        </is>
      </c>
      <c r="F905" s="2" t="inlineStr">
        <is>
          <t>calculated</t>
        </is>
      </c>
      <c r="G905" s="2" t="inlineStr"/>
      <c r="H905" s="2" t="inlineStr"/>
    </row>
    <row r="906">
      <c r="A906" s="5" t="inlineStr">
        <is>
          <t>CC-039</t>
        </is>
      </c>
      <c r="B906" s="2" t="inlineStr">
        <is>
          <t>CC-039:38</t>
        </is>
      </c>
      <c r="C906" s="2" t="inlineStr">
        <is>
          <t>fall from 4.85 that this would take</t>
        </is>
      </c>
      <c r="D906" s="2" t="inlineStr">
        <is>
          <t>33.287</t>
        </is>
      </c>
      <c r="E906" s="2" t="inlineStr">
        <is>
          <t>%</t>
        </is>
      </c>
      <c r="F906" s="2" t="inlineStr">
        <is>
          <t>calculated</t>
        </is>
      </c>
      <c r="G906" s="2" t="inlineStr"/>
      <c r="H906" s="2" t="inlineStr"/>
    </row>
    <row r="907">
      <c r="A907" s="5" t="inlineStr">
        <is>
          <t>CC-039</t>
        </is>
      </c>
      <c r="B907" s="2" t="inlineStr">
        <is>
          <t>CC-039:39</t>
        </is>
      </c>
      <c r="C907" s="2" t="inlineStr">
        <is>
          <t>Specific energy needed in 2024 to keep RO electricity at the 2016 level</t>
        </is>
      </c>
      <c r="D907" s="2" t="inlineStr">
        <is>
          <t>3.51</t>
        </is>
      </c>
      <c r="E907" s="2" t="inlineStr">
        <is>
          <t>kWh/m3</t>
        </is>
      </c>
      <c r="F907" s="2" t="inlineStr">
        <is>
          <t>calculated</t>
        </is>
      </c>
      <c r="G907" s="2" t="inlineStr"/>
      <c r="H907" s="2" t="inlineStr"/>
    </row>
    <row r="908">
      <c r="A908" s="5" t="inlineStr">
        <is>
          <t>CC-039</t>
        </is>
      </c>
      <c r="B908" s="2" t="inlineStr">
        <is>
          <t>CC-039:40</t>
        </is>
      </c>
      <c r="C908" s="2" t="inlineStr">
        <is>
          <t>RO electricity share of 2016 electricity bill</t>
        </is>
      </c>
      <c r="D908" s="2" t="inlineStr">
        <is>
          <t>60.706</t>
        </is>
      </c>
      <c r="E908" s="2" t="inlineStr">
        <is>
          <t>%</t>
        </is>
      </c>
      <c r="F908" s="2" t="inlineStr">
        <is>
          <t>WSC AR 2016 note 2</t>
        </is>
      </c>
      <c r="G908" s="2" t="inlineStr">
        <is>
          <t>nominal euro</t>
        </is>
      </c>
      <c r="H908" s="2" t="inlineStr"/>
    </row>
    <row r="909">
      <c r="A909" s="5" t="inlineStr">
        <is>
          <t>CC-039</t>
        </is>
      </c>
      <c r="B909" s="2" t="inlineStr">
        <is>
          <t>CC-039:41</t>
        </is>
      </c>
      <c r="C909" s="2" t="inlineStr">
        <is>
          <t>WSC total energy requirement per m3 produced 2022</t>
        </is>
      </c>
      <c r="D909" s="2" t="inlineStr">
        <is>
          <t>4.68</t>
        </is>
      </c>
      <c r="E909" s="2" t="inlineStr">
        <is>
          <t>kWh/m3</t>
        </is>
      </c>
      <c r="F909" s="2" t="inlineStr">
        <is>
          <t>WSC Impact and Allocation Report FY2024 p.13</t>
        </is>
      </c>
      <c r="G909" s="2" t="inlineStr">
        <is>
          <t>whole-utility indicator; boundary not defined</t>
        </is>
      </c>
      <c r="H909" s="2" t="inlineStr"/>
    </row>
    <row r="910">
      <c r="A910" s="5" t="inlineStr">
        <is>
          <t>CC-039</t>
        </is>
      </c>
      <c r="B910" s="2" t="inlineStr">
        <is>
          <t>CC-039:42</t>
        </is>
      </c>
      <c r="C910" s="2" t="inlineStr">
        <is>
          <t>WSC potable production 2022</t>
        </is>
      </c>
      <c r="D910" s="2" t="inlineStr">
        <is>
          <t>35.529</t>
        </is>
      </c>
      <c r="E910" s="2" t="inlineStr">
        <is>
          <t>million m3</t>
        </is>
      </c>
      <c r="F910" s="2" t="inlineStr">
        <is>
          <t>WSC AR 2025 Fig 20 (groundwater + RO)</t>
        </is>
      </c>
      <c r="G910" s="2" t="inlineStr"/>
      <c r="H910" s="2" t="inlineStr"/>
    </row>
    <row r="911">
      <c r="A911" s="5" t="inlineStr">
        <is>
          <t>CC-039</t>
        </is>
      </c>
      <c r="B911" s="2" t="inlineStr">
        <is>
          <t>CC-039:43</t>
        </is>
      </c>
      <c r="C911" s="2" t="inlineStr">
        <is>
          <t>Implied total energy 2022 (indicative)</t>
        </is>
      </c>
      <c r="D911" s="2" t="inlineStr">
        <is>
          <t>166.276</t>
        </is>
      </c>
      <c r="E911" s="2" t="inlineStr">
        <is>
          <t>GWh</t>
        </is>
      </c>
      <c r="F911" s="2" t="inlineStr">
        <is>
          <t>calculated</t>
        </is>
      </c>
      <c r="G911" s="2" t="inlineStr">
        <is>
          <t>intensity x production; assumes 'produced' = potable production in Fig 20; boundary unverified</t>
        </is>
      </c>
      <c r="H911" s="2" t="inlineStr"/>
    </row>
    <row r="912">
      <c r="A912" s="5" t="inlineStr">
        <is>
          <t>CC-039</t>
        </is>
      </c>
      <c r="B912" s="2" t="inlineStr">
        <is>
          <t>CC-039:44</t>
        </is>
      </c>
      <c r="C912" s="2" t="inlineStr">
        <is>
          <t>WSC total energy requirement per m3 produced 2023</t>
        </is>
      </c>
      <c r="D912" s="2" t="inlineStr">
        <is>
          <t>4.52</t>
        </is>
      </c>
      <c r="E912" s="2" t="inlineStr">
        <is>
          <t>kWh/m3</t>
        </is>
      </c>
      <c r="F912" s="2" t="inlineStr">
        <is>
          <t>WSC Impact and Allocation Report FY2024 p.13</t>
        </is>
      </c>
      <c r="G912" s="2" t="inlineStr">
        <is>
          <t>whole-utility indicator; boundary not defined</t>
        </is>
      </c>
      <c r="H912" s="2" t="inlineStr"/>
    </row>
    <row r="913">
      <c r="A913" s="5" t="inlineStr">
        <is>
          <t>CC-039</t>
        </is>
      </c>
      <c r="B913" s="2" t="inlineStr">
        <is>
          <t>CC-039:45</t>
        </is>
      </c>
      <c r="C913" s="2" t="inlineStr">
        <is>
          <t>WSC potable production 2023</t>
        </is>
      </c>
      <c r="D913" s="2" t="inlineStr">
        <is>
          <t>36.859</t>
        </is>
      </c>
      <c r="E913" s="2" t="inlineStr">
        <is>
          <t>million m3</t>
        </is>
      </c>
      <c r="F913" s="2" t="inlineStr">
        <is>
          <t>WSC AR 2025 Fig 20 (groundwater + RO)</t>
        </is>
      </c>
      <c r="G913" s="2" t="inlineStr"/>
      <c r="H913" s="2" t="inlineStr"/>
    </row>
    <row r="914">
      <c r="A914" s="5" t="inlineStr">
        <is>
          <t>CC-039</t>
        </is>
      </c>
      <c r="B914" s="2" t="inlineStr">
        <is>
          <t>CC-039:46</t>
        </is>
      </c>
      <c r="C914" s="2" t="inlineStr">
        <is>
          <t>Implied total energy 2023 (indicative)</t>
        </is>
      </c>
      <c r="D914" s="2" t="inlineStr">
        <is>
          <t>166.604</t>
        </is>
      </c>
      <c r="E914" s="2" t="inlineStr">
        <is>
          <t>GWh</t>
        </is>
      </c>
      <c r="F914" s="2" t="inlineStr">
        <is>
          <t>calculated</t>
        </is>
      </c>
      <c r="G914" s="2" t="inlineStr">
        <is>
          <t>intensity x production; assumes 'produced' = potable production in Fig 20; boundary unverified</t>
        </is>
      </c>
      <c r="H914" s="2" t="inlineStr"/>
    </row>
    <row r="915">
      <c r="A915" s="5" t="inlineStr">
        <is>
          <t>CC-039</t>
        </is>
      </c>
      <c r="B915" s="2" t="inlineStr">
        <is>
          <t>CC-039:47</t>
        </is>
      </c>
      <c r="C915" s="2" t="inlineStr">
        <is>
          <t>WSC total energy requirement per m3 produced 2024</t>
        </is>
      </c>
      <c r="D915" s="2" t="inlineStr">
        <is>
          <t>4.6</t>
        </is>
      </c>
      <c r="E915" s="2" t="inlineStr">
        <is>
          <t>kWh/m3</t>
        </is>
      </c>
      <c r="F915" s="2" t="inlineStr">
        <is>
          <t>WSC Impact and Allocation Report FY2024 p.13</t>
        </is>
      </c>
      <c r="G915" s="2" t="inlineStr">
        <is>
          <t>whole-utility indicator; boundary not defined</t>
        </is>
      </c>
      <c r="H915" s="2" t="inlineStr"/>
    </row>
    <row r="916">
      <c r="A916" s="5" t="inlineStr">
        <is>
          <t>CC-039</t>
        </is>
      </c>
      <c r="B916" s="2" t="inlineStr">
        <is>
          <t>CC-039:48</t>
        </is>
      </c>
      <c r="C916" s="2" t="inlineStr">
        <is>
          <t>WSC potable production 2024</t>
        </is>
      </c>
      <c r="D916" s="2" t="inlineStr">
        <is>
          <t>38.83</t>
        </is>
      </c>
      <c r="E916" s="2" t="inlineStr">
        <is>
          <t>million m3</t>
        </is>
      </c>
      <c r="F916" s="2" t="inlineStr">
        <is>
          <t>WSC AR 2025 Fig 20 (groundwater + RO)</t>
        </is>
      </c>
      <c r="G916" s="2" t="inlineStr"/>
      <c r="H916" s="2" t="inlineStr"/>
    </row>
    <row r="917">
      <c r="A917" s="5" t="inlineStr">
        <is>
          <t>CC-039</t>
        </is>
      </c>
      <c r="B917" s="2" t="inlineStr">
        <is>
          <t>CC-039:49</t>
        </is>
      </c>
      <c r="C917" s="2" t="inlineStr">
        <is>
          <t>Implied total energy 2024 (indicative)</t>
        </is>
      </c>
      <c r="D917" s="2" t="inlineStr">
        <is>
          <t>178.618</t>
        </is>
      </c>
      <c r="E917" s="2" t="inlineStr">
        <is>
          <t>GWh</t>
        </is>
      </c>
      <c r="F917" s="2" t="inlineStr">
        <is>
          <t>calculated</t>
        </is>
      </c>
      <c r="G917" s="2" t="inlineStr">
        <is>
          <t>intensity x production; assumes 'produced' = potable production in Fig 20; boundary unverified</t>
        </is>
      </c>
      <c r="H917" s="2" t="inlineStr"/>
    </row>
    <row r="918">
      <c r="A918" s="5" t="inlineStr">
        <is>
          <t>CC-039</t>
        </is>
      </c>
      <c r="B918" s="2" t="inlineStr">
        <is>
          <t>CC-039:50</t>
        </is>
      </c>
      <c r="C918" s="2" t="inlineStr">
        <is>
          <t>Change in implied total energy 2022 to 2024 (indicative)</t>
        </is>
      </c>
      <c r="D918" s="2" t="inlineStr">
        <is>
          <t>7.422</t>
        </is>
      </c>
      <c r="E918" s="2" t="inlineStr">
        <is>
          <t>%</t>
        </is>
      </c>
      <c r="F918" s="2" t="inlineStr">
        <is>
          <t>calculated</t>
        </is>
      </c>
      <c r="G918" s="2" t="inlineStr">
        <is>
          <t>indicative only</t>
        </is>
      </c>
      <c r="H918" s="2" t="inlineStr"/>
    </row>
    <row r="919">
      <c r="A919" s="5" t="inlineStr">
        <is>
          <t>CC-039</t>
        </is>
      </c>
      <c r="B919" s="2" t="inlineStr">
        <is>
          <t>CC-039:51</t>
        </is>
      </c>
      <c r="C919" s="2" t="inlineStr">
        <is>
          <t>Change in total energy per m3 produced 2022 to 2024</t>
        </is>
      </c>
      <c r="D919" s="2" t="inlineStr">
        <is>
          <t>-1.709</t>
        </is>
      </c>
      <c r="E919" s="2" t="inlineStr">
        <is>
          <t>%</t>
        </is>
      </c>
      <c r="F919" s="2" t="inlineStr">
        <is>
          <t>calculated</t>
        </is>
      </c>
      <c r="G919" s="2" t="inlineStr"/>
      <c r="H919" s="2" t="inlineStr"/>
    </row>
    <row r="920">
      <c r="A920" s="5" t="inlineStr">
        <is>
          <t>CC-039</t>
        </is>
      </c>
      <c r="B920" s="2" t="inlineStr">
        <is>
          <t>CC-039:52</t>
        </is>
      </c>
      <c r="C920" s="2" t="inlineStr">
        <is>
          <t>Hondoq RO specific energy 2024</t>
        </is>
      </c>
      <c r="D920" s="2" t="inlineStr">
        <is>
          <t>3.11</t>
        </is>
      </c>
      <c r="E920" s="2" t="inlineStr">
        <is>
          <t>kWh/m3</t>
        </is>
      </c>
      <c r="F920" s="2" t="inlineStr">
        <is>
          <t>WSC Impact and Allocation Report FY2024 p.24, p.28</t>
        </is>
      </c>
      <c r="G920" s="2" t="inlineStr">
        <is>
          <t>2021 pre-commissioning baseline 4.1</t>
        </is>
      </c>
      <c r="H920" s="2" t="inlineStr"/>
    </row>
    <row r="921">
      <c r="A921" s="5" t="inlineStr">
        <is>
          <t>CC-040</t>
        </is>
      </c>
      <c r="B921" s="2" t="inlineStr">
        <is>
          <t>CC-040:2</t>
        </is>
      </c>
      <c r="C921" s="2" t="inlineStr">
        <is>
          <t>MT_all_uses_PWS_l_cap_day (2019)</t>
        </is>
      </c>
      <c r="D921" s="2" t="inlineStr">
        <is>
          <t>172.7</t>
        </is>
      </c>
      <c r="E921" s="2" t="inlineStr"/>
      <c r="F921" s="2" t="inlineStr">
        <is>
          <t>Eurostat env_wat_cat, demo_pjan (tools/cc-040-report/calc.py) (retrieved 2026-10-07)</t>
        </is>
      </c>
      <c r="G921" s="2" t="inlineStr"/>
      <c r="H921" s="2" t="inlineStr"/>
    </row>
    <row r="922">
      <c r="A922" s="5" t="inlineStr">
        <is>
          <t>CC-040</t>
        </is>
      </c>
      <c r="B922" s="2" t="inlineStr">
        <is>
          <t>CC-040:3</t>
        </is>
      </c>
      <c r="C922" s="2" t="inlineStr">
        <is>
          <t>MT_services_PWS_l_cap_day (2019)</t>
        </is>
      </c>
      <c r="D922" s="2" t="inlineStr">
        <is>
          <t>42.2</t>
        </is>
      </c>
      <c r="E922" s="2" t="inlineStr"/>
      <c r="F922" s="2" t="inlineStr">
        <is>
          <t>Eurostat env_wat_cat, demo_pjan (tools/cc-040-report/calc.py) (retrieved 2026-10-07)</t>
        </is>
      </c>
      <c r="G922" s="2" t="inlineStr"/>
      <c r="H922" s="2" t="inlineStr"/>
    </row>
    <row r="923">
      <c r="A923" s="5" t="inlineStr">
        <is>
          <t>CC-040</t>
        </is>
      </c>
      <c r="B923" s="2" t="inlineStr">
        <is>
          <t>CC-040:4</t>
        </is>
      </c>
      <c r="C923" s="2" t="inlineStr">
        <is>
          <t>MT_households_PWS_l_cap_day (2019)</t>
        </is>
      </c>
      <c r="D923" s="2" t="inlineStr">
        <is>
          <t>114.4</t>
        </is>
      </c>
      <c r="E923" s="2" t="inlineStr"/>
      <c r="F923" s="2" t="inlineStr">
        <is>
          <t>Eurostat env_wat_cat, demo_pjan (tools/cc-040-report/calc.py) (retrieved 2026-10-07)</t>
        </is>
      </c>
      <c r="G923" s="2" t="inlineStr"/>
      <c r="H923" s="2" t="inlineStr"/>
    </row>
    <row r="924">
      <c r="A924" s="5" t="inlineStr">
        <is>
          <t>CC-040</t>
        </is>
      </c>
      <c r="B924" s="2" t="inlineStr">
        <is>
          <t>CC-040:5</t>
        </is>
      </c>
      <c r="C924" s="2" t="inlineStr">
        <is>
          <t>MT_all_uses_PWS_l_cap_day (2022)</t>
        </is>
      </c>
      <c r="D924" s="2" t="inlineStr">
        <is>
          <t>168.6</t>
        </is>
      </c>
      <c r="E924" s="2" t="inlineStr"/>
      <c r="F924" s="2" t="inlineStr">
        <is>
          <t>Eurostat env_wat_cat, demo_pjan (tools/cc-040-report/calc.py) (retrieved 2026-10-07)</t>
        </is>
      </c>
      <c r="G924" s="2" t="inlineStr"/>
      <c r="H924" s="2" t="inlineStr"/>
    </row>
    <row r="925">
      <c r="A925" s="5" t="inlineStr">
        <is>
          <t>CC-040</t>
        </is>
      </c>
      <c r="B925" s="2" t="inlineStr">
        <is>
          <t>CC-040:6</t>
        </is>
      </c>
      <c r="C925" s="2" t="inlineStr">
        <is>
          <t>MT_services_PWS_l_cap_day (2022)</t>
        </is>
      </c>
      <c r="D925" s="2" t="inlineStr">
        <is>
          <t>38.5</t>
        </is>
      </c>
      <c r="E925" s="2" t="inlineStr"/>
      <c r="F925" s="2" t="inlineStr">
        <is>
          <t>Eurostat env_wat_cat, demo_pjan (tools/cc-040-report/calc.py) (retrieved 2026-10-07)</t>
        </is>
      </c>
      <c r="G925" s="2" t="inlineStr"/>
      <c r="H925" s="2" t="inlineStr"/>
    </row>
    <row r="926">
      <c r="A926" s="5" t="inlineStr">
        <is>
          <t>CC-040</t>
        </is>
      </c>
      <c r="B926" s="2" t="inlineStr">
        <is>
          <t>CC-040:7</t>
        </is>
      </c>
      <c r="C926" s="2" t="inlineStr">
        <is>
          <t>MT_households_PWS_l_cap_day (2022)</t>
        </is>
      </c>
      <c r="D926" s="2" t="inlineStr">
        <is>
          <t>115.8</t>
        </is>
      </c>
      <c r="E926" s="2" t="inlineStr"/>
      <c r="F926" s="2" t="inlineStr">
        <is>
          <t>Eurostat env_wat_cat, demo_pjan (tools/cc-040-report/calc.py) (retrieved 2026-10-07)</t>
        </is>
      </c>
      <c r="G926" s="2" t="inlineStr"/>
      <c r="H926" s="2" t="inlineStr"/>
    </row>
    <row r="927">
      <c r="A927" s="5" t="inlineStr">
        <is>
          <t>CC-040</t>
        </is>
      </c>
      <c r="B927" s="2" t="inlineStr">
        <is>
          <t>CC-040:8</t>
        </is>
      </c>
      <c r="C927" s="2" t="inlineStr">
        <is>
          <t>MT_all_uses_PWS_l_cap_day (2023)</t>
        </is>
      </c>
      <c r="D927" s="2" t="inlineStr">
        <is>
          <t>169.1</t>
        </is>
      </c>
      <c r="E927" s="2" t="inlineStr"/>
      <c r="F927" s="2" t="inlineStr">
        <is>
          <t>Eurostat env_wat_cat, demo_pjan (tools/cc-040-report/calc.py) (retrieved 2026-10-07)</t>
        </is>
      </c>
      <c r="G927" s="2" t="inlineStr"/>
      <c r="H927" s="2" t="inlineStr"/>
    </row>
    <row r="928">
      <c r="A928" s="5" t="inlineStr">
        <is>
          <t>CC-040</t>
        </is>
      </c>
      <c r="B928" s="2" t="inlineStr">
        <is>
          <t>CC-040:9</t>
        </is>
      </c>
      <c r="C928" s="2" t="inlineStr">
        <is>
          <t>MT_services_PWS_l_cap_day (2023)</t>
        </is>
      </c>
      <c r="D928" s="2" t="inlineStr">
        <is>
          <t>38.1</t>
        </is>
      </c>
      <c r="E928" s="2" t="inlineStr"/>
      <c r="F928" s="2" t="inlineStr">
        <is>
          <t>Eurostat env_wat_cat, demo_pjan (tools/cc-040-report/calc.py) (retrieved 2026-10-07)</t>
        </is>
      </c>
      <c r="G928" s="2" t="inlineStr"/>
      <c r="H928" s="2" t="inlineStr"/>
    </row>
    <row r="929">
      <c r="A929" s="5" t="inlineStr">
        <is>
          <t>CC-040</t>
        </is>
      </c>
      <c r="B929" s="2" t="inlineStr">
        <is>
          <t>CC-040:10</t>
        </is>
      </c>
      <c r="C929" s="2" t="inlineStr">
        <is>
          <t>MT_households_PWS_l_cap_day (2023)</t>
        </is>
      </c>
      <c r="D929" s="2" t="inlineStr">
        <is>
          <t>116.7</t>
        </is>
      </c>
      <c r="E929" s="2" t="inlineStr"/>
      <c r="F929" s="2" t="inlineStr">
        <is>
          <t>Eurostat env_wat_cat, demo_pjan (tools/cc-040-report/calc.py) (retrieved 2026-10-07)</t>
        </is>
      </c>
      <c r="G929" s="2" t="inlineStr"/>
      <c r="H929" s="2" t="inlineStr"/>
    </row>
    <row r="930">
      <c r="A930" s="5" t="inlineStr">
        <is>
          <t>CC-040</t>
        </is>
      </c>
      <c r="B930" s="2" t="inlineStr">
        <is>
          <t>CC-040:11</t>
        </is>
      </c>
      <c r="C930" s="2" t="inlineStr">
        <is>
          <t>MT_all_uses_PWS_l_cap_day (2024)</t>
        </is>
      </c>
      <c r="D930" s="2" t="inlineStr">
        <is>
          <t>175.7</t>
        </is>
      </c>
      <c r="E930" s="2" t="inlineStr"/>
      <c r="F930" s="2" t="inlineStr">
        <is>
          <t>Eurostat env_wat_cat, demo_pjan (tools/cc-040-report/calc.py) (retrieved 2026-10-07)</t>
        </is>
      </c>
      <c r="G930" s="2" t="inlineStr"/>
      <c r="H930" s="2" t="inlineStr"/>
    </row>
    <row r="931">
      <c r="A931" s="5" t="inlineStr">
        <is>
          <t>CC-040</t>
        </is>
      </c>
      <c r="B931" s="2" t="inlineStr">
        <is>
          <t>CC-040:12</t>
        </is>
      </c>
      <c r="C931" s="2" t="inlineStr">
        <is>
          <t>MT_services_PWS_l_cap_day (2024)</t>
        </is>
      </c>
      <c r="D931" s="2" t="inlineStr">
        <is>
          <t>40.1</t>
        </is>
      </c>
      <c r="E931" s="2" t="inlineStr"/>
      <c r="F931" s="2" t="inlineStr">
        <is>
          <t>Eurostat env_wat_cat, demo_pjan (tools/cc-040-report/calc.py) (retrieved 2026-10-07)</t>
        </is>
      </c>
      <c r="G931" s="2" t="inlineStr"/>
      <c r="H931" s="2" t="inlineStr"/>
    </row>
    <row r="932">
      <c r="A932" s="5" t="inlineStr">
        <is>
          <t>CC-040</t>
        </is>
      </c>
      <c r="B932" s="2" t="inlineStr">
        <is>
          <t>CC-040:13</t>
        </is>
      </c>
      <c r="C932" s="2" t="inlineStr">
        <is>
          <t>MT_households_PWS_l_cap_day (2024)</t>
        </is>
      </c>
      <c r="D932" s="2" t="inlineStr">
        <is>
          <t>120.0</t>
        </is>
      </c>
      <c r="E932" s="2" t="inlineStr"/>
      <c r="F932" s="2" t="inlineStr">
        <is>
          <t>Eurostat env_wat_cat, demo_pjan (tools/cc-040-report/calc.py) (retrieved 2026-10-07)</t>
        </is>
      </c>
      <c r="G932" s="2" t="inlineStr"/>
      <c r="H932" s="2" t="inlineStr"/>
    </row>
    <row r="933">
      <c r="A933" s="5" t="inlineStr">
        <is>
          <t>CC-040</t>
        </is>
      </c>
      <c r="B933" s="2" t="inlineStr">
        <is>
          <t>CC-040:14</t>
        </is>
      </c>
      <c r="C933" s="2" t="inlineStr">
        <is>
          <t>MT_households_vs_110_pct_2024 (2024)</t>
        </is>
      </c>
      <c r="D933" s="2" t="inlineStr">
        <is>
          <t>9.1</t>
        </is>
      </c>
      <c r="E933" s="2" t="inlineStr"/>
      <c r="F933" s="2" t="inlineStr">
        <is>
          <t>Eurostat env_wat_cat, demo_pjan (tools/cc-040-report/calc.py) (retrieved 2026-10-07)</t>
        </is>
      </c>
      <c r="G933" s="2" t="inlineStr"/>
      <c r="H933" s="2" t="inlineStr"/>
    </row>
    <row r="934">
      <c r="A934" s="5" t="inlineStr">
        <is>
          <t>CC-040</t>
        </is>
      </c>
      <c r="B934" s="2" t="inlineStr">
        <is>
          <t>CC-040:15</t>
        </is>
      </c>
      <c r="C934" s="2" t="inlineStr">
        <is>
          <t>EU27_median_l_cap_day_latest (2024)</t>
        </is>
      </c>
      <c r="D934" s="2" t="inlineStr">
        <is>
          <t>110.7</t>
        </is>
      </c>
      <c r="E934" s="2" t="inlineStr"/>
      <c r="F934" s="2" t="inlineStr">
        <is>
          <t>Eurostat env_wat_cat, demo_pjan (tools/cc-040-report/calc.py) (retrieved 2026-10-07)</t>
        </is>
      </c>
      <c r="G934" s="2" t="inlineStr"/>
      <c r="H934" s="2" t="inlineStr"/>
    </row>
    <row r="935">
      <c r="A935" s="5" t="inlineStr">
        <is>
          <t>CC-040</t>
        </is>
      </c>
      <c r="B935" s="2" t="inlineStr">
        <is>
          <t>CC-040:16</t>
        </is>
      </c>
      <c r="C935" s="2" t="inlineStr">
        <is>
          <t>MT_rank_lowest_first_of_n (2024)</t>
        </is>
      </c>
      <c r="D935" s="2" t="inlineStr">
        <is>
          <t>13 of 19</t>
        </is>
      </c>
      <c r="E935" s="2" t="inlineStr"/>
      <c r="F935" s="2" t="inlineStr">
        <is>
          <t>Eurostat env_wat_cat, demo_pjan (tools/cc-040-report/calc.py) (retrieved 2026-10-07)</t>
        </is>
      </c>
      <c r="G935" s="2" t="inlineStr"/>
      <c r="H935" s="2" t="inlineStr"/>
    </row>
    <row r="936">
      <c r="A936" s="5" t="inlineStr">
        <is>
          <t>CC-040</t>
        </is>
      </c>
      <c r="B936" s="2" t="inlineStr">
        <is>
          <t>CC-040:17</t>
        </is>
      </c>
      <c r="C936" s="2" t="inlineStr">
        <is>
          <t>MT_vs_EU_median_pct (2024)</t>
        </is>
      </c>
      <c r="D936" s="2" t="inlineStr">
        <is>
          <t>8.4</t>
        </is>
      </c>
      <c r="E936" s="2" t="inlineStr"/>
      <c r="F936" s="2" t="inlineStr">
        <is>
          <t>Eurostat env_wat_cat, demo_pjan (tools/cc-040-report/calc.py) (retrieved 2026-10-07)</t>
        </is>
      </c>
      <c r="G936" s="2" t="inlineStr"/>
      <c r="H936" s="2" t="inlineStr"/>
    </row>
    <row r="937">
      <c r="A937" s="5" t="inlineStr">
        <is>
          <t>CC-045</t>
        </is>
      </c>
      <c r="B937" s="2" t="inlineStr">
        <is>
          <t>CC-045:2</t>
        </is>
      </c>
      <c r="C937" s="2" t="inlineStr">
        <is>
          <t>Years with at least 330 daily readings (Luqa, 1990-2025)</t>
        </is>
      </c>
      <c r="D937" s="2" t="inlineStr">
        <is>
          <t>25</t>
        </is>
      </c>
      <c r="E937" s="2" t="inlineStr">
        <is>
          <t>years</t>
        </is>
      </c>
      <c r="F937" s="2" t="inlineStr"/>
      <c r="G937" s="2" t="inlineStr">
        <is>
          <t>first 1992, last 2024; years below the cut-off are not used for annual maxima</t>
        </is>
      </c>
      <c r="H937" s="2" t="inlineStr"/>
    </row>
    <row r="938">
      <c r="A938" s="5" t="inlineStr">
        <is>
          <t>CC-045</t>
        </is>
      </c>
      <c r="B938" s="2" t="inlineStr">
        <is>
          <t>CC-045:3</t>
        </is>
      </c>
      <c r="C938" s="2" t="inlineStr">
        <is>
          <t>Years excluded for missing readings</t>
        </is>
      </c>
      <c r="D938" s="2" t="inlineStr">
        <is>
          <t>1990, 1991, 1999, 2000, 2001, 2002, 2020, 2021, 2022, 2023, 2025</t>
        </is>
      </c>
      <c r="E938" s="2" t="inlineStr"/>
      <c r="F938" s="2" t="inlineStr"/>
      <c r="G938" s="2" t="inlineStr">
        <is>
          <t>daily readings missing; the maximum of an incomplete year could be understated</t>
        </is>
      </c>
      <c r="H938" s="2" t="inlineStr"/>
    </row>
    <row r="939">
      <c r="A939" s="5" t="inlineStr">
        <is>
          <t>CC-045</t>
        </is>
      </c>
      <c r="B939" s="2" t="inlineStr">
        <is>
          <t>CC-045:4</t>
        </is>
      </c>
      <c r="C939" s="2" t="inlineStr">
        <is>
          <t>Median annual maximum daily rainfall</t>
        </is>
      </c>
      <c r="D939" s="2" t="inlineStr">
        <is>
          <t>59.4</t>
        </is>
      </c>
      <c r="E939" s="2" t="inlineStr">
        <is>
          <t>mm</t>
        </is>
      </c>
      <c r="F939" s="2" t="inlineStr"/>
      <c r="G939" s="2" t="inlineStr">
        <is>
          <t>empirical, complete years</t>
        </is>
      </c>
      <c r="H939" s="2" t="inlineStr"/>
    </row>
    <row r="940">
      <c r="A940" s="5" t="inlineStr">
        <is>
          <t>CC-045</t>
        </is>
      </c>
      <c r="B940" s="2" t="inlineStr">
        <is>
          <t>CC-045:5</t>
        </is>
      </c>
      <c r="C940" s="2" t="inlineStr">
        <is>
          <t>Empirical 2-year daily rainfall at Luqa (Weibull)</t>
        </is>
      </c>
      <c r="D940" s="2" t="inlineStr">
        <is>
          <t>59.4</t>
        </is>
      </c>
      <c r="E940" s="2" t="inlineStr">
        <is>
          <t>mm</t>
        </is>
      </c>
      <c r="F940" s="2" t="inlineStr"/>
      <c r="G940" s="2" t="inlineStr"/>
      <c r="H940" s="2" t="inlineStr"/>
    </row>
    <row r="941">
      <c r="A941" s="5" t="inlineStr">
        <is>
          <t>CC-045</t>
        </is>
      </c>
      <c r="B941" s="2" t="inlineStr">
        <is>
          <t>CC-045:6</t>
        </is>
      </c>
      <c r="C941" s="2" t="inlineStr">
        <is>
          <t>Empirical 5-year daily rainfall at Luqa (Weibull)</t>
        </is>
      </c>
      <c r="D941" s="2" t="inlineStr">
        <is>
          <t>103.6</t>
        </is>
      </c>
      <c r="E941" s="2" t="inlineStr">
        <is>
          <t>mm</t>
        </is>
      </c>
      <c r="F941" s="2" t="inlineStr"/>
      <c r="G941" s="2" t="inlineStr">
        <is>
          <t>single gauge, 24-hour totals; the NFRP design storm is a catchment flow criterion, not this figure</t>
        </is>
      </c>
      <c r="H941" s="2" t="inlineStr"/>
    </row>
    <row r="942">
      <c r="A942" s="5" t="inlineStr">
        <is>
          <t>CC-045</t>
        </is>
      </c>
      <c r="B942" s="2" t="inlineStr">
        <is>
          <t>CC-045:7</t>
        </is>
      </c>
      <c r="C942" s="2" t="inlineStr">
        <is>
          <t>Largest daily total in the record</t>
        </is>
      </c>
      <c r="D942" s="2" t="inlineStr">
        <is>
          <t>182.1</t>
        </is>
      </c>
      <c r="E942" s="2" t="inlineStr">
        <is>
          <t>mm</t>
        </is>
      </c>
      <c r="F942" s="2" t="inlineStr"/>
      <c r="G942" s="2" t="inlineStr">
        <is>
          <t>1996-08-23</t>
        </is>
      </c>
      <c r="H942" s="2" t="inlineStr"/>
    </row>
    <row r="943">
      <c r="A943" s="5" t="inlineStr">
        <is>
          <t>CC-045</t>
        </is>
      </c>
      <c r="B943" s="2" t="inlineStr">
        <is>
          <t>CC-045:8</t>
        </is>
      </c>
      <c r="C943" s="2" t="inlineStr">
        <is>
          <t>Days at or above 50 mm at Luqa, 1 Jan 2015 to 5 Oct 2026</t>
        </is>
      </c>
      <c r="D943" s="2" t="inlineStr">
        <is>
          <t>2</t>
        </is>
      </c>
      <c r="E943" s="2" t="inlineStr">
        <is>
          <t>days</t>
        </is>
      </c>
      <c r="F943" s="2" t="inlineStr"/>
      <c r="G943" s="2" t="inlineStr">
        <is>
          <t>2018-02-10 108.7; 2021-11-26 66.8</t>
        </is>
      </c>
      <c r="H943" s="2" t="inlineStr"/>
    </row>
    <row r="944">
      <c r="A944" s="5" t="inlineStr">
        <is>
          <t>CC-045</t>
        </is>
      </c>
      <c r="B944" s="2" t="inlineStr">
        <is>
          <t>CC-045:9</t>
        </is>
      </c>
      <c r="C944" s="2" t="inlineStr">
        <is>
          <t>Luqa daily rainfall on 14 Sep 2020 (the day before Lovin Malta's report of flooding)</t>
        </is>
      </c>
      <c r="D944" s="2" t="inlineStr">
        <is>
          <t>20.1</t>
        </is>
      </c>
      <c r="E944" s="2" t="inlineStr">
        <is>
          <t>mm</t>
        </is>
      </c>
      <c r="F944" s="2" t="inlineStr"/>
      <c r="G944" s="2" t="inlineStr">
        <is>
          <t>Luqa is about 6 km from Birkirkara; 13 Sep has no reading; below the empirical 2-year level, so a single gauge does not show the storm</t>
        </is>
      </c>
      <c r="H944" s="2" t="inlineStr"/>
    </row>
    <row r="945">
      <c r="A945" s="5" t="inlineStr">
        <is>
          <t>CC-045</t>
        </is>
      </c>
      <c r="B945" s="2" t="inlineStr">
        <is>
          <t>CC-045:10</t>
        </is>
      </c>
      <c r="C945" s="2" t="inlineStr">
        <is>
          <t>Years 2015-2025 with complete readings</t>
        </is>
      </c>
      <c r="D945" s="2" t="inlineStr">
        <is>
          <t>6</t>
        </is>
      </c>
      <c r="E945" s="2" t="inlineStr">
        <is>
          <t>of 11</t>
        </is>
      </c>
      <c r="F945" s="2" t="inlineStr"/>
      <c r="G945" s="2" t="inlineStr">
        <is>
          <t>2020-2023 and 2025 are incomplete: too few years to compare 'before' and 'after' the tunnels</t>
        </is>
      </c>
      <c r="H945" s="2" t="inlineStr"/>
    </row>
    <row r="946">
      <c r="A946" s="5" t="inlineStr">
        <is>
          <t>CC-045</t>
        </is>
      </c>
      <c r="B946" s="2" t="inlineStr">
        <is>
          <t>CC-045:11</t>
        </is>
      </c>
      <c r="C946" s="2" t="inlineStr">
        <is>
          <t>Length stated: Public Works Department via TVM News (Ellul, director Coastal and Stormwater Unit)</t>
        </is>
      </c>
      <c r="D946" s="2" t="inlineStr">
        <is>
          <t>16</t>
        </is>
      </c>
      <c r="E946" s="2" t="inlineStr">
        <is>
          <t>km</t>
        </is>
      </c>
      <c r="F946" s="2" t="inlineStr"/>
      <c r="G946" s="2" t="inlineStr">
        <is>
          <t>canals, tunnels and culverts in use; works under way to reach 20 km</t>
        </is>
      </c>
      <c r="H946" s="2" t="inlineStr"/>
    </row>
    <row r="947">
      <c r="A947" s="5" t="inlineStr">
        <is>
          <t>CC-045</t>
        </is>
      </c>
      <c r="B947" s="2" t="inlineStr">
        <is>
          <t>CC-045:12</t>
        </is>
      </c>
      <c r="C947" s="2" t="inlineStr">
        <is>
          <t>Length stated: Public Works Department via TVM News (planned total)</t>
        </is>
      </c>
      <c r="D947" s="2" t="inlineStr">
        <is>
          <t>20</t>
        </is>
      </c>
      <c r="E947" s="2" t="inlineStr">
        <is>
          <t>km</t>
        </is>
      </c>
      <c r="F947" s="2" t="inlineStr"/>
      <c r="G947" s="2" t="inlineStr">
        <is>
          <t>total after a further 4 km of canals, tunnels and culverts</t>
        </is>
      </c>
      <c r="H947" s="2" t="inlineStr"/>
    </row>
    <row r="948">
      <c r="A948" s="5" t="inlineStr">
        <is>
          <t>CC-045</t>
        </is>
      </c>
      <c r="B948" s="2" t="inlineStr">
        <is>
          <t>CC-045:13</t>
        </is>
      </c>
      <c r="C948" s="2" t="inlineStr">
        <is>
          <t>Length stated: European Commission project page, Fighting floods in Malta</t>
        </is>
      </c>
      <c r="D948" s="2" t="inlineStr"/>
      <c r="E948" s="2" t="inlineStr">
        <is>
          <t>km</t>
        </is>
      </c>
      <c r="F948" s="2" t="inlineStr"/>
      <c r="G948" s="2" t="inlineStr">
        <is>
          <t>no total length stated (nine localities; 65 km2; 5-year storm)</t>
        </is>
      </c>
      <c r="H948" s="2" t="inlineStr"/>
    </row>
    <row r="949">
      <c r="A949" s="5" t="inlineStr">
        <is>
          <t>CC-045</t>
        </is>
      </c>
      <c r="B949" s="2" t="inlineStr">
        <is>
          <t>CC-045:14</t>
        </is>
      </c>
      <c r="C949" s="2" t="inlineStr">
        <is>
          <t>Length stated: Lovin Malta (15 Sep 2020, citing the 2014 project)</t>
        </is>
      </c>
      <c r="D949" s="2" t="inlineStr">
        <is>
          <t>16</t>
        </is>
      </c>
      <c r="E949" s="2" t="inlineStr">
        <is>
          <t>km</t>
        </is>
      </c>
      <c r="F949" s="2" t="inlineStr"/>
      <c r="G949" s="2" t="inlineStr">
        <is>
          <t>'some 16 kilometres of mostly underground tunnels' (outlet's statement)</t>
        </is>
      </c>
      <c r="H949" s="2" t="inlineStr"/>
    </row>
    <row r="950">
      <c r="A950" s="5" t="inlineStr">
        <is>
          <t>CC-045</t>
        </is>
      </c>
      <c r="B950" s="2" t="inlineStr">
        <is>
          <t>CC-045:15</t>
        </is>
      </c>
      <c r="C950" s="2" t="inlineStr">
        <is>
          <t>Length stated: MaltaToday headline (undated; read only as a search snippet)</t>
        </is>
      </c>
      <c r="D950" s="2" t="inlineStr">
        <is>
          <t>20</t>
        </is>
      </c>
      <c r="E950" s="2" t="inlineStr">
        <is>
          <t>km</t>
        </is>
      </c>
      <c r="F950" s="2" t="inlineStr"/>
      <c r="G950" s="2" t="inlineStr">
        <is>
          <t>'20 kilometres of underground tunnel'; page refused to scripts (403)</t>
        </is>
      </c>
      <c r="H950" s="2" t="inlineStr"/>
    </row>
    <row r="951">
      <c r="A951" s="5" t="inlineStr">
        <is>
          <t>CC-045</t>
        </is>
      </c>
      <c r="B951" s="2" t="inlineStr">
        <is>
          <t>CC-045:16</t>
        </is>
      </c>
      <c r="C951" s="2" t="inlineStr">
        <is>
          <t>Gap between 20 km (claim) and 16 km (Public Works Department, 4 Jul 2025)</t>
        </is>
      </c>
      <c r="D951" s="2" t="inlineStr">
        <is>
          <t>4</t>
        </is>
      </c>
      <c r="E951" s="2" t="inlineStr">
        <is>
          <t>km</t>
        </is>
      </c>
      <c r="F951" s="2" t="inlineStr"/>
      <c r="G951" s="2" t="inlineStr">
        <is>
          <t>the department describes 16 km as in use and 4 km more as planned</t>
        </is>
      </c>
      <c r="H951" s="2" t="inlineStr"/>
    </row>
    <row r="952">
      <c r="A952" s="5" t="inlineStr">
        <is>
          <t>CC-047</t>
        </is>
      </c>
      <c r="B952" s="2" t="inlineStr">
        <is>
          <t>CC-047:2</t>
        </is>
      </c>
      <c r="C952" s="2" t="inlineStr">
        <is>
          <t>100 mg/L as multiple of the 50 mg/L limit</t>
        </is>
      </c>
      <c r="D952" s="2" t="inlineStr">
        <is>
          <t>2.0</t>
        </is>
      </c>
      <c r="E952" s="2" t="inlineStr">
        <is>
          <t>x</t>
        </is>
      </c>
      <c r="F952" s="2" t="inlineStr"/>
      <c r="G952" s="2" t="inlineStr">
        <is>
          <t>claim: two times</t>
        </is>
      </c>
      <c r="H952" s="2" t="inlineStr"/>
    </row>
    <row r="953">
      <c r="A953" s="5" t="inlineStr">
        <is>
          <t>CC-047</t>
        </is>
      </c>
      <c r="B953" s="2" t="inlineStr">
        <is>
          <t>CC-047:3</t>
        </is>
      </c>
      <c r="C953" s="2" t="inlineStr">
        <is>
          <t>200 mg/L as multiple of the 50 mg/L limit</t>
        </is>
      </c>
      <c r="D953" s="2" t="inlineStr">
        <is>
          <t>4.0</t>
        </is>
      </c>
      <c r="E953" s="2" t="inlineStr">
        <is>
          <t>x</t>
        </is>
      </c>
      <c r="F953" s="2" t="inlineStr"/>
      <c r="G953" s="2" t="inlineStr">
        <is>
          <t>claim: four times</t>
        </is>
      </c>
      <c r="H953" s="2" t="inlineStr"/>
    </row>
    <row r="954">
      <c r="A954" s="5" t="inlineStr">
        <is>
          <t>CC-047</t>
        </is>
      </c>
      <c r="B954" s="2" t="inlineStr">
        <is>
          <t>CC-047:4</t>
        </is>
      </c>
      <c r="C954" s="2" t="inlineStr">
        <is>
          <t>Points with average &gt;=50 mg/L implied (share x 44)</t>
        </is>
      </c>
      <c r="D954" s="2" t="inlineStr">
        <is>
          <t>30.01</t>
        </is>
      </c>
      <c r="E954" s="2" t="inlineStr">
        <is>
          <t>points</t>
        </is>
      </c>
      <c r="F954" s="2" t="inlineStr"/>
      <c r="G954" s="2" t="inlineStr">
        <is>
          <t>integer expected</t>
        </is>
      </c>
      <c r="H954" s="2" t="inlineStr"/>
    </row>
    <row r="955">
      <c r="A955" s="5" t="inlineStr">
        <is>
          <t>CC-047</t>
        </is>
      </c>
      <c r="B955" s="2" t="inlineStr">
        <is>
          <t>CC-047:5</t>
        </is>
      </c>
      <c r="C955" s="2" t="inlineStr">
        <is>
          <t>Points with average 40-49.99 mg/L implied (share x 44)</t>
        </is>
      </c>
      <c r="D955" s="2" t="inlineStr">
        <is>
          <t>5.98</t>
        </is>
      </c>
      <c r="E955" s="2" t="inlineStr">
        <is>
          <t>points</t>
        </is>
      </c>
      <c r="F955" s="2" t="inlineStr"/>
      <c r="G955" s="2" t="inlineStr">
        <is>
          <t>integer expected</t>
        </is>
      </c>
      <c r="H955" s="2" t="inlineStr"/>
    </row>
    <row r="956">
      <c r="A956" s="5" t="inlineStr">
        <is>
          <t>CC-047</t>
        </is>
      </c>
      <c r="B956" s="2" t="inlineStr">
        <is>
          <t>CC-047:6</t>
        </is>
      </c>
      <c r="C956" s="2" t="inlineStr">
        <is>
          <t>Points with average 25-39.99 mg/L implied (share x 44)</t>
        </is>
      </c>
      <c r="D956" s="2" t="inlineStr">
        <is>
          <t>5.98</t>
        </is>
      </c>
      <c r="E956" s="2" t="inlineStr">
        <is>
          <t>points</t>
        </is>
      </c>
      <c r="F956" s="2" t="inlineStr"/>
      <c r="G956" s="2" t="inlineStr">
        <is>
          <t>integer expected</t>
        </is>
      </c>
      <c r="H956" s="2" t="inlineStr"/>
    </row>
    <row r="957">
      <c r="A957" s="5" t="inlineStr">
        <is>
          <t>CC-047</t>
        </is>
      </c>
      <c r="B957" s="2" t="inlineStr">
        <is>
          <t>CC-047:7</t>
        </is>
      </c>
      <c r="C957" s="2" t="inlineStr">
        <is>
          <t>Points with average &lt;25 mg/L implied (share x 44)</t>
        </is>
      </c>
      <c r="D957" s="2" t="inlineStr">
        <is>
          <t>1.98</t>
        </is>
      </c>
      <c r="E957" s="2" t="inlineStr">
        <is>
          <t>points</t>
        </is>
      </c>
      <c r="F957" s="2" t="inlineStr"/>
      <c r="G957" s="2" t="inlineStr">
        <is>
          <t>integer expected</t>
        </is>
      </c>
      <c r="H957" s="2" t="inlineStr"/>
    </row>
    <row r="958">
      <c r="A958" s="5" t="inlineStr">
        <is>
          <t>CC-047</t>
        </is>
      </c>
      <c r="B958" s="2" t="inlineStr">
        <is>
          <t>CC-047:8</t>
        </is>
      </c>
      <c r="C958" s="2" t="inlineStr">
        <is>
          <t>Shares sum</t>
        </is>
      </c>
      <c r="D958" s="2" t="inlineStr">
        <is>
          <t>99.9</t>
        </is>
      </c>
      <c r="E958" s="2" t="inlineStr">
        <is>
          <t>%</t>
        </is>
      </c>
      <c r="F958" s="2" t="inlineStr"/>
      <c r="G958" s="2" t="inlineStr"/>
      <c r="H958" s="2" t="inlineStr"/>
    </row>
    <row r="959">
      <c r="A959" s="5" t="inlineStr">
        <is>
          <t>CC-047</t>
        </is>
      </c>
      <c r="B959" s="2" t="inlineStr">
        <is>
          <t>CC-047:9</t>
        </is>
      </c>
      <c r="C959" s="2" t="inlineStr">
        <is>
          <t>Hotspots / points</t>
        </is>
      </c>
      <c r="D959" s="2" t="inlineStr">
        <is>
          <t>79.5</t>
        </is>
      </c>
      <c r="E959" s="2" t="inlineStr">
        <is>
          <t>%</t>
        </is>
      </c>
      <c r="F959" s="2" t="inlineStr"/>
      <c r="G959" s="2" t="inlineStr">
        <is>
          <t>Commission: 79.5% at NUTS2</t>
        </is>
      </c>
      <c r="H959" s="2" t="inlineStr"/>
    </row>
    <row r="960">
      <c r="A960" s="5" t="inlineStr">
        <is>
          <t>CC-047</t>
        </is>
      </c>
      <c r="B960" s="2" t="inlineStr">
        <is>
          <t>CC-047:10</t>
        </is>
      </c>
      <c r="C960" s="2" t="inlineStr">
        <is>
          <t>Previous period &gt;=50 implied points</t>
        </is>
      </c>
      <c r="D960" s="2" t="inlineStr">
        <is>
          <t>27.98</t>
        </is>
      </c>
      <c r="E960" s="2" t="inlineStr">
        <is>
          <t>points</t>
        </is>
      </c>
      <c r="F960" s="2" t="inlineStr"/>
      <c r="G960" s="2" t="inlineStr"/>
      <c r="H960" s="2" t="inlineStr"/>
    </row>
    <row r="961">
      <c r="A961" s="5" t="inlineStr">
        <is>
          <t>CC-047</t>
        </is>
      </c>
      <c r="B961" s="2" t="inlineStr">
        <is>
          <t>CC-047:11</t>
        </is>
      </c>
      <c r="C961" s="2" t="inlineStr">
        <is>
          <t>Points &gt;=50 summed from Table 4 by depth class</t>
        </is>
      </c>
      <c r="D961" s="2" t="inlineStr">
        <is>
          <t>30.0</t>
        </is>
      </c>
      <c r="E961" s="2" t="inlineStr">
        <is>
          <t>points</t>
        </is>
      </c>
      <c r="F961" s="2" t="inlineStr"/>
      <c r="G961" s="2" t="inlineStr">
        <is>
          <t>should equal 30</t>
        </is>
      </c>
      <c r="H961" s="2" t="inlineStr"/>
    </row>
    <row r="962">
      <c r="A962" s="5" t="inlineStr">
        <is>
          <t>CC-050</t>
        </is>
      </c>
      <c r="B962" s="2" t="inlineStr">
        <is>
          <t>CC-050:2</t>
        </is>
      </c>
      <c r="C962" s="2" t="inlineStr">
        <is>
          <t>Fine, first conviction</t>
        </is>
      </c>
      <c r="D962" s="2" t="inlineStr"/>
      <c r="E962" s="2" t="inlineStr"/>
      <c r="F962" s="2" t="inlineStr"/>
      <c r="G962" s="2" t="inlineStr">
        <is>
          <t>proposal figures reported by BirdLife Malta / Newsbook (second-hand)</t>
        </is>
      </c>
      <c r="H962" s="2" t="inlineStr">
        <is>
          <t>current_eur: 5000; proposed_eur: 3000; change_eur: -2000; change_pct: -40.0</t>
        </is>
      </c>
    </row>
    <row r="963">
      <c r="A963" s="5" t="inlineStr">
        <is>
          <t>CC-050</t>
        </is>
      </c>
      <c r="B963" s="2" t="inlineStr">
        <is>
          <t>CC-050:3</t>
        </is>
      </c>
      <c r="C963" s="2" t="inlineStr">
        <is>
          <t>Fine, second or subsequent</t>
        </is>
      </c>
      <c r="D963" s="2" t="inlineStr"/>
      <c r="E963" s="2" t="inlineStr"/>
      <c r="F963" s="2" t="inlineStr"/>
      <c r="G963" s="2" t="inlineStr">
        <is>
          <t>proposal figures reported by BirdLife Malta / Newsbook (second-hand)</t>
        </is>
      </c>
      <c r="H963" s="2" t="inlineStr">
        <is>
          <t>current_eur: 10000; proposed_eur: 6000; change_eur: -4000; change_pct: -40.0</t>
        </is>
      </c>
    </row>
    <row r="964">
      <c r="A964" s="5" t="inlineStr">
        <is>
          <t>CC-050</t>
        </is>
      </c>
      <c r="B964" s="2" t="inlineStr">
        <is>
          <t>CC-050:4</t>
        </is>
      </c>
      <c r="C964" s="2" t="inlineStr">
        <is>
          <t>PN programme: chapters searched / total hits</t>
        </is>
      </c>
      <c r="D964" s="2" t="inlineStr"/>
      <c r="E964" s="2" t="inlineStr"/>
      <c r="F964" s="2" t="inlineStr"/>
      <c r="G964" s="2" t="inlineStr">
        <is>
          <t>16 chapters, 0 hits, 964,792 characters</t>
        </is>
      </c>
      <c r="H964" s="2" t="inlineStr"/>
    </row>
    <row r="965">
      <c r="A965" s="5" t="inlineStr">
        <is>
          <t>CC-051</t>
        </is>
      </c>
      <c r="B965" s="2" t="inlineStr">
        <is>
          <t>CC-051:2</t>
        </is>
      </c>
      <c r="C965" s="2" t="inlineStr">
        <is>
          <t>Marine Natura 2000 sites</t>
        </is>
      </c>
      <c r="D965" s="2" t="inlineStr">
        <is>
          <t>18</t>
        </is>
      </c>
      <c r="E965" s="2" t="inlineStr">
        <is>
          <t>sites</t>
        </is>
      </c>
      <c r="F965" s="2" t="inlineStr">
        <is>
          <t>EEA</t>
        </is>
      </c>
      <c r="G965" s="2" t="inlineStr">
        <is>
          <t>ERA: 18 sites</t>
        </is>
      </c>
      <c r="H965" s="2" t="inlineStr"/>
    </row>
    <row r="966">
      <c r="A966" s="5" t="inlineStr">
        <is>
          <t>CC-051</t>
        </is>
      </c>
      <c r="B966" s="2" t="inlineStr">
        <is>
          <t>CC-051:3</t>
        </is>
      </c>
      <c r="C966" s="2" t="inlineStr">
        <is>
          <t>Protected sea area (union, overlaps counted once)</t>
        </is>
      </c>
      <c r="D966" s="2" t="inlineStr">
        <is>
          <t>4137.5</t>
        </is>
      </c>
      <c r="E966" s="2" t="inlineStr">
        <is>
          <t>km2</t>
        </is>
      </c>
      <c r="F966" s="2" t="inlineStr">
        <is>
          <t>EEA</t>
        </is>
      </c>
      <c r="G966" s="2" t="inlineStr">
        <is>
          <t>ERA: over 4,100 km2</t>
        </is>
      </c>
      <c r="H966" s="2" t="inlineStr"/>
    </row>
    <row r="967">
      <c r="A967" s="5" t="inlineStr">
        <is>
          <t>CC-051</t>
        </is>
      </c>
      <c r="B967" s="2" t="inlineStr">
        <is>
          <t>CC-051:4</t>
        </is>
      </c>
      <c r="C967" s="2" t="inlineStr">
        <is>
          <t>Sum of site areas (overlaps double-counted)</t>
        </is>
      </c>
      <c r="D967" s="2" t="inlineStr">
        <is>
          <t>5496.1</t>
        </is>
      </c>
      <c r="E967" s="2" t="inlineStr">
        <is>
          <t>km2</t>
        </is>
      </c>
      <c r="F967" s="2" t="inlineStr">
        <is>
          <t>EEA</t>
        </is>
      </c>
      <c r="G967" s="2" t="inlineStr"/>
      <c r="H967" s="2" t="inlineStr"/>
    </row>
    <row r="968">
      <c r="A968" s="5" t="inlineStr">
        <is>
          <t>CC-051</t>
        </is>
      </c>
      <c r="B968" s="2" t="inlineStr">
        <is>
          <t>CC-051:5</t>
        </is>
      </c>
      <c r="C968" s="2" t="inlineStr">
        <is>
          <t>Protected share of Fisheries Management Zone (25 nm)</t>
        </is>
      </c>
      <c r="D968" s="2" t="inlineStr">
        <is>
          <t>36.0</t>
        </is>
      </c>
      <c r="E968" s="2" t="inlineStr">
        <is>
          <t>%</t>
        </is>
      </c>
      <c r="F968" s="2" t="inlineStr">
        <is>
          <t>calculated</t>
        </is>
      </c>
      <c r="G968" s="2" t="inlineStr">
        <is>
          <t>MiŻien 25 nm buffer gives about 11,650 km2</t>
        </is>
      </c>
      <c r="H968" s="2" t="inlineStr"/>
    </row>
    <row r="969">
      <c r="A969" s="5" t="inlineStr">
        <is>
          <t>CC-051</t>
        </is>
      </c>
      <c r="B969" s="2" t="inlineStr">
        <is>
          <t>CC-051:6</t>
        </is>
      </c>
      <c r="C969" s="2" t="inlineStr">
        <is>
          <t>Protected share of Exclusive economic zone (Marine Regions / Protected Planet)</t>
        </is>
      </c>
      <c r="D969" s="2" t="inlineStr">
        <is>
          <t>7.8</t>
        </is>
      </c>
      <c r="E969" s="2" t="inlineStr">
        <is>
          <t>%</t>
        </is>
      </c>
      <c r="F969" s="2" t="inlineStr">
        <is>
          <t>calculated</t>
        </is>
      </c>
      <c r="G969" s="2" t="inlineStr">
        <is>
          <t>'just under 53,000 km2'</t>
        </is>
      </c>
      <c r="H969" s="2" t="inlineStr"/>
    </row>
    <row r="970">
      <c r="A970" s="5" t="inlineStr">
        <is>
          <t>CC-051</t>
        </is>
      </c>
      <c r="B970" s="2" t="inlineStr">
        <is>
          <t>CC-051:7</t>
        </is>
      </c>
      <c r="C970" s="2" t="inlineStr">
        <is>
          <t>Protected share of Marine waters reported to the EU</t>
        </is>
      </c>
      <c r="D970" s="2" t="inlineStr">
        <is>
          <t>5.5</t>
        </is>
      </c>
      <c r="E970" s="2" t="inlineStr">
        <is>
          <t>%</t>
        </is>
      </c>
      <c r="F970" s="2" t="inlineStr">
        <is>
          <t>calculated</t>
        </is>
      </c>
      <c r="G970" s="2" t="inlineStr">
        <is>
          <t>up to 200 nm</t>
        </is>
      </c>
      <c r="H970" s="2" t="inlineStr"/>
    </row>
    <row r="971">
      <c r="A971" s="5" t="inlineStr">
        <is>
          <t>CC-051</t>
        </is>
      </c>
      <c r="B971" s="2" t="inlineStr">
        <is>
          <t>CC-051:8</t>
        </is>
      </c>
      <c r="C971" s="2" t="inlineStr">
        <is>
          <t>Extra protected area needed for 30% of EU-reported marine waters</t>
        </is>
      </c>
      <c r="D971" s="2" t="inlineStr">
        <is>
          <t>18577</t>
        </is>
      </c>
      <c r="E971" s="2" t="inlineStr">
        <is>
          <t>km2</t>
        </is>
      </c>
      <c r="F971" s="2" t="inlineStr">
        <is>
          <t>calculated</t>
        </is>
      </c>
      <c r="G971" s="2" t="inlineStr"/>
      <c r="H971" s="2" t="inlineStr"/>
    </row>
    <row r="972">
      <c r="A972" s="5" t="inlineStr">
        <is>
          <t>CC-051</t>
        </is>
      </c>
      <c r="B972" s="2" t="inlineStr">
        <is>
          <t>CC-051:9</t>
        </is>
      </c>
      <c r="C972" s="2" t="inlineStr">
        <is>
          <t>Whole Fisheries Management Zone as a share of EU-reported marine waters</t>
        </is>
      </c>
      <c r="D972" s="2" t="inlineStr">
        <is>
          <t>15.2</t>
        </is>
      </c>
      <c r="E972" s="2" t="inlineStr">
        <is>
          <t>%</t>
        </is>
      </c>
      <c r="F972" s="2" t="inlineStr">
        <is>
          <t>calculated</t>
        </is>
      </c>
      <c r="G972" s="2" t="inlineStr">
        <is>
          <t>upper limit of protection if every km2 within 25 nm were protected</t>
        </is>
      </c>
      <c r="H972" s="2" t="inlineStr"/>
    </row>
    <row r="973">
      <c r="A973" s="5" t="inlineStr">
        <is>
          <t>CC-051</t>
        </is>
      </c>
      <c r="B973" s="2" t="inlineStr">
        <is>
          <t>CC-051:10</t>
        </is>
      </c>
      <c r="C973" s="2" t="inlineStr">
        <is>
          <t>EU-reported marine waters beyond 25 nm</t>
        </is>
      </c>
      <c r="D973" s="2" t="inlineStr">
        <is>
          <t>64235</t>
        </is>
      </c>
      <c r="E973" s="2" t="inlineStr">
        <is>
          <t>km2</t>
        </is>
      </c>
      <c r="F973" s="2" t="inlineStr">
        <is>
          <t>calculated</t>
        </is>
      </c>
      <c r="G973" s="2" t="inlineStr">
        <is>
          <t>84.8% of the 75,715 km2</t>
        </is>
      </c>
      <c r="H973" s="2" t="inlineStr"/>
    </row>
    <row r="974">
      <c r="A974" s="5" t="inlineStr">
        <is>
          <t>CC-051</t>
        </is>
      </c>
      <c r="B974" s="2" t="inlineStr">
        <is>
          <t>CC-051:11</t>
        </is>
      </c>
      <c r="C974" s="2" t="inlineStr">
        <is>
          <t>Boundary area: Territorial sea, 12 nm (Marine Regions v4)</t>
        </is>
      </c>
      <c r="D974" s="2" t="inlineStr">
        <is>
          <t>3835.5</t>
        </is>
      </c>
      <c r="E974" s="2" t="inlineStr">
        <is>
          <t>km2</t>
        </is>
      </c>
      <c r="F974" s="2" t="inlineStr">
        <is>
          <t>calculated (UTM 33N)</t>
        </is>
      </c>
      <c r="G974" s="2" t="inlineStr">
        <is>
          <t>Marine Regions: 3,838 km2</t>
        </is>
      </c>
      <c r="H974" s="2" t="inlineStr"/>
    </row>
    <row r="975">
      <c r="A975" s="5" t="inlineStr">
        <is>
          <t>CC-051</t>
        </is>
      </c>
      <c r="B975" s="2" t="inlineStr">
        <is>
          <t>CC-051:12</t>
        </is>
      </c>
      <c r="C975" s="2" t="inlineStr">
        <is>
          <t>Protected sea inside: Territorial sea, 12 nm (Marine Regions v4)</t>
        </is>
      </c>
      <c r="D975" s="2" t="inlineStr">
        <is>
          <t>2336.0</t>
        </is>
      </c>
      <c r="E975" s="2" t="inlineStr">
        <is>
          <t>km2</t>
        </is>
      </c>
      <c r="F975" s="2" t="inlineStr">
        <is>
          <t>calculated</t>
        </is>
      </c>
      <c r="G975" s="2" t="inlineStr"/>
      <c r="H975" s="2" t="inlineStr"/>
    </row>
    <row r="976">
      <c r="A976" s="5" t="inlineStr">
        <is>
          <t>CC-051</t>
        </is>
      </c>
      <c r="B976" s="2" t="inlineStr">
        <is>
          <t>CC-051:13</t>
        </is>
      </c>
      <c r="C976" s="2" t="inlineStr">
        <is>
          <t>Boundary area: Fisheries Management Zone, 25 nm from baselines (rebuilt)</t>
        </is>
      </c>
      <c r="D976" s="2" t="inlineStr">
        <is>
          <t>11491.6</t>
        </is>
      </c>
      <c r="E976" s="2" t="inlineStr">
        <is>
          <t>km2</t>
        </is>
      </c>
      <c r="F976" s="2" t="inlineStr">
        <is>
          <t>calculated (UTM 33N)</t>
        </is>
      </c>
      <c r="G976" s="2" t="inlineStr">
        <is>
          <t>official 11,480 km2</t>
        </is>
      </c>
      <c r="H976" s="2" t="inlineStr"/>
    </row>
    <row r="977">
      <c r="A977" s="5" t="inlineStr">
        <is>
          <t>CC-051</t>
        </is>
      </c>
      <c r="B977" s="2" t="inlineStr">
        <is>
          <t>CC-051:14</t>
        </is>
      </c>
      <c r="C977" s="2" t="inlineStr">
        <is>
          <t>Protected sea inside: Fisheries Management Zone, 25 nm from baselines (rebuilt)</t>
        </is>
      </c>
      <c r="D977" s="2" t="inlineStr">
        <is>
          <t>3954.3</t>
        </is>
      </c>
      <c r="E977" s="2" t="inlineStr">
        <is>
          <t>km2</t>
        </is>
      </c>
      <c r="F977" s="2" t="inlineStr">
        <is>
          <t>calculated</t>
        </is>
      </c>
      <c r="G977" s="2" t="inlineStr"/>
      <c r="H977" s="2" t="inlineStr"/>
    </row>
    <row r="978">
      <c r="A978" s="5" t="inlineStr">
        <is>
          <t>CC-051</t>
        </is>
      </c>
      <c r="B978" s="2" t="inlineStr">
        <is>
          <t>CC-051:15</t>
        </is>
      </c>
      <c r="C978" s="2" t="inlineStr">
        <is>
          <t>Boundary area: Exclusive economic zone (Marine Regions v12)</t>
        </is>
      </c>
      <c r="D978" s="2" t="inlineStr">
        <is>
          <t>52890.5</t>
        </is>
      </c>
      <c r="E978" s="2" t="inlineStr">
        <is>
          <t>km2</t>
        </is>
      </c>
      <c r="F978" s="2" t="inlineStr">
        <is>
          <t>calculated (UTM 33N)</t>
        </is>
      </c>
      <c r="G978" s="2" t="inlineStr">
        <is>
          <t>Marine Regions: 52,923 km2</t>
        </is>
      </c>
      <c r="H978" s="2" t="inlineStr"/>
    </row>
    <row r="979">
      <c r="A979" s="5" t="inlineStr">
        <is>
          <t>CC-051</t>
        </is>
      </c>
      <c r="B979" s="2" t="inlineStr">
        <is>
          <t>CC-051:16</t>
        </is>
      </c>
      <c r="C979" s="2" t="inlineStr">
        <is>
          <t>Protected sea inside: Exclusive economic zone (Marine Regions v12)</t>
        </is>
      </c>
      <c r="D979" s="2" t="inlineStr">
        <is>
          <t>4130.1</t>
        </is>
      </c>
      <c r="E979" s="2" t="inlineStr">
        <is>
          <t>km2</t>
        </is>
      </c>
      <c r="F979" s="2" t="inlineStr">
        <is>
          <t>calculated</t>
        </is>
      </c>
      <c r="G979" s="2" t="inlineStr"/>
      <c r="H979" s="2" t="inlineStr"/>
    </row>
    <row r="980">
      <c r="A980" s="5" t="inlineStr">
        <is>
          <t>CC-051</t>
        </is>
      </c>
      <c r="B980" s="2" t="inlineStr">
        <is>
          <t>CC-051:17</t>
        </is>
      </c>
      <c r="C980" s="2" t="inlineStr">
        <is>
          <t>Boundary area: Marine waters reported to the EU (EEA map service, simplified)</t>
        </is>
      </c>
      <c r="D980" s="2" t="inlineStr">
        <is>
          <t>75483.5</t>
        </is>
      </c>
      <c r="E980" s="2" t="inlineStr">
        <is>
          <t>km2</t>
        </is>
      </c>
      <c r="F980" s="2" t="inlineStr">
        <is>
          <t>calculated (UTM 33N)</t>
        </is>
      </c>
      <c r="G980" s="2" t="inlineStr">
        <is>
          <t>EEA spokesperson: 75,715 km2</t>
        </is>
      </c>
      <c r="H980" s="2" t="inlineStr"/>
    </row>
    <row r="981">
      <c r="A981" s="5" t="inlineStr">
        <is>
          <t>CC-051</t>
        </is>
      </c>
      <c r="B981" s="2" t="inlineStr">
        <is>
          <t>CC-051:18</t>
        </is>
      </c>
      <c r="C981" s="2" t="inlineStr">
        <is>
          <t>Protected sea inside: Marine waters reported to the EU (EEA map service, simplified)</t>
        </is>
      </c>
      <c r="D981" s="2" t="inlineStr">
        <is>
          <t>4121.5</t>
        </is>
      </c>
      <c r="E981" s="2" t="inlineStr">
        <is>
          <t>km2</t>
        </is>
      </c>
      <c r="F981" s="2" t="inlineStr">
        <is>
          <t>calculated</t>
        </is>
      </c>
      <c r="G981" s="2" t="inlineStr"/>
      <c r="H981" s="2" t="inlineStr"/>
    </row>
    <row r="982">
      <c r="A982" s="5" t="inlineStr">
        <is>
          <t>CC-051</t>
        </is>
      </c>
      <c r="B982" s="2" t="inlineStr">
        <is>
          <t>CC-051:19</t>
        </is>
      </c>
      <c r="C982" s="2" t="inlineStr">
        <is>
          <t>Protected sea more than 25 nm from the baselines</t>
        </is>
      </c>
      <c r="D982" s="2" t="inlineStr">
        <is>
          <t>0.0</t>
        </is>
      </c>
      <c r="E982" s="2" t="inlineStr">
        <is>
          <t>km2</t>
        </is>
      </c>
      <c r="F982" s="2" t="inlineStr">
        <is>
          <t>calculated</t>
        </is>
      </c>
      <c r="G982" s="2" t="inlineStr">
        <is>
          <t>0.1-nm tolerance for boundary precision</t>
        </is>
      </c>
      <c r="H982" s="2" t="inlineStr"/>
    </row>
    <row r="983">
      <c r="A983" s="5" t="inlineStr">
        <is>
          <t>CC-051</t>
        </is>
      </c>
      <c r="B983" s="2" t="inlineStr">
        <is>
          <t>CC-051:20</t>
        </is>
      </c>
      <c r="C983" s="2" t="inlineStr">
        <is>
          <t>Protected sea in internal waters (landward of the baselines)</t>
        </is>
      </c>
      <c r="D983" s="2" t="inlineStr">
        <is>
          <t>183.2</t>
        </is>
      </c>
      <c r="E983" s="2" t="inlineStr">
        <is>
          <t>km2</t>
        </is>
      </c>
      <c r="F983" s="2" t="inlineStr">
        <is>
          <t>calculated</t>
        </is>
      </c>
      <c r="G983" s="2" t="inlineStr">
        <is>
          <t>the official FMZ area excludes internal waters</t>
        </is>
      </c>
      <c r="H983" s="2" t="inlineStr"/>
    </row>
    <row r="984">
      <c r="A984" s="5" t="inlineStr">
        <is>
          <t>CC-051</t>
        </is>
      </c>
      <c r="B984" s="2" t="inlineStr">
        <is>
          <t>CC-051:21</t>
        </is>
      </c>
      <c r="C984" s="2" t="inlineStr">
        <is>
          <t>Protected share of FMZ, internal waters excluded from both</t>
        </is>
      </c>
      <c r="D984" s="2" t="inlineStr">
        <is>
          <t>34.4</t>
        </is>
      </c>
      <c r="E984" s="2" t="inlineStr">
        <is>
          <t>%</t>
        </is>
      </c>
      <c r="F984" s="2" t="inlineStr">
        <is>
          <t>calculated</t>
        </is>
      </c>
      <c r="G984" s="2" t="inlineStr"/>
      <c r="H984" s="2" t="inlineStr"/>
    </row>
    <row r="985">
      <c r="A985" s="5" t="inlineStr">
        <is>
          <t>CC-051</t>
        </is>
      </c>
      <c r="B985" s="2" t="inlineStr">
        <is>
          <t>CC-051:22</t>
        </is>
      </c>
      <c r="C985" s="2" t="inlineStr">
        <is>
          <t>Protected share of the sea within 25 nm, internal waters included in both</t>
        </is>
      </c>
      <c r="D985" s="2" t="inlineStr">
        <is>
          <t>35.4</t>
        </is>
      </c>
      <c r="E985" s="2" t="inlineStr">
        <is>
          <t>%</t>
        </is>
      </c>
      <c r="F985" s="2" t="inlineStr">
        <is>
          <t>calculated</t>
        </is>
      </c>
      <c r="G985" s="2" t="inlineStr"/>
      <c r="H985" s="2" t="inlineStr"/>
    </row>
    <row r="986">
      <c r="A986" s="5" t="inlineStr">
        <is>
          <t>CC-051</t>
        </is>
      </c>
      <c r="B986" s="2" t="inlineStr">
        <is>
          <t>CC-051:23</t>
        </is>
      </c>
      <c r="C986" s="2" t="inlineStr">
        <is>
          <t>EU-reported marine waters beyond 25 nm (boundaries)</t>
        </is>
      </c>
      <c r="D986" s="2" t="inlineStr">
        <is>
          <t>64110</t>
        </is>
      </c>
      <c r="E986" s="2" t="inlineStr">
        <is>
          <t>km2</t>
        </is>
      </c>
      <c r="F986" s="2" t="inlineStr">
        <is>
          <t>calculated</t>
        </is>
      </c>
      <c r="G986" s="2" t="inlineStr">
        <is>
          <t>84.9% of the polygon</t>
        </is>
      </c>
      <c r="H986" s="2" t="inlineStr"/>
    </row>
    <row r="987">
      <c r="A987" s="5" t="inlineStr">
        <is>
          <t>CC-051</t>
        </is>
      </c>
      <c r="B987" s="2" t="inlineStr">
        <is>
          <t>CC-051:24</t>
        </is>
      </c>
      <c r="C987" s="2" t="inlineStr">
        <is>
          <t>EU-reported marine waters outside the EEZ as mapped by Marine Regions</t>
        </is>
      </c>
      <c r="D987" s="2" t="inlineStr">
        <is>
          <t>22721</t>
        </is>
      </c>
      <c r="E987" s="2" t="inlineStr">
        <is>
          <t>km2</t>
        </is>
      </c>
      <c r="F987" s="2" t="inlineStr">
        <is>
          <t>calculated</t>
        </is>
      </c>
      <c r="G987" s="2" t="inlineStr"/>
      <c r="H987" s="2" t="inlineStr"/>
    </row>
    <row r="988">
      <c r="A988" s="5" t="inlineStr">
        <is>
          <t>CC-051</t>
        </is>
      </c>
      <c r="B988" s="2" t="inlineStr">
        <is>
          <t>CC-051:25</t>
        </is>
      </c>
      <c r="C988" s="2" t="inlineStr">
        <is>
          <t>Deepest point inside a protected site</t>
        </is>
      </c>
      <c r="D988" s="2" t="inlineStr">
        <is>
          <t>1333</t>
        </is>
      </c>
      <c r="E988" s="2" t="inlineStr">
        <is>
          <t>m</t>
        </is>
      </c>
      <c r="F988" s="2" t="inlineStr">
        <is>
          <t>EMODnet via EEA</t>
        </is>
      </c>
      <c r="G988" s="2" t="inlineStr">
        <is>
          <t>grid cells of about 200 m</t>
        </is>
      </c>
      <c r="H988" s="2" t="inlineStr"/>
    </row>
    <row r="989">
      <c r="A989" s="5" t="inlineStr">
        <is>
          <t>CC-053</t>
        </is>
      </c>
      <c r="B989" s="2" t="inlineStr">
        <is>
          <t>CC-053:2</t>
        </is>
      </c>
      <c r="C989" s="2" t="inlineStr">
        <is>
          <t>Area-weighted share in Bortle class 4 (Malta, Gozo, Comino)</t>
        </is>
      </c>
      <c r="D989" s="2" t="inlineStr">
        <is>
          <t>11.6</t>
        </is>
      </c>
      <c r="E989" s="2" t="inlineStr">
        <is>
          <t>%</t>
        </is>
      </c>
      <c r="F989" s="2" t="inlineStr">
        <is>
          <t>Caruana et al. (2020) Table 1; island areas from OpenStreetMap (docs/data/geo.json)</t>
        </is>
      </c>
      <c r="G989" s="2" t="inlineStr">
        <is>
          <t>paper's 'All' column: 12.8%</t>
        </is>
      </c>
      <c r="H989" s="2" t="inlineStr"/>
    </row>
    <row r="990">
      <c r="A990" s="5" t="inlineStr">
        <is>
          <t>CC-053</t>
        </is>
      </c>
      <c r="B990" s="2" t="inlineStr">
        <is>
          <t>CC-053:3</t>
        </is>
      </c>
      <c r="C990" s="2" t="inlineStr">
        <is>
          <t>Area-weighted share in Bortle class 5 (Malta, Gozo, Comino)</t>
        </is>
      </c>
      <c r="D990" s="2" t="inlineStr">
        <is>
          <t>50.1</t>
        </is>
      </c>
      <c r="E990" s="2" t="inlineStr">
        <is>
          <t>%</t>
        </is>
      </c>
      <c r="F990" s="2" t="inlineStr">
        <is>
          <t>Caruana et al. (2020) Table 1; island areas from OpenStreetMap (docs/data/geo.json)</t>
        </is>
      </c>
      <c r="G990" s="2" t="inlineStr">
        <is>
          <t>paper's 'All' column: 49.9%</t>
        </is>
      </c>
      <c r="H990" s="2" t="inlineStr"/>
    </row>
    <row r="991">
      <c r="A991" s="5" t="inlineStr">
        <is>
          <t>CC-053</t>
        </is>
      </c>
      <c r="B991" s="2" t="inlineStr">
        <is>
          <t>CC-053:4</t>
        </is>
      </c>
      <c r="C991" s="2" t="inlineStr">
        <is>
          <t>Area-weighted share in Bortle class 6-7 (Malta, Gozo, Comino)</t>
        </is>
      </c>
      <c r="D991" s="2" t="inlineStr">
        <is>
          <t>28.2</t>
        </is>
      </c>
      <c r="E991" s="2" t="inlineStr">
        <is>
          <t>%</t>
        </is>
      </c>
      <c r="F991" s="2" t="inlineStr">
        <is>
          <t>Caruana et al. (2020) Table 1; island areas from OpenStreetMap (docs/data/geo.json)</t>
        </is>
      </c>
      <c r="G991" s="2" t="inlineStr">
        <is>
          <t>paper's 'All' column: 27.4%</t>
        </is>
      </c>
      <c r="H991" s="2" t="inlineStr"/>
    </row>
    <row r="992">
      <c r="A992" s="5" t="inlineStr">
        <is>
          <t>CC-053</t>
        </is>
      </c>
      <c r="B992" s="2" t="inlineStr">
        <is>
          <t>CC-053:5</t>
        </is>
      </c>
      <c r="C992" s="2" t="inlineStr">
        <is>
          <t>Area-weighted share in Bortle class 8-9 (Malta, Gozo, Comino)</t>
        </is>
      </c>
      <c r="D992" s="2" t="inlineStr">
        <is>
          <t>10.2</t>
        </is>
      </c>
      <c r="E992" s="2" t="inlineStr">
        <is>
          <t>%</t>
        </is>
      </c>
      <c r="F992" s="2" t="inlineStr">
        <is>
          <t>Caruana et al. (2020) Table 1; island areas from OpenStreetMap (docs/data/geo.json)</t>
        </is>
      </c>
      <c r="G992" s="2" t="inlineStr">
        <is>
          <t>paper's 'All' column: 9.9%</t>
        </is>
      </c>
      <c r="H992" s="2" t="inlineStr"/>
    </row>
    <row r="993">
      <c r="A993" s="5" t="inlineStr">
        <is>
          <t>CC-053</t>
        </is>
      </c>
      <c r="B993" s="2" t="inlineStr">
        <is>
          <t>CC-053:6</t>
        </is>
      </c>
      <c r="C993" s="2" t="inlineStr">
        <is>
          <t>Paper: share in classes 5-9 (= 100% minus class 4)</t>
        </is>
      </c>
      <c r="D993" s="2" t="inlineStr">
        <is>
          <t>87.2</t>
        </is>
      </c>
      <c r="E993" s="2" t="inlineStr">
        <is>
          <t>%</t>
        </is>
      </c>
      <c r="F993" s="2" t="inlineStr">
        <is>
          <t>Caruana et al. (2020) Table 1; island areas from OpenStreetMap (docs/data/geo.json)</t>
        </is>
      </c>
      <c r="G993" s="2" t="inlineStr">
        <is>
          <t>the '87%' in the claim</t>
        </is>
      </c>
      <c r="H993" s="2" t="inlineStr"/>
    </row>
    <row r="994">
      <c r="A994" s="5" t="inlineStr">
        <is>
          <t>CC-053</t>
        </is>
      </c>
      <c r="B994" s="2" t="inlineStr">
        <is>
          <t>CC-053:7</t>
        </is>
      </c>
      <c r="C994" s="2" t="inlineStr">
        <is>
          <t>Paper: Milky Way visible, class 4 threshold (&gt; 20.4)</t>
        </is>
      </c>
      <c r="D994" s="2" t="inlineStr">
        <is>
          <t>12.8</t>
        </is>
      </c>
      <c r="E994" s="2" t="inlineStr">
        <is>
          <t>%</t>
        </is>
      </c>
      <c r="F994" s="2" t="inlineStr">
        <is>
          <t>Caruana et al. (2020) Table 1; island areas from OpenStreetMap (docs/data/geo.json)</t>
        </is>
      </c>
      <c r="G994" s="2" t="inlineStr">
        <is>
          <t>2017/18</t>
        </is>
      </c>
      <c r="H994" s="2" t="inlineStr"/>
    </row>
    <row r="995">
      <c r="A995" s="5" t="inlineStr">
        <is>
          <t>CC-053</t>
        </is>
      </c>
      <c r="B995" s="2" t="inlineStr">
        <is>
          <t>CC-053:8</t>
        </is>
      </c>
      <c r="C995" s="2" t="inlineStr">
        <is>
          <t>Paper: Milky Way visible, Falchi midpoint threshold (&gt; 20.3)</t>
        </is>
      </c>
      <c r="D995" s="2" t="inlineStr">
        <is>
          <t>13.5</t>
        </is>
      </c>
      <c r="E995" s="2" t="inlineStr">
        <is>
          <t>%</t>
        </is>
      </c>
      <c r="F995" s="2" t="inlineStr">
        <is>
          <t>Caruana et al. (2020) Table 1; island areas from OpenStreetMap (docs/data/geo.json)</t>
        </is>
      </c>
      <c r="G995" s="2" t="inlineStr"/>
      <c r="H995" s="2" t="inlineStr"/>
    </row>
    <row r="996">
      <c r="A996" s="5" t="inlineStr">
        <is>
          <t>CC-053</t>
        </is>
      </c>
      <c r="B996" s="2" t="inlineStr">
        <is>
          <t>CC-053:9</t>
        </is>
      </c>
      <c r="C996" s="2" t="inlineStr">
        <is>
          <t>Paper: threshold sensitivity (&gt; 20.6 to &gt; 20.0)</t>
        </is>
      </c>
      <c r="D996" s="2" t="inlineStr">
        <is>
          <t>6.3 to 25.9</t>
        </is>
      </c>
      <c r="E996" s="2" t="inlineStr">
        <is>
          <t>%</t>
        </is>
      </c>
      <c r="F996" s="2" t="inlineStr">
        <is>
          <t>Caruana et al. (2020) Table 1; island areas from OpenStreetMap (docs/data/geo.json)</t>
        </is>
      </c>
      <c r="G996" s="2" t="inlineStr"/>
      <c r="H996" s="2" t="inlineStr"/>
    </row>
    <row r="997">
      <c r="A997" s="5" t="inlineStr">
        <is>
          <t>CC-053</t>
        </is>
      </c>
      <c r="B997" s="2" t="inlineStr">
        <is>
          <t>CC-053:10</t>
        </is>
      </c>
      <c r="C997" s="2" t="inlineStr">
        <is>
          <t>Falchi et al. (2016) world atlas: Milky Way visible (Maltese islands)</t>
        </is>
      </c>
      <c r="D997" s="2" t="inlineStr">
        <is>
          <t>11</t>
        </is>
      </c>
      <c r="E997" s="2" t="inlineStr">
        <is>
          <t>%</t>
        </is>
      </c>
      <c r="F997" s="2" t="inlineStr">
        <is>
          <t>Caruana et al. (2020) Table 1; island areas from OpenStreetMap (docs/data/geo.json)</t>
        </is>
      </c>
      <c r="G997" s="2" t="inlineStr">
        <is>
          <t>as reported by Caruana et al. (2020)</t>
        </is>
      </c>
      <c r="H997" s="2" t="inlineStr"/>
    </row>
    <row r="998">
      <c r="A998" s="5" t="inlineStr">
        <is>
          <t>CC-053</t>
        </is>
      </c>
      <c r="B998" s="2" t="inlineStr">
        <is>
          <t>CC-053:11</t>
        </is>
      </c>
      <c r="C998" s="2" t="inlineStr">
        <is>
          <t>Island of Malta, class 4 share 2017/18 vs 2018/19</t>
        </is>
      </c>
      <c r="D998" s="2" t="inlineStr">
        <is>
          <t>3.9 vs 1.6</t>
        </is>
      </c>
      <c r="E998" s="2" t="inlineStr">
        <is>
          <t>%</t>
        </is>
      </c>
      <c r="F998" s="2" t="inlineStr">
        <is>
          <t>Caruana et al. (2020) Table 1; island areas from OpenStreetMap (docs/data/geo.json)</t>
        </is>
      </c>
      <c r="G998" s="2" t="inlineStr">
        <is>
          <t>second survey of Malta only</t>
        </is>
      </c>
      <c r="H998" s="2" t="inlineStr"/>
    </row>
    <row r="999">
      <c r="A999" s="5" t="inlineStr">
        <is>
          <t>CC-053</t>
        </is>
      </c>
      <c r="B999" s="2" t="inlineStr">
        <is>
          <t>CC-053:12</t>
        </is>
      </c>
      <c r="C999" s="2" t="inlineStr">
        <is>
          <t>Land area used: Malta</t>
        </is>
      </c>
      <c r="D999" s="2" t="inlineStr">
        <is>
          <t>245.62</t>
        </is>
      </c>
      <c r="E999" s="2" t="inlineStr">
        <is>
          <t>km2</t>
        </is>
      </c>
      <c r="F999" s="2" t="inlineStr">
        <is>
          <t>Caruana et al. (2020) Table 1; island areas from OpenStreetMap (docs/data/geo.json)</t>
        </is>
      </c>
      <c r="G999" s="2" t="inlineStr"/>
      <c r="H999" s="2" t="inlineStr"/>
    </row>
    <row r="1000">
      <c r="A1000" s="5" t="inlineStr">
        <is>
          <t>CC-053</t>
        </is>
      </c>
      <c r="B1000" s="2" t="inlineStr">
        <is>
          <t>CC-053:13</t>
        </is>
      </c>
      <c r="C1000" s="2" t="inlineStr">
        <is>
          <t>Land area used: Gozo</t>
        </is>
      </c>
      <c r="D1000" s="2" t="inlineStr">
        <is>
          <t>65.81</t>
        </is>
      </c>
      <c r="E1000" s="2" t="inlineStr">
        <is>
          <t>km2</t>
        </is>
      </c>
      <c r="F1000" s="2" t="inlineStr">
        <is>
          <t>Caruana et al. (2020) Table 1; island areas from OpenStreetMap (docs/data/geo.json)</t>
        </is>
      </c>
      <c r="G1000" s="2" t="inlineStr"/>
      <c r="H1000" s="2" t="inlineStr"/>
    </row>
    <row r="1001">
      <c r="A1001" s="5" t="inlineStr">
        <is>
          <t>CC-053</t>
        </is>
      </c>
      <c r="B1001" s="2" t="inlineStr">
        <is>
          <t>CC-053:14</t>
        </is>
      </c>
      <c r="C1001" s="2" t="inlineStr">
        <is>
          <t>Land area used: Comino</t>
        </is>
      </c>
      <c r="D1001" s="2" t="inlineStr">
        <is>
          <t>2.87</t>
        </is>
      </c>
      <c r="E1001" s="2" t="inlineStr">
        <is>
          <t>km2</t>
        </is>
      </c>
      <c r="F1001" s="2" t="inlineStr">
        <is>
          <t>Caruana et al. (2020) Table 1; island areas from OpenStreetMap (docs/data/geo.json)</t>
        </is>
      </c>
      <c r="G1001" s="2" t="inlineStr"/>
      <c r="H1001" s="2" t="inlineStr"/>
    </row>
    <row r="1002">
      <c r="A1002" s="5" t="inlineStr">
        <is>
          <t>CC-055</t>
        </is>
      </c>
      <c r="B1002" s="2" t="inlineStr">
        <is>
          <t>CC-055:2</t>
        </is>
      </c>
      <c r="C1002" s="2" t="inlineStr">
        <is>
          <t>Agreed amount as a share of the amount MIDI asked for (EUR 43m / EUR 78m)</t>
        </is>
      </c>
      <c r="D1002" s="2" t="inlineStr">
        <is>
          <t>55.1</t>
        </is>
      </c>
      <c r="E1002" s="2" t="inlineStr">
        <is>
          <t>%</t>
        </is>
      </c>
      <c r="F1002" s="2" t="inlineStr">
        <is>
          <t>MIDI announcements MDI214/215/222 (Malta Stock Exchange); TVM News 17 Mar, 28 Apr, 13 May 2026; retrieved 9 Oct 2026</t>
        </is>
      </c>
      <c r="G1002" s="2" t="inlineStr">
        <is>
          <t>Bonnici: 'just over half' (TVM News 17 Mar 2026); consistent</t>
        </is>
      </c>
      <c r="H1002" s="2" t="inlineStr"/>
    </row>
    <row r="1003">
      <c r="A1003" s="5" t="inlineStr">
        <is>
          <t>CC-055</t>
        </is>
      </c>
      <c r="B1003" s="2" t="inlineStr">
        <is>
          <t>CC-055:3</t>
        </is>
      </c>
      <c r="C1003" s="2" t="inlineStr">
        <is>
          <t>Gross reimbursement less net amount (EUR 47.321m - about EUR 43m)</t>
        </is>
      </c>
      <c r="D1003" s="2" t="inlineStr">
        <is>
          <t>4.3</t>
        </is>
      </c>
      <c r="E1003" s="2" t="inlineStr">
        <is>
          <t>EUR million</t>
        </is>
      </c>
      <c r="F1003" s="2" t="inlineStr">
        <is>
          <t>MIDI announcements MDI214/215/222 (Malta Stock Exchange); TVM News 17 Mar, 28 Apr, 13 May 2026; retrieved 9 Oct 2026</t>
        </is>
      </c>
      <c r="G1003" s="2" t="inlineStr">
        <is>
          <t>MIDI says the net figure is 'circa' EUR 43 million after adjusting for VAT; the two figures in the news are the gross and net of one payment</t>
        </is>
      </c>
      <c r="H1003" s="2" t="inlineStr"/>
    </row>
    <row r="1004">
      <c r="A1004" s="5" t="inlineStr">
        <is>
          <t>CC-055</t>
        </is>
      </c>
      <c r="B1004" s="2" t="inlineStr">
        <is>
          <t>CC-055:4</t>
        </is>
      </c>
      <c r="C1004" s="2" t="inlineStr">
        <is>
          <t>Days from in-principle agreement (17 Mar 2026) to the public deed (13 May 2026)</t>
        </is>
      </c>
      <c r="D1004" s="2" t="inlineStr">
        <is>
          <t>57</t>
        </is>
      </c>
      <c r="E1004" s="2" t="inlineStr">
        <is>
          <t>days</t>
        </is>
      </c>
      <c r="F1004" s="2" t="inlineStr">
        <is>
          <t>MIDI announcements MDI214/215/222 (Malta Stock Exchange); TVM News 17 Mar, 28 Apr, 13 May 2026; retrieved 9 Oct 2026</t>
        </is>
      </c>
      <c r="G1004" s="2" t="inlineStr"/>
      <c r="H1004" s="2" t="inlineStr"/>
    </row>
    <row r="1005">
      <c r="A1005" s="5" t="inlineStr">
        <is>
          <t>CC-055</t>
        </is>
      </c>
      <c r="B1005" s="2" t="inlineStr">
        <is>
          <t>CC-055:5</t>
        </is>
      </c>
      <c r="C1005" s="2" t="inlineStr">
        <is>
          <t>Days from the shareholders' meeting (28 Apr 2026) to the public deed (13 May 2026)</t>
        </is>
      </c>
      <c r="D1005" s="2" t="inlineStr">
        <is>
          <t>15</t>
        </is>
      </c>
      <c r="E1005" s="2" t="inlineStr">
        <is>
          <t>days</t>
        </is>
      </c>
      <c r="F1005" s="2" t="inlineStr">
        <is>
          <t>MIDI announcements MDI214/215/222 (Malta Stock Exchange); TVM News 17 Mar, 28 Apr, 13 May 2026; retrieved 9 Oct 2026</t>
        </is>
      </c>
      <c r="G1005" s="2" t="inlineStr"/>
      <c r="H1005" s="2" t="inlineStr"/>
    </row>
    <row r="1006">
      <c r="A1006" s="5" t="inlineStr">
        <is>
          <t>CC-055</t>
        </is>
      </c>
      <c r="B1006" s="2" t="inlineStr">
        <is>
          <t>CC-055:6</t>
        </is>
      </c>
      <c r="C1006" s="2" t="inlineStr">
        <is>
          <t>Days from the public deed (13 May 2026) to the Planning Authority's padel-court decision (16 Jul 2026)</t>
        </is>
      </c>
      <c r="D1006" s="2" t="inlineStr">
        <is>
          <t>64</t>
        </is>
      </c>
      <c r="E1006" s="2" t="inlineStr">
        <is>
          <t>days</t>
        </is>
      </c>
      <c r="F1006" s="2" t="inlineStr">
        <is>
          <t>MIDI announcements MDI214/215/222 (Malta Stock Exchange); TVM News 17 Mar, 28 Apr, 13 May 2026; retrieved 9 Oct 2026</t>
        </is>
      </c>
      <c r="G1006" s="2" t="inlineStr">
        <is>
          <t>Lovin Malta, 16 Jul 2026 (PA decision itself not read)</t>
        </is>
      </c>
      <c r="H1006" s="2" t="inlineStr"/>
    </row>
    <row r="1007">
      <c r="A1007" s="5" t="inlineStr">
        <is>
          <t>CC-055</t>
        </is>
      </c>
      <c r="B1007" s="2" t="inlineStr">
        <is>
          <t>CC-055:7</t>
        </is>
      </c>
      <c r="C1007" s="2" t="inlineStr">
        <is>
          <t>Days from the public deed (13 May 2026) to the check date (9 Oct 2026)</t>
        </is>
      </c>
      <c r="D1007" s="2" t="inlineStr">
        <is>
          <t>149</t>
        </is>
      </c>
      <c r="E1007" s="2" t="inlineStr">
        <is>
          <t>days</t>
        </is>
      </c>
      <c r="F1007" s="2" t="inlineStr">
        <is>
          <t>MIDI announcements MDI214/215/222 (Malta Stock Exchange); TVM News 17 Mar, 28 Apr, 13 May 2026; retrieved 9 Oct 2026</t>
        </is>
      </c>
      <c r="G1007" s="2" t="inlineStr">
        <is>
          <t>no national park instrument, plan or local plan change found in the sources searched</t>
        </is>
      </c>
      <c r="H1007" s="2" t="inlineStr"/>
    </row>
    <row r="1008">
      <c r="A1008" s="5" t="inlineStr">
        <is>
          <t>CC-062</t>
        </is>
      </c>
      <c r="B1008" s="2" t="inlineStr">
        <is>
          <t>CC-062:2</t>
        </is>
      </c>
      <c r="C1008" s="2" t="inlineStr">
        <is>
          <t>KPMG Table 1.1: (F + L excl. imputed rents) / total GVA less imputed rents, 2024</t>
        </is>
      </c>
      <c r="D1008" s="2" t="inlineStr">
        <is>
          <t>9.09</t>
        </is>
      </c>
      <c r="E1008" s="2" t="inlineStr">
        <is>
          <t>%</t>
        </is>
      </c>
      <c r="F1008" s="2" t="inlineStr">
        <is>
          <t>KPMG Table 1.1 (p. 23)</t>
        </is>
      </c>
      <c r="G1008" s="2" t="inlineStr">
        <is>
          <t>recomputed; KPMG prints 9.1%</t>
        </is>
      </c>
      <c r="H1008" s="2" t="inlineStr"/>
    </row>
    <row r="1009">
      <c r="A1009" s="5" t="inlineStr">
        <is>
          <t>CC-062</t>
        </is>
      </c>
      <c r="B1009" s="2" t="inlineStr">
        <is>
          <t>CC-062:3</t>
        </is>
      </c>
      <c r="C1009" s="2" t="inlineStr">
        <is>
          <t>KPMG Table 1.1 share, 2020</t>
        </is>
      </c>
      <c r="D1009" s="2" t="inlineStr">
        <is>
          <t>8.9</t>
        </is>
      </c>
      <c r="E1009" s="2" t="inlineStr">
        <is>
          <t>%</t>
        </is>
      </c>
      <c r="F1009" s="2" t="inlineStr">
        <is>
          <t>KPMG Table 1.1 (p. 23)</t>
        </is>
      </c>
      <c r="G1009" s="2" t="inlineStr"/>
      <c r="H1009" s="2" t="inlineStr"/>
    </row>
    <row r="1010">
      <c r="A1010" s="5" t="inlineStr">
        <is>
          <t>CC-062</t>
        </is>
      </c>
      <c r="B1010" s="2" t="inlineStr">
        <is>
          <t>CC-062:4</t>
        </is>
      </c>
      <c r="C1010" s="2" t="inlineStr">
        <is>
          <t>KPMG Table 1.1 share, 2021</t>
        </is>
      </c>
      <c r="D1010" s="2" t="inlineStr">
        <is>
          <t>8.9</t>
        </is>
      </c>
      <c r="E1010" s="2" t="inlineStr">
        <is>
          <t>%</t>
        </is>
      </c>
      <c r="F1010" s="2" t="inlineStr">
        <is>
          <t>KPMG Table 1.1 (p. 23)</t>
        </is>
      </c>
      <c r="G1010" s="2" t="inlineStr"/>
      <c r="H1010" s="2" t="inlineStr"/>
    </row>
    <row r="1011">
      <c r="A1011" s="5" t="inlineStr">
        <is>
          <t>CC-062</t>
        </is>
      </c>
      <c r="B1011" s="2" t="inlineStr">
        <is>
          <t>CC-062:5</t>
        </is>
      </c>
      <c r="C1011" s="2" t="inlineStr">
        <is>
          <t>KPMG Table 1.1 share, 2022</t>
        </is>
      </c>
      <c r="D1011" s="2" t="inlineStr">
        <is>
          <t>8.6</t>
        </is>
      </c>
      <c r="E1011" s="2" t="inlineStr">
        <is>
          <t>%</t>
        </is>
      </c>
      <c r="F1011" s="2" t="inlineStr">
        <is>
          <t>KPMG Table 1.1 (p. 23)</t>
        </is>
      </c>
      <c r="G1011" s="2" t="inlineStr"/>
      <c r="H1011" s="2" t="inlineStr"/>
    </row>
    <row r="1012">
      <c r="A1012" s="5" t="inlineStr">
        <is>
          <t>CC-062</t>
        </is>
      </c>
      <c r="B1012" s="2" t="inlineStr">
        <is>
          <t>CC-062:6</t>
        </is>
      </c>
      <c r="C1012" s="2" t="inlineStr">
        <is>
          <t>KPMG Table 1.1 share, 2023</t>
        </is>
      </c>
      <c r="D1012" s="2" t="inlineStr">
        <is>
          <t>9.0</t>
        </is>
      </c>
      <c r="E1012" s="2" t="inlineStr">
        <is>
          <t>%</t>
        </is>
      </c>
      <c r="F1012" s="2" t="inlineStr">
        <is>
          <t>KPMG Table 1.1 (p. 23)</t>
        </is>
      </c>
      <c r="G1012" s="2" t="inlineStr"/>
      <c r="H1012" s="2" t="inlineStr"/>
    </row>
    <row r="1013">
      <c r="A1013" s="5" t="inlineStr">
        <is>
          <t>CC-062</t>
        </is>
      </c>
      <c r="B1013" s="2" t="inlineStr">
        <is>
          <t>CC-062:7</t>
        </is>
      </c>
      <c r="C1013" s="2" t="inlineStr">
        <is>
          <t>Imputed rents implied by KPMG (total GVA 21,378 less 20,617)</t>
        </is>
      </c>
      <c r="D1013" s="2" t="inlineStr">
        <is>
          <t>761.0</t>
        </is>
      </c>
      <c r="E1013" s="2" t="inlineStr">
        <is>
          <t>EUR million</t>
        </is>
      </c>
      <c r="F1013" s="2" t="inlineStr">
        <is>
          <t>KPMG Tables 1.1, 1.2</t>
        </is>
      </c>
      <c r="G1013" s="2" t="inlineStr">
        <is>
          <t>implied; Eurostat L68A for 2024 is 737.5</t>
        </is>
      </c>
      <c r="H1013" s="2" t="inlineStr"/>
    </row>
    <row r="1014">
      <c r="A1014" s="5" t="inlineStr">
        <is>
          <t>CC-062</t>
        </is>
      </c>
      <c r="B1014" s="2" t="inlineStr">
        <is>
          <t>CC-062:8</t>
        </is>
      </c>
      <c r="C1014" s="2" t="inlineStr">
        <is>
          <t>Eurostat 2018: (F + L - imputed rents) / (total GVA - imputed rents)</t>
        </is>
      </c>
      <c r="D1014" s="2" t="inlineStr">
        <is>
          <t>8.5</t>
        </is>
      </c>
      <c r="E1014" s="2" t="inlineStr">
        <is>
          <t>%</t>
        </is>
      </c>
      <c r="F1014" s="2" t="inlineStr">
        <is>
          <t>Eurostat nama_10_a64</t>
        </is>
      </c>
      <c r="G1014" s="2" t="inlineStr"/>
      <c r="H1014" s="2" t="inlineStr"/>
    </row>
    <row r="1015">
      <c r="A1015" s="5" t="inlineStr">
        <is>
          <t>CC-062</t>
        </is>
      </c>
      <c r="B1015" s="2" t="inlineStr">
        <is>
          <t>CC-062:9</t>
        </is>
      </c>
      <c r="C1015" s="2" t="inlineStr">
        <is>
          <t>Eurostat 2018: (F + L) / total GVA, imputed rents included in both</t>
        </is>
      </c>
      <c r="D1015" s="2" t="inlineStr">
        <is>
          <t>11.13</t>
        </is>
      </c>
      <c r="E1015" s="2" t="inlineStr">
        <is>
          <t>%</t>
        </is>
      </c>
      <c r="F1015" s="2" t="inlineStr">
        <is>
          <t>Eurostat nama_10_a64</t>
        </is>
      </c>
      <c r="G1015" s="2" t="inlineStr"/>
      <c r="H1015" s="2" t="inlineStr"/>
    </row>
    <row r="1016">
      <c r="A1016" s="5" t="inlineStr">
        <is>
          <t>CC-062</t>
        </is>
      </c>
      <c r="B1016" s="2" t="inlineStr">
        <is>
          <t>CC-062:10</t>
        </is>
      </c>
      <c r="C1016" s="2" t="inlineStr">
        <is>
          <t>Eurostat 2019: (F + L - imputed rents) / (total GVA - imputed rents)</t>
        </is>
      </c>
      <c r="D1016" s="2" t="inlineStr">
        <is>
          <t>9.82</t>
        </is>
      </c>
      <c r="E1016" s="2" t="inlineStr">
        <is>
          <t>%</t>
        </is>
      </c>
      <c r="F1016" s="2" t="inlineStr">
        <is>
          <t>Eurostat nama_10_a64</t>
        </is>
      </c>
      <c r="G1016" s="2" t="inlineStr"/>
      <c r="H1016" s="2" t="inlineStr"/>
    </row>
    <row r="1017">
      <c r="A1017" s="5" t="inlineStr">
        <is>
          <t>CC-062</t>
        </is>
      </c>
      <c r="B1017" s="2" t="inlineStr">
        <is>
          <t>CC-062:11</t>
        </is>
      </c>
      <c r="C1017" s="2" t="inlineStr">
        <is>
          <t>Eurostat 2019: (F + L) / total GVA, imputed rents included in both</t>
        </is>
      </c>
      <c r="D1017" s="2" t="inlineStr">
        <is>
          <t>12.47</t>
        </is>
      </c>
      <c r="E1017" s="2" t="inlineStr">
        <is>
          <t>%</t>
        </is>
      </c>
      <c r="F1017" s="2" t="inlineStr">
        <is>
          <t>Eurostat nama_10_a64</t>
        </is>
      </c>
      <c r="G1017" s="2" t="inlineStr"/>
      <c r="H1017" s="2" t="inlineStr"/>
    </row>
    <row r="1018">
      <c r="A1018" s="5" t="inlineStr">
        <is>
          <t>CC-062</t>
        </is>
      </c>
      <c r="B1018" s="2" t="inlineStr">
        <is>
          <t>CC-062:12</t>
        </is>
      </c>
      <c r="C1018" s="2" t="inlineStr">
        <is>
          <t>Eurostat 2020: (F + L - imputed rents) / (total GVA - imputed rents)</t>
        </is>
      </c>
      <c r="D1018" s="2" t="inlineStr">
        <is>
          <t>8.94</t>
        </is>
      </c>
      <c r="E1018" s="2" t="inlineStr">
        <is>
          <t>%</t>
        </is>
      </c>
      <c r="F1018" s="2" t="inlineStr">
        <is>
          <t>Eurostat nama_10_a64</t>
        </is>
      </c>
      <c r="G1018" s="2" t="inlineStr"/>
      <c r="H1018" s="2" t="inlineStr"/>
    </row>
    <row r="1019">
      <c r="A1019" s="5" t="inlineStr">
        <is>
          <t>CC-062</t>
        </is>
      </c>
      <c r="B1019" s="2" t="inlineStr">
        <is>
          <t>CC-062:13</t>
        </is>
      </c>
      <c r="C1019" s="2" t="inlineStr">
        <is>
          <t>Eurostat 2020: (F + L) / total GVA, imputed rents included in both</t>
        </is>
      </c>
      <c r="D1019" s="2" t="inlineStr">
        <is>
          <t>11.63</t>
        </is>
      </c>
      <c r="E1019" s="2" t="inlineStr">
        <is>
          <t>%</t>
        </is>
      </c>
      <c r="F1019" s="2" t="inlineStr">
        <is>
          <t>Eurostat nama_10_a64</t>
        </is>
      </c>
      <c r="G1019" s="2" t="inlineStr"/>
      <c r="H1019" s="2" t="inlineStr"/>
    </row>
    <row r="1020">
      <c r="A1020" s="5" t="inlineStr">
        <is>
          <t>CC-062</t>
        </is>
      </c>
      <c r="B1020" s="2" t="inlineStr">
        <is>
          <t>CC-062:14</t>
        </is>
      </c>
      <c r="C1020" s="2" t="inlineStr">
        <is>
          <t>Eurostat 2021: (F + L - imputed rents) / (total GVA - imputed rents)</t>
        </is>
      </c>
      <c r="D1020" s="2" t="inlineStr">
        <is>
          <t>8.76</t>
        </is>
      </c>
      <c r="E1020" s="2" t="inlineStr">
        <is>
          <t>%</t>
        </is>
      </c>
      <c r="F1020" s="2" t="inlineStr">
        <is>
          <t>Eurostat nama_10_a64</t>
        </is>
      </c>
      <c r="G1020" s="2" t="inlineStr"/>
      <c r="H1020" s="2" t="inlineStr"/>
    </row>
    <row r="1021">
      <c r="A1021" s="5" t="inlineStr">
        <is>
          <t>CC-062</t>
        </is>
      </c>
      <c r="B1021" s="2" t="inlineStr">
        <is>
          <t>CC-062:15</t>
        </is>
      </c>
      <c r="C1021" s="2" t="inlineStr">
        <is>
          <t>Eurostat 2021: (F + L) / total GVA, imputed rents included in both</t>
        </is>
      </c>
      <c r="D1021" s="2" t="inlineStr">
        <is>
          <t>11.14</t>
        </is>
      </c>
      <c r="E1021" s="2" t="inlineStr">
        <is>
          <t>%</t>
        </is>
      </c>
      <c r="F1021" s="2" t="inlineStr">
        <is>
          <t>Eurostat nama_10_a64</t>
        </is>
      </c>
      <c r="G1021" s="2" t="inlineStr"/>
      <c r="H1021" s="2" t="inlineStr"/>
    </row>
    <row r="1022">
      <c r="A1022" s="5" t="inlineStr">
        <is>
          <t>CC-062</t>
        </is>
      </c>
      <c r="B1022" s="2" t="inlineStr">
        <is>
          <t>CC-062:16</t>
        </is>
      </c>
      <c r="C1022" s="2" t="inlineStr">
        <is>
          <t>Eurostat 2022: (F + L - imputed rents) / (total GVA - imputed rents)</t>
        </is>
      </c>
      <c r="D1022" s="2" t="inlineStr">
        <is>
          <t>8.65</t>
        </is>
      </c>
      <c r="E1022" s="2" t="inlineStr">
        <is>
          <t>%</t>
        </is>
      </c>
      <c r="F1022" s="2" t="inlineStr">
        <is>
          <t>Eurostat nama_10_a64</t>
        </is>
      </c>
      <c r="G1022" s="2" t="inlineStr"/>
      <c r="H1022" s="2" t="inlineStr"/>
    </row>
    <row r="1023">
      <c r="A1023" s="5" t="inlineStr">
        <is>
          <t>CC-062</t>
        </is>
      </c>
      <c r="B1023" s="2" t="inlineStr">
        <is>
          <t>CC-062:17</t>
        </is>
      </c>
      <c r="C1023" s="2" t="inlineStr">
        <is>
          <t>Eurostat 2022: (F + L) / total GVA, imputed rents included in both</t>
        </is>
      </c>
      <c r="D1023" s="2" t="inlineStr">
        <is>
          <t>10.43</t>
        </is>
      </c>
      <c r="E1023" s="2" t="inlineStr">
        <is>
          <t>%</t>
        </is>
      </c>
      <c r="F1023" s="2" t="inlineStr">
        <is>
          <t>Eurostat nama_10_a64</t>
        </is>
      </c>
      <c r="G1023" s="2" t="inlineStr"/>
      <c r="H1023" s="2" t="inlineStr"/>
    </row>
    <row r="1024">
      <c r="A1024" s="5" t="inlineStr">
        <is>
          <t>CC-062</t>
        </is>
      </c>
      <c r="B1024" s="2" t="inlineStr">
        <is>
          <t>CC-062:18</t>
        </is>
      </c>
      <c r="C1024" s="2" t="inlineStr">
        <is>
          <t>Eurostat 2023: (F + L - imputed rents) / (total GVA - imputed rents)</t>
        </is>
      </c>
      <c r="D1024" s="2" t="inlineStr">
        <is>
          <t>9.02</t>
        </is>
      </c>
      <c r="E1024" s="2" t="inlineStr">
        <is>
          <t>%</t>
        </is>
      </c>
      <c r="F1024" s="2" t="inlineStr">
        <is>
          <t>Eurostat nama_10_a64</t>
        </is>
      </c>
      <c r="G1024" s="2" t="inlineStr"/>
      <c r="H1024" s="2" t="inlineStr"/>
    </row>
    <row r="1025">
      <c r="A1025" s="5" t="inlineStr">
        <is>
          <t>CC-062</t>
        </is>
      </c>
      <c r="B1025" s="2" t="inlineStr">
        <is>
          <t>CC-062:19</t>
        </is>
      </c>
      <c r="C1025" s="2" t="inlineStr">
        <is>
          <t>Eurostat 2023: (F + L) / total GVA, imputed rents included in both</t>
        </is>
      </c>
      <c r="D1025" s="2" t="inlineStr">
        <is>
          <t>11.96</t>
        </is>
      </c>
      <c r="E1025" s="2" t="inlineStr">
        <is>
          <t>%</t>
        </is>
      </c>
      <c r="F1025" s="2" t="inlineStr">
        <is>
          <t>Eurostat nama_10_a64</t>
        </is>
      </c>
      <c r="G1025" s="2" t="inlineStr"/>
      <c r="H1025" s="2" t="inlineStr"/>
    </row>
    <row r="1026">
      <c r="A1026" s="5" t="inlineStr">
        <is>
          <t>CC-062</t>
        </is>
      </c>
      <c r="B1026" s="2" t="inlineStr">
        <is>
          <t>CC-062:20</t>
        </is>
      </c>
      <c r="C1026" s="2" t="inlineStr">
        <is>
          <t>Eurostat 2024: (F + L - imputed rents) / (total GVA - imputed rents)</t>
        </is>
      </c>
      <c r="D1026" s="2" t="inlineStr">
        <is>
          <t>9.61</t>
        </is>
      </c>
      <c r="E1026" s="2" t="inlineStr">
        <is>
          <t>%</t>
        </is>
      </c>
      <c r="F1026" s="2" t="inlineStr">
        <is>
          <t>Eurostat nama_10_a64</t>
        </is>
      </c>
      <c r="G1026" s="2" t="inlineStr"/>
      <c r="H1026" s="2" t="inlineStr"/>
    </row>
    <row r="1027">
      <c r="A1027" s="5" t="inlineStr">
        <is>
          <t>CC-062</t>
        </is>
      </c>
      <c r="B1027" s="2" t="inlineStr">
        <is>
          <t>CC-062:21</t>
        </is>
      </c>
      <c r="C1027" s="2" t="inlineStr">
        <is>
          <t>Eurostat 2024: (F + L) / total GVA, imputed rents included in both</t>
        </is>
      </c>
      <c r="D1027" s="2" t="inlineStr">
        <is>
          <t>12.73</t>
        </is>
      </c>
      <c r="E1027" s="2" t="inlineStr">
        <is>
          <t>%</t>
        </is>
      </c>
      <c r="F1027" s="2" t="inlineStr">
        <is>
          <t>Eurostat nama_10_a64</t>
        </is>
      </c>
      <c r="G1027" s="2" t="inlineStr"/>
      <c r="H1027" s="2" t="inlineStr"/>
    </row>
    <row r="1028">
      <c r="A1028" s="5" t="inlineStr">
        <is>
          <t>CC-062</t>
        </is>
      </c>
      <c r="B1028" s="2" t="inlineStr">
        <is>
          <t>CC-062:22</t>
        </is>
      </c>
      <c r="C1028" s="2" t="inlineStr">
        <is>
          <t>Eurostat 2025: (F + L - imputed rents) / (total GVA - imputed rents)</t>
        </is>
      </c>
      <c r="D1028" s="2" t="inlineStr">
        <is>
          <t>9.69</t>
        </is>
      </c>
      <c r="E1028" s="2" t="inlineStr">
        <is>
          <t>%</t>
        </is>
      </c>
      <c r="F1028" s="2" t="inlineStr">
        <is>
          <t>Eurostat nama_10_a64</t>
        </is>
      </c>
      <c r="G1028" s="2" t="inlineStr">
        <is>
          <t>2025 is the latest annual value in the dataset on 8 Oct 2026; see report limitations</t>
        </is>
      </c>
      <c r="H1028" s="2" t="inlineStr"/>
    </row>
    <row r="1029">
      <c r="A1029" s="5" t="inlineStr">
        <is>
          <t>CC-062</t>
        </is>
      </c>
      <c r="B1029" s="2" t="inlineStr">
        <is>
          <t>CC-062:23</t>
        </is>
      </c>
      <c r="C1029" s="2" t="inlineStr">
        <is>
          <t>Eurostat 2025: (F + L) / total GVA, imputed rents included in both</t>
        </is>
      </c>
      <c r="D1029" s="2" t="inlineStr">
        <is>
          <t>12.12</t>
        </is>
      </c>
      <c r="E1029" s="2" t="inlineStr">
        <is>
          <t>%</t>
        </is>
      </c>
      <c r="F1029" s="2" t="inlineStr">
        <is>
          <t>Eurostat nama_10_a64</t>
        </is>
      </c>
      <c r="G1029" s="2" t="inlineStr"/>
      <c r="H1029" s="2" t="inlineStr"/>
    </row>
    <row r="1030">
      <c r="A1030" s="5" t="inlineStr">
        <is>
          <t>CC-062</t>
        </is>
      </c>
      <c r="B1030" s="2" t="inlineStr">
        <is>
          <t>CC-062:24</t>
        </is>
      </c>
      <c r="C1030" s="2" t="inlineStr">
        <is>
          <t>Eurostat 2024 GVA: total economy</t>
        </is>
      </c>
      <c r="D1030" s="2" t="inlineStr">
        <is>
          <t>21378.0</t>
        </is>
      </c>
      <c r="E1030" s="2" t="inlineStr">
        <is>
          <t>EUR million</t>
        </is>
      </c>
      <c r="F1030" s="2" t="inlineStr">
        <is>
          <t>Eurostat nama_10_a64</t>
        </is>
      </c>
      <c r="G1030" s="2" t="inlineStr">
        <is>
          <t>KPMG Table 1.2: 21,378.2</t>
        </is>
      </c>
      <c r="H1030" s="2" t="inlineStr"/>
    </row>
    <row r="1031">
      <c r="A1031" s="5" t="inlineStr">
        <is>
          <t>CC-062</t>
        </is>
      </c>
      <c r="B1031" s="2" t="inlineStr">
        <is>
          <t>CC-062:25</t>
        </is>
      </c>
      <c r="C1031" s="2" t="inlineStr">
        <is>
          <t>Eurostat 2024 GVA: construction (F)</t>
        </is>
      </c>
      <c r="D1031" s="2" t="inlineStr">
        <is>
          <t>893.6</t>
        </is>
      </c>
      <c r="E1031" s="2" t="inlineStr">
        <is>
          <t>EUR million</t>
        </is>
      </c>
      <c r="F1031" s="2" t="inlineStr">
        <is>
          <t>Eurostat nama_10_a64</t>
        </is>
      </c>
      <c r="G1031" s="2" t="inlineStr">
        <is>
          <t>KPMG Table 1.2: 809.0 (an earlier vintage; Eurostat is 10% higher)</t>
        </is>
      </c>
      <c r="H1031" s="2" t="inlineStr"/>
    </row>
    <row r="1032">
      <c r="A1032" s="5" t="inlineStr">
        <is>
          <t>CC-062</t>
        </is>
      </c>
      <c r="B1032" s="2" t="inlineStr">
        <is>
          <t>CC-062:26</t>
        </is>
      </c>
      <c r="C1032" s="2" t="inlineStr">
        <is>
          <t>Eurostat 2024 GVA: real estate (L) including imputed rents</t>
        </is>
      </c>
      <c r="D1032" s="2" t="inlineStr">
        <is>
          <t>1827.0</t>
        </is>
      </c>
      <c r="E1032" s="2" t="inlineStr">
        <is>
          <t>EUR million</t>
        </is>
      </c>
      <c r="F1032" s="2" t="inlineStr">
        <is>
          <t>Eurostat nama_10_a64</t>
        </is>
      </c>
      <c r="G1032" s="2" t="inlineStr">
        <is>
          <t>KPMG Table 1.2: 1,826.9</t>
        </is>
      </c>
      <c r="H1032" s="2" t="inlineStr"/>
    </row>
    <row r="1033">
      <c r="A1033" s="5" t="inlineStr">
        <is>
          <t>CC-062</t>
        </is>
      </c>
      <c r="B1033" s="2" t="inlineStr">
        <is>
          <t>CC-062:27</t>
        </is>
      </c>
      <c r="C1033" s="2" t="inlineStr">
        <is>
          <t>Eurostat 2024 GVA: imputed rents (L68A)</t>
        </is>
      </c>
      <c r="D1033" s="2" t="inlineStr">
        <is>
          <t>737.5</t>
        </is>
      </c>
      <c r="E1033" s="2" t="inlineStr">
        <is>
          <t>EUR million</t>
        </is>
      </c>
      <c r="F1033" s="2" t="inlineStr">
        <is>
          <t>Eurostat nama_10_a64</t>
        </is>
      </c>
      <c r="G1033" s="2" t="inlineStr"/>
      <c r="H1033" s="2" t="inlineStr"/>
    </row>
    <row r="1034">
      <c r="A1034" s="5" t="inlineStr">
        <is>
          <t>CC-062</t>
        </is>
      </c>
      <c r="B1034" s="2" t="inlineStr">
        <is>
          <t>CC-062:28</t>
        </is>
      </c>
      <c r="C1034" s="2" t="inlineStr">
        <is>
          <t>Table 1.3: construction output x 0.55</t>
        </is>
      </c>
      <c r="D1034" s="2" t="inlineStr">
        <is>
          <t>1317.2</t>
        </is>
      </c>
      <c r="E1034" s="2" t="inlineStr">
        <is>
          <t>EUR million</t>
        </is>
      </c>
      <c r="F1034" s="2" t="inlineStr">
        <is>
          <t>KPMG Table 1.3 (p. 30)</t>
        </is>
      </c>
      <c r="G1034" s="2" t="inlineStr">
        <is>
          <t>KPMG prints 1,317</t>
        </is>
      </c>
      <c r="H1034" s="2" t="inlineStr"/>
    </row>
    <row r="1035">
      <c r="A1035" s="5" t="inlineStr">
        <is>
          <t>CC-062</t>
        </is>
      </c>
      <c r="B1035" s="2" t="inlineStr">
        <is>
          <t>CC-062:29</t>
        </is>
      </c>
      <c r="C1035" s="2" t="inlineStr">
        <is>
          <t>Table 1.3: real estate output x 0.78</t>
        </is>
      </c>
      <c r="D1035" s="2" t="inlineStr">
        <is>
          <t>1901.6</t>
        </is>
      </c>
      <c r="E1035" s="2" t="inlineStr">
        <is>
          <t>EUR million</t>
        </is>
      </c>
      <c r="F1035" s="2" t="inlineStr">
        <is>
          <t>KPMG Table 1.3 (p. 30)</t>
        </is>
      </c>
      <c r="G1035" s="2" t="inlineStr">
        <is>
          <t>KPMG prints 1,901</t>
        </is>
      </c>
      <c r="H1035" s="2" t="inlineStr"/>
    </row>
    <row r="1036">
      <c r="A1036" s="5" t="inlineStr">
        <is>
          <t>CC-062</t>
        </is>
      </c>
      <c r="B1036" s="2" t="inlineStr">
        <is>
          <t>CC-062:30</t>
        </is>
      </c>
      <c r="C1036" s="2" t="inlineStr">
        <is>
          <t>Table 1.3: unrounded sum less inter-industry linkages (216)</t>
        </is>
      </c>
      <c r="D1036" s="2" t="inlineStr">
        <is>
          <t>3002.9</t>
        </is>
      </c>
      <c r="E1036" s="2" t="inlineStr">
        <is>
          <t>EUR million</t>
        </is>
      </c>
      <c r="F1036" s="2" t="inlineStr">
        <is>
          <t>KPMG Table 1.3</t>
        </is>
      </c>
      <c r="G1036" s="2" t="inlineStr">
        <is>
          <t>KPMG prints 3,002 (3,219 - 216 = 3,003 on its rounded lines)</t>
        </is>
      </c>
      <c r="H1036" s="2" t="inlineStr"/>
    </row>
    <row r="1037">
      <c r="A1037" s="5" t="inlineStr">
        <is>
          <t>CC-062</t>
        </is>
      </c>
      <c r="B1037" s="2" t="inlineStr">
        <is>
          <t>CC-062:31</t>
        </is>
      </c>
      <c r="C1037" s="2" t="inlineStr">
        <is>
          <t>Table 1.3: 3,002 / total GVA 21,378 (incl. imputed rents)</t>
        </is>
      </c>
      <c r="D1037" s="2" t="inlineStr">
        <is>
          <t>14.04</t>
        </is>
      </c>
      <c r="E1037" s="2" t="inlineStr">
        <is>
          <t>%</t>
        </is>
      </c>
      <c r="F1037" s="2" t="inlineStr">
        <is>
          <t>KPMG Tables 1.2, 1.3</t>
        </is>
      </c>
      <c r="G1037" s="2" t="inlineStr">
        <is>
          <t>KPMG prints 14.04%</t>
        </is>
      </c>
      <c r="H1037" s="2" t="inlineStr"/>
    </row>
    <row r="1038">
      <c r="A1038" s="5" t="inlineStr">
        <is>
          <t>CC-062</t>
        </is>
      </c>
      <c r="B1038" s="2" t="inlineStr">
        <is>
          <t>CC-062:32</t>
        </is>
      </c>
      <c r="C1038" s="2" t="inlineStr">
        <is>
          <t>Table 1.3: construction share 1,317 / 21,378</t>
        </is>
      </c>
      <c r="D1038" s="2" t="inlineStr">
        <is>
          <t>6.16</t>
        </is>
      </c>
      <c r="E1038" s="2" t="inlineStr">
        <is>
          <t>%</t>
        </is>
      </c>
      <c r="F1038" s="2" t="inlineStr">
        <is>
          <t>KPMG Table 1.3</t>
        </is>
      </c>
      <c r="G1038" s="2" t="inlineStr">
        <is>
          <t>KPMG prints 6.16%</t>
        </is>
      </c>
      <c r="H1038" s="2" t="inlineStr"/>
    </row>
    <row r="1039">
      <c r="A1039" s="5" t="inlineStr">
        <is>
          <t>CC-062</t>
        </is>
      </c>
      <c r="B1039" s="2" t="inlineStr">
        <is>
          <t>CC-062:33</t>
        </is>
      </c>
      <c r="C1039" s="2" t="inlineStr">
        <is>
          <t>Table 1.3: real estate share 1,901 / 21,378</t>
        </is>
      </c>
      <c r="D1039" s="2" t="inlineStr">
        <is>
          <t>8.89</t>
        </is>
      </c>
      <c r="E1039" s="2" t="inlineStr">
        <is>
          <t>%</t>
        </is>
      </c>
      <c r="F1039" s="2" t="inlineStr">
        <is>
          <t>KPMG Table 1.3</t>
        </is>
      </c>
      <c r="G1039" s="2" t="inlineStr">
        <is>
          <t>KPMG prints 8.89%</t>
        </is>
      </c>
      <c r="H1039" s="2" t="inlineStr"/>
    </row>
    <row r="1040">
      <c r="A1040" s="5" t="inlineStr">
        <is>
          <t>CC-062</t>
        </is>
      </c>
      <c r="B1040" s="2" t="inlineStr">
        <is>
          <t>CC-062:34</t>
        </is>
      </c>
      <c r="C1040" s="2" t="inlineStr">
        <is>
          <t>Eurostat 2024 output: construction (F)</t>
        </is>
      </c>
      <c r="D1040" s="2" t="inlineStr">
        <is>
          <t>2396.2</t>
        </is>
      </c>
      <c r="E1040" s="2" t="inlineStr">
        <is>
          <t>EUR million</t>
        </is>
      </c>
      <c r="F1040" s="2" t="inlineStr">
        <is>
          <t>Eurostat nama_10_a64</t>
        </is>
      </c>
      <c r="G1040" s="2" t="inlineStr">
        <is>
          <t>KPMG Table 1.3 uses 2,395</t>
        </is>
      </c>
      <c r="H1040" s="2" t="inlineStr"/>
    </row>
    <row r="1041">
      <c r="A1041" s="5" t="inlineStr">
        <is>
          <t>CC-062</t>
        </is>
      </c>
      <c r="B1041" s="2" t="inlineStr">
        <is>
          <t>CC-062:35</t>
        </is>
      </c>
      <c r="C1041" s="2" t="inlineStr">
        <is>
          <t>Eurostat 2024 output: real estate (L, incl. imputed rents)</t>
        </is>
      </c>
      <c r="D1041" s="2" t="inlineStr">
        <is>
          <t>2438.5</t>
        </is>
      </c>
      <c r="E1041" s="2" t="inlineStr">
        <is>
          <t>EUR million</t>
        </is>
      </c>
      <c r="F1041" s="2" t="inlineStr">
        <is>
          <t>Eurostat nama_10_a64</t>
        </is>
      </c>
      <c r="G1041" s="2" t="inlineStr">
        <is>
          <t>KPMG Table 1.3 uses 2,438</t>
        </is>
      </c>
      <c r="H1041" s="2" t="inlineStr"/>
    </row>
    <row r="1042">
      <c r="A1042" s="5" t="inlineStr">
        <is>
          <t>CC-062</t>
        </is>
      </c>
      <c r="B1042" s="2" t="inlineStr">
        <is>
          <t>CC-062:36</t>
        </is>
      </c>
      <c r="C1042" s="2" t="inlineStr">
        <is>
          <t>Direct F + L including imputed rents, KPMG's figures</t>
        </is>
      </c>
      <c r="D1042" s="2" t="inlineStr">
        <is>
          <t>2635.9</t>
        </is>
      </c>
      <c r="E1042" s="2" t="inlineStr">
        <is>
          <t>EUR million</t>
        </is>
      </c>
      <c r="F1042" s="2" t="inlineStr">
        <is>
          <t>KPMG Table 1.2 (p. 25)</t>
        </is>
      </c>
      <c r="G1042" s="2" t="inlineStr"/>
      <c r="H1042" s="2" t="inlineStr"/>
    </row>
    <row r="1043">
      <c r="A1043" s="5" t="inlineStr">
        <is>
          <t>CC-062</t>
        </is>
      </c>
      <c r="B1043" s="2" t="inlineStr">
        <is>
          <t>CC-062:37</t>
        </is>
      </c>
      <c r="C1043" s="2" t="inlineStr">
        <is>
          <t>Direct share incl. imputed rents (same basis as the 14%)</t>
        </is>
      </c>
      <c r="D1043" s="2" t="inlineStr">
        <is>
          <t>12.33</t>
        </is>
      </c>
      <c r="E1043" s="2" t="inlineStr">
        <is>
          <t>%</t>
        </is>
      </c>
      <c r="F1043" s="2" t="inlineStr">
        <is>
          <t>KPMG Table 1.2 (p. 25)</t>
        </is>
      </c>
      <c r="G1043" s="2" t="inlineStr"/>
      <c r="H1043" s="2" t="inlineStr"/>
    </row>
    <row r="1044">
      <c r="A1044" s="5" t="inlineStr">
        <is>
          <t>CC-062</t>
        </is>
      </c>
      <c r="B1044" s="2" t="inlineStr">
        <is>
          <t>CC-062:38</t>
        </is>
      </c>
      <c r="C1044" s="2" t="inlineStr">
        <is>
          <t>Step 1: change of basis (imputed rents in), 9.1% -&gt; direct incl. imputed</t>
        </is>
      </c>
      <c r="D1044" s="2" t="inlineStr">
        <is>
          <t>3.24</t>
        </is>
      </c>
      <c r="E1044" s="2" t="inlineStr">
        <is>
          <t>pp</t>
        </is>
      </c>
      <c r="F1044" s="2" t="inlineStr">
        <is>
          <t>calculated</t>
        </is>
      </c>
      <c r="G1044" s="2" t="inlineStr"/>
      <c r="H1044" s="2" t="inlineStr"/>
    </row>
    <row r="1045">
      <c r="A1045" s="5" t="inlineStr">
        <is>
          <t>CC-062</t>
        </is>
      </c>
      <c r="B1045" s="2" t="inlineStr">
        <is>
          <t>CC-062:39</t>
        </is>
      </c>
      <c r="C1045" s="2" t="inlineStr">
        <is>
          <t>Step 2: indirect linkages on the same basis, direct incl. imputed -&gt; 14.04%</t>
        </is>
      </c>
      <c r="D1045" s="2" t="inlineStr">
        <is>
          <t>1.71</t>
        </is>
      </c>
      <c r="E1045" s="2" t="inlineStr">
        <is>
          <t>pp</t>
        </is>
      </c>
      <c r="F1045" s="2" t="inlineStr">
        <is>
          <t>calculated</t>
        </is>
      </c>
      <c r="G1045" s="2" t="inlineStr"/>
      <c r="H1045" s="2" t="inlineStr"/>
    </row>
    <row r="1046">
      <c r="A1046" s="5" t="inlineStr">
        <is>
          <t>CC-062</t>
        </is>
      </c>
      <c r="B1046" s="2" t="inlineStr">
        <is>
          <t>CC-062:40</t>
        </is>
      </c>
      <c r="C1046" s="2" t="inlineStr">
        <is>
          <t>Total step 9.1% -&gt; 14.04%</t>
        </is>
      </c>
      <c r="D1046" s="2" t="inlineStr">
        <is>
          <t>4.95</t>
        </is>
      </c>
      <c r="E1046" s="2" t="inlineStr">
        <is>
          <t>pp</t>
        </is>
      </c>
      <c r="F1046" s="2" t="inlineStr">
        <is>
          <t>calculated</t>
        </is>
      </c>
      <c r="G1046" s="2" t="inlineStr"/>
      <c r="H1046" s="2" t="inlineStr"/>
    </row>
    <row r="1047">
      <c r="A1047" s="5" t="inlineStr">
        <is>
          <t>CC-062</t>
        </is>
      </c>
      <c r="B1047" s="2" t="inlineStr">
        <is>
          <t>CC-062:41</t>
        </is>
      </c>
      <c r="C1047" s="2" t="inlineStr">
        <is>
          <t>Share of the step due to change of basis</t>
        </is>
      </c>
      <c r="D1047" s="2" t="inlineStr">
        <is>
          <t>65</t>
        </is>
      </c>
      <c r="E1047" s="2" t="inlineStr">
        <is>
          <t>%</t>
        </is>
      </c>
      <c r="F1047" s="2" t="inlineStr">
        <is>
          <t>calculated</t>
        </is>
      </c>
      <c r="G1047" s="2" t="inlineStr"/>
      <c r="H1047" s="2" t="inlineStr"/>
    </row>
    <row r="1048">
      <c r="A1048" s="5" t="inlineStr">
        <is>
          <t>CC-062</t>
        </is>
      </c>
      <c r="B1048" s="2" t="inlineStr">
        <is>
          <t>CC-062:42</t>
        </is>
      </c>
      <c r="C1048" s="2" t="inlineStr">
        <is>
          <t>Same, with Eurostat's current vintage: direct incl. imputed rents</t>
        </is>
      </c>
      <c r="D1048" s="2" t="inlineStr">
        <is>
          <t>12.73</t>
        </is>
      </c>
      <c r="E1048" s="2" t="inlineStr">
        <is>
          <t>%</t>
        </is>
      </c>
      <c r="F1048" s="2" t="inlineStr">
        <is>
          <t>Eurostat nama_10_a64</t>
        </is>
      </c>
      <c r="G1048" s="2" t="inlineStr">
        <is>
          <t>indirect step would be 14.04 - this</t>
        </is>
      </c>
      <c r="H1048" s="2" t="inlineStr"/>
    </row>
    <row r="1049">
      <c r="A1049" s="5" t="inlineStr">
        <is>
          <t>CC-062</t>
        </is>
      </c>
      <c r="B1049" s="2" t="inlineStr">
        <is>
          <t>CC-062:43</t>
        </is>
      </c>
      <c r="C1049" s="2" t="inlineStr">
        <is>
          <t>Multiplier-based value added beyond direct, construction (1,317 - 809)</t>
        </is>
      </c>
      <c r="D1049" s="2" t="inlineStr">
        <is>
          <t>508.0</t>
        </is>
      </c>
      <c r="E1049" s="2" t="inlineStr">
        <is>
          <t>EUR million</t>
        </is>
      </c>
      <c r="F1049" s="2" t="inlineStr">
        <is>
          <t>calculated</t>
        </is>
      </c>
      <c r="G1049" s="2" t="inlineStr">
        <is>
          <t>multiplier-based, not observed</t>
        </is>
      </c>
      <c r="H1049" s="2" t="inlineStr"/>
    </row>
    <row r="1050">
      <c r="A1050" s="5" t="inlineStr">
        <is>
          <t>CC-062</t>
        </is>
      </c>
      <c r="B1050" s="2" t="inlineStr">
        <is>
          <t>CC-062:44</t>
        </is>
      </c>
      <c r="C1050" s="2" t="inlineStr">
        <is>
          <t>Multiplier-based value added beyond direct, real estate (1,901 - 1,827)</t>
        </is>
      </c>
      <c r="D1050" s="2" t="inlineStr">
        <is>
          <t>75.0</t>
        </is>
      </c>
      <c r="E1050" s="2" t="inlineStr">
        <is>
          <t>EUR million</t>
        </is>
      </c>
      <c r="F1050" s="2" t="inlineStr">
        <is>
          <t>calculated</t>
        </is>
      </c>
      <c r="G1050" s="2" t="inlineStr">
        <is>
          <t>multiplier-based, not observed</t>
        </is>
      </c>
      <c r="H1050" s="2" t="inlineStr"/>
    </row>
    <row r="1051">
      <c r="A1051" s="5" t="inlineStr">
        <is>
          <t>CC-062</t>
        </is>
      </c>
      <c r="B1051" s="2" t="inlineStr">
        <is>
          <t>CC-062:45</t>
        </is>
      </c>
      <c r="C1051" s="2" t="inlineStr">
        <is>
          <t>Direct value added per EUR of output, construction (KPMG 809 / 2,395)</t>
        </is>
      </c>
      <c r="D1051" s="2" t="inlineStr">
        <is>
          <t>0.338</t>
        </is>
      </c>
      <c r="E1051" s="2" t="inlineStr">
        <is>
          <t>ratio</t>
        </is>
      </c>
      <c r="F1051" s="2" t="inlineStr">
        <is>
          <t>calculated</t>
        </is>
      </c>
      <c r="G1051" s="2" t="inlineStr">
        <is>
          <t>compare Type 1 multiplier 0.55: indirect adds 0.55 - this</t>
        </is>
      </c>
      <c r="H1051" s="2" t="inlineStr"/>
    </row>
    <row r="1052">
      <c r="A1052" s="5" t="inlineStr">
        <is>
          <t>CC-062</t>
        </is>
      </c>
      <c r="B1052" s="2" t="inlineStr">
        <is>
          <t>CC-062:46</t>
        </is>
      </c>
      <c r="C1052" s="2" t="inlineStr">
        <is>
          <t>Eurostat naio_10_cp1750 Malta 2015: value added in industries with a published column</t>
        </is>
      </c>
      <c r="D1052" s="2" t="inlineStr">
        <is>
          <t>6443.0</t>
        </is>
      </c>
      <c r="E1052" s="2" t="inlineStr">
        <is>
          <t>EUR million</t>
        </is>
      </c>
      <c r="F1052" s="2" t="inlineStr">
        <is>
          <t>Eurostat naio_10_cp1750</t>
        </is>
      </c>
      <c r="G1052" s="2" t="inlineStr">
        <is>
          <t>of total 8889.0: 72.0%</t>
        </is>
      </c>
      <c r="H1052" s="2" t="inlineStr"/>
    </row>
    <row r="1053">
      <c r="A1053" s="5" t="inlineStr">
        <is>
          <t>CC-062</t>
        </is>
      </c>
      <c r="B1053" s="2" t="inlineStr">
        <is>
          <t>CC-062:47</t>
        </is>
      </c>
      <c r="C1053" s="2" t="inlineStr">
        <is>
          <t>Eurostat naio_10_cp1750 Malta 2015: industry columns with output &gt; 0</t>
        </is>
      </c>
      <c r="D1053" s="2" t="inlineStr">
        <is>
          <t>37</t>
        </is>
      </c>
      <c r="E1053" s="2" t="inlineStr">
        <is>
          <t>columns</t>
        </is>
      </c>
      <c r="F1053" s="2" t="inlineStr">
        <is>
          <t>Eurostat naio_10_cp1750</t>
        </is>
      </c>
      <c r="G1053" s="2" t="inlineStr">
        <is>
          <t>of 121 listed codes, including aggregates and sub-items</t>
        </is>
      </c>
      <c r="H1053" s="2" t="inlineStr"/>
    </row>
    <row r="1054">
      <c r="A1054" s="5" t="inlineStr">
        <is>
          <t>CC-062</t>
        </is>
      </c>
      <c r="B1054" s="2" t="inlineStr">
        <is>
          <t>CC-062:48</t>
        </is>
      </c>
      <c r="C1054" s="2" t="inlineStr">
        <is>
          <t>Eurostat naio_10_cp1750 Malta 2020: value added in industries with a published column</t>
        </is>
      </c>
      <c r="D1054" s="2" t="inlineStr">
        <is>
          <t>12104.0</t>
        </is>
      </c>
      <c r="E1054" s="2" t="inlineStr">
        <is>
          <t>EUR million</t>
        </is>
      </c>
      <c r="F1054" s="2" t="inlineStr">
        <is>
          <t>Eurostat naio_10_cp1750</t>
        </is>
      </c>
      <c r="G1054" s="2" t="inlineStr">
        <is>
          <t>of total 13150.0: 92.0%</t>
        </is>
      </c>
      <c r="H1054" s="2" t="inlineStr"/>
    </row>
    <row r="1055">
      <c r="A1055" s="5" t="inlineStr">
        <is>
          <t>CC-062</t>
        </is>
      </c>
      <c r="B1055" s="2" t="inlineStr">
        <is>
          <t>CC-062:49</t>
        </is>
      </c>
      <c r="C1055" s="2" t="inlineStr">
        <is>
          <t>Eurostat naio_10_cp1750 Malta 2020: industry columns with output &gt; 0</t>
        </is>
      </c>
      <c r="D1055" s="2" t="inlineStr">
        <is>
          <t>55</t>
        </is>
      </c>
      <c r="E1055" s="2" t="inlineStr">
        <is>
          <t>columns</t>
        </is>
      </c>
      <c r="F1055" s="2" t="inlineStr">
        <is>
          <t>Eurostat naio_10_cp1750</t>
        </is>
      </c>
      <c r="G1055" s="2" t="inlineStr">
        <is>
          <t>of 121 listed codes, including aggregates and sub-items</t>
        </is>
      </c>
      <c r="H1055" s="2" t="inlineStr"/>
    </row>
    <row r="1056">
      <c r="A1056" s="5" t="inlineStr">
        <is>
          <t>CC-063</t>
        </is>
      </c>
      <c r="B1056" s="2" t="inlineStr">
        <is>
          <t>CC-063:2</t>
        </is>
      </c>
      <c r="C1056" s="2" t="inlineStr">
        <is>
          <t>Construction production volume index 2019 (2015=100)</t>
        </is>
      </c>
      <c r="D1056" s="2" t="inlineStr">
        <is>
          <t>140.5</t>
        </is>
      </c>
      <c r="E1056" s="2" t="inlineStr">
        <is>
          <t>index</t>
        </is>
      </c>
      <c r="F1056" s="2" t="inlineStr">
        <is>
          <t>Eurostat (sts_copr_a updated 2 Oct 2026; env_wasgen, env_wastrt updated Sep 2025), retrieved 5 Oct 2026</t>
        </is>
      </c>
      <c r="G1056" s="2" t="inlineStr"/>
      <c r="H1056" s="2" t="inlineStr"/>
    </row>
    <row r="1057">
      <c r="A1057" s="5" t="inlineStr">
        <is>
          <t>CC-063</t>
        </is>
      </c>
      <c r="B1057" s="2" t="inlineStr">
        <is>
          <t>CC-063:3</t>
        </is>
      </c>
      <c r="C1057" s="2" t="inlineStr">
        <is>
          <t>Construction production volume index 2020 (2015=100)</t>
        </is>
      </c>
      <c r="D1057" s="2" t="inlineStr">
        <is>
          <t>145.5</t>
        </is>
      </c>
      <c r="E1057" s="2" t="inlineStr">
        <is>
          <t>index</t>
        </is>
      </c>
      <c r="F1057" s="2" t="inlineStr">
        <is>
          <t>Eurostat (sts_copr_a updated 2 Oct 2026; env_wasgen, env_wastrt updated Sep 2025), retrieved 5 Oct 2026</t>
        </is>
      </c>
      <c r="G1057" s="2" t="inlineStr"/>
      <c r="H1057" s="2" t="inlineStr"/>
    </row>
    <row r="1058">
      <c r="A1058" s="5" t="inlineStr">
        <is>
          <t>CC-063</t>
        </is>
      </c>
      <c r="B1058" s="2" t="inlineStr">
        <is>
          <t>CC-063:4</t>
        </is>
      </c>
      <c r="C1058" s="2" t="inlineStr">
        <is>
          <t>Construction production volume index 2021 (2015=100)</t>
        </is>
      </c>
      <c r="D1058" s="2" t="inlineStr">
        <is>
          <t>154.0</t>
        </is>
      </c>
      <c r="E1058" s="2" t="inlineStr">
        <is>
          <t>index</t>
        </is>
      </c>
      <c r="F1058" s="2" t="inlineStr">
        <is>
          <t>Eurostat (sts_copr_a updated 2 Oct 2026; env_wasgen, env_wastrt updated Sep 2025), retrieved 5 Oct 2026</t>
        </is>
      </c>
      <c r="G1058" s="2" t="inlineStr"/>
      <c r="H1058" s="2" t="inlineStr"/>
    </row>
    <row r="1059">
      <c r="A1059" s="5" t="inlineStr">
        <is>
          <t>CC-063</t>
        </is>
      </c>
      <c r="B1059" s="2" t="inlineStr">
        <is>
          <t>CC-063:5</t>
        </is>
      </c>
      <c r="C1059" s="2" t="inlineStr">
        <is>
          <t>Construction production volume index 2022 (2015=100)</t>
        </is>
      </c>
      <c r="D1059" s="2" t="inlineStr">
        <is>
          <t>162.5</t>
        </is>
      </c>
      <c r="E1059" s="2" t="inlineStr">
        <is>
          <t>index</t>
        </is>
      </c>
      <c r="F1059" s="2" t="inlineStr">
        <is>
          <t>Eurostat (sts_copr_a updated 2 Oct 2026; env_wasgen, env_wastrt updated Sep 2025), retrieved 5 Oct 2026</t>
        </is>
      </c>
      <c r="G1059" s="2" t="inlineStr">
        <is>
          <t>provisional</t>
        </is>
      </c>
      <c r="H1059" s="2" t="inlineStr"/>
    </row>
    <row r="1060">
      <c r="A1060" s="5" t="inlineStr">
        <is>
          <t>CC-063</t>
        </is>
      </c>
      <c r="B1060" s="2" t="inlineStr">
        <is>
          <t>CC-063:6</t>
        </is>
      </c>
      <c r="C1060" s="2" t="inlineStr">
        <is>
          <t>Change in construction volume, 2019 to 2020</t>
        </is>
      </c>
      <c r="D1060" s="2" t="inlineStr">
        <is>
          <t>3.6</t>
        </is>
      </c>
      <c r="E1060" s="2" t="inlineStr">
        <is>
          <t>%</t>
        </is>
      </c>
      <c r="F1060" s="2" t="inlineStr">
        <is>
          <t>Eurostat (sts_copr_a updated 2 Oct 2026; env_wasgen, env_wastrt updated Sep 2025), retrieved 5 Oct 2026</t>
        </is>
      </c>
      <c r="G1060" s="2" t="inlineStr"/>
      <c r="H1060" s="2" t="inlineStr"/>
    </row>
    <row r="1061">
      <c r="A1061" s="5" t="inlineStr">
        <is>
          <t>CC-063</t>
        </is>
      </c>
      <c r="B1061" s="2" t="inlineStr">
        <is>
          <t>CC-063:7</t>
        </is>
      </c>
      <c r="C1061" s="2" t="inlineStr">
        <is>
          <t>Change in construction volume, 2020 to 2021</t>
        </is>
      </c>
      <c r="D1061" s="2" t="inlineStr">
        <is>
          <t>5.8</t>
        </is>
      </c>
      <c r="E1061" s="2" t="inlineStr">
        <is>
          <t>%</t>
        </is>
      </c>
      <c r="F1061" s="2" t="inlineStr">
        <is>
          <t>Eurostat (sts_copr_a updated 2 Oct 2026; env_wasgen, env_wastrt updated Sep 2025), retrieved 5 Oct 2026</t>
        </is>
      </c>
      <c r="G1061" s="2" t="inlineStr"/>
      <c r="H1061" s="2" t="inlineStr"/>
    </row>
    <row r="1062">
      <c r="A1062" s="5" t="inlineStr">
        <is>
          <t>CC-063</t>
        </is>
      </c>
      <c r="B1062" s="2" t="inlineStr">
        <is>
          <t>CC-063:8</t>
        </is>
      </c>
      <c r="C1062" s="2" t="inlineStr">
        <is>
          <t>Change in construction volume, 2021 to 2022</t>
        </is>
      </c>
      <c r="D1062" s="2" t="inlineStr">
        <is>
          <t>5.5</t>
        </is>
      </c>
      <c r="E1062" s="2" t="inlineStr">
        <is>
          <t>%</t>
        </is>
      </c>
      <c r="F1062" s="2" t="inlineStr">
        <is>
          <t>Eurostat (sts_copr_a updated 2 Oct 2026; env_wasgen, env_wastrt updated Sep 2025), retrieved 5 Oct 2026</t>
        </is>
      </c>
      <c r="G1062" s="2" t="inlineStr"/>
      <c r="H1062" s="2" t="inlineStr"/>
    </row>
    <row r="1063">
      <c r="A1063" s="5" t="inlineStr">
        <is>
          <t>CC-063</t>
        </is>
      </c>
      <c r="B1063" s="2" t="inlineStr">
        <is>
          <t>CC-063:9</t>
        </is>
      </c>
      <c r="C1063" s="2" t="inlineStr">
        <is>
          <t>Change in construction volume, 2020 to 2022</t>
        </is>
      </c>
      <c r="D1063" s="2" t="inlineStr">
        <is>
          <t>11.7</t>
        </is>
      </c>
      <c r="E1063" s="2" t="inlineStr">
        <is>
          <t>%</t>
        </is>
      </c>
      <c r="F1063" s="2" t="inlineStr">
        <is>
          <t>Eurostat (sts_copr_a updated 2 Oct 2026; env_wasgen, env_wastrt updated Sep 2025), retrieved 5 Oct 2026</t>
        </is>
      </c>
      <c r="G1063" s="2" t="inlineStr"/>
      <c r="H1063" s="2" t="inlineStr"/>
    </row>
    <row r="1064">
      <c r="A1064" s="5" t="inlineStr">
        <is>
          <t>CC-063</t>
        </is>
      </c>
      <c r="B1064" s="2" t="inlineStr">
        <is>
          <t>CC-063:10</t>
        </is>
      </c>
      <c r="C1064" s="2" t="inlineStr">
        <is>
          <t>Latest year published for Malta in sts_copr_a</t>
        </is>
      </c>
      <c r="D1064" s="2" t="inlineStr">
        <is>
          <t>2022</t>
        </is>
      </c>
      <c r="E1064" s="2" t="inlineStr">
        <is>
          <t>year</t>
        </is>
      </c>
      <c r="F1064" s="2" t="inlineStr">
        <is>
          <t>Eurostat (sts_copr_a updated 2 Oct 2026; env_wasgen, env_wastrt updated Sep 2025), retrieved 5 Oct 2026</t>
        </is>
      </c>
      <c r="G1064" s="2" t="inlineStr">
        <is>
          <t>2023-2025 not yet published</t>
        </is>
      </c>
      <c r="H1064" s="2" t="inlineStr"/>
    </row>
    <row r="1065">
      <c r="A1065" s="5" t="inlineStr">
        <is>
          <t>CC-063</t>
        </is>
      </c>
      <c r="B1065" s="2" t="inlineStr">
        <is>
          <t>CC-063:11</t>
        </is>
      </c>
      <c r="C1065" s="2" t="inlineStr">
        <is>
          <t>Waste from construction (NACE F), all waste, 2018</t>
        </is>
      </c>
      <c r="D1065" s="2" t="inlineStr">
        <is>
          <t>1974801.0</t>
        </is>
      </c>
      <c r="E1065" s="2" t="inlineStr">
        <is>
          <t>tonnes</t>
        </is>
      </c>
      <c r="F1065" s="2" t="inlineStr">
        <is>
          <t>Eurostat (sts_copr_a updated 2 Oct 2026; env_wasgen, env_wastrt updated Sep 2025), retrieved 5 Oct 2026</t>
        </is>
      </c>
      <c r="G1065" s="2" t="inlineStr"/>
      <c r="H1065" s="2" t="inlineStr"/>
    </row>
    <row r="1066">
      <c r="A1066" s="5" t="inlineStr">
        <is>
          <t>CC-063</t>
        </is>
      </c>
      <c r="B1066" s="2" t="inlineStr">
        <is>
          <t>CC-063:12</t>
        </is>
      </c>
      <c r="C1066" s="2" t="inlineStr">
        <is>
          <t>Construction's share of all waste generated in Malta, 2018</t>
        </is>
      </c>
      <c r="D1066" s="2" t="inlineStr">
        <is>
          <t>76.4</t>
        </is>
      </c>
      <c r="E1066" s="2" t="inlineStr">
        <is>
          <t>%</t>
        </is>
      </c>
      <c r="F1066" s="2" t="inlineStr">
        <is>
          <t>Eurostat (sts_copr_a updated 2 Oct 2026; env_wasgen, env_wastrt updated Sep 2025), retrieved 5 Oct 2026</t>
        </is>
      </c>
      <c r="G1066" s="2" t="inlineStr"/>
      <c r="H1066" s="2" t="inlineStr"/>
    </row>
    <row r="1067">
      <c r="A1067" s="5" t="inlineStr">
        <is>
          <t>CC-063</t>
        </is>
      </c>
      <c r="B1067" s="2" t="inlineStr">
        <is>
          <t>CC-063:13</t>
        </is>
      </c>
      <c r="C1067" s="2" t="inlineStr">
        <is>
          <t>Mineral C&amp;D waste (W121) from construction, 2018</t>
        </is>
      </c>
      <c r="D1067" s="2" t="inlineStr">
        <is>
          <t>1866732.0</t>
        </is>
      </c>
      <c r="E1067" s="2" t="inlineStr">
        <is>
          <t>tonnes</t>
        </is>
      </c>
      <c r="F1067" s="2" t="inlineStr">
        <is>
          <t>Eurostat (sts_copr_a updated 2 Oct 2026; env_wasgen, env_wastrt updated Sep 2025), retrieved 5 Oct 2026</t>
        </is>
      </c>
      <c r="G1067" s="2" t="inlineStr"/>
      <c r="H1067" s="2" t="inlineStr"/>
    </row>
    <row r="1068">
      <c r="A1068" s="5" t="inlineStr">
        <is>
          <t>CC-063</t>
        </is>
      </c>
      <c r="B1068" s="2" t="inlineStr">
        <is>
          <t>CC-063:14</t>
        </is>
      </c>
      <c r="C1068" s="2" t="inlineStr">
        <is>
          <t>Waste from construction (NACE F), all waste, 2020</t>
        </is>
      </c>
      <c r="D1068" s="2" t="inlineStr">
        <is>
          <t>3010732.0</t>
        </is>
      </c>
      <c r="E1068" s="2" t="inlineStr">
        <is>
          <t>tonnes</t>
        </is>
      </c>
      <c r="F1068" s="2" t="inlineStr">
        <is>
          <t>Eurostat (sts_copr_a updated 2 Oct 2026; env_wasgen, env_wastrt updated Sep 2025), retrieved 5 Oct 2026</t>
        </is>
      </c>
      <c r="G1068" s="2" t="inlineStr"/>
      <c r="H1068" s="2" t="inlineStr"/>
    </row>
    <row r="1069">
      <c r="A1069" s="5" t="inlineStr">
        <is>
          <t>CC-063</t>
        </is>
      </c>
      <c r="B1069" s="2" t="inlineStr">
        <is>
          <t>CC-063:15</t>
        </is>
      </c>
      <c r="C1069" s="2" t="inlineStr">
        <is>
          <t>Construction's share of all waste generated in Malta, 2020</t>
        </is>
      </c>
      <c r="D1069" s="2" t="inlineStr">
        <is>
          <t>84.2</t>
        </is>
      </c>
      <c r="E1069" s="2" t="inlineStr">
        <is>
          <t>%</t>
        </is>
      </c>
      <c r="F1069" s="2" t="inlineStr">
        <is>
          <t>Eurostat (sts_copr_a updated 2 Oct 2026; env_wasgen, env_wastrt updated Sep 2025), retrieved 5 Oct 2026</t>
        </is>
      </c>
      <c r="G1069" s="2" t="inlineStr"/>
      <c r="H1069" s="2" t="inlineStr"/>
    </row>
    <row r="1070">
      <c r="A1070" s="5" t="inlineStr">
        <is>
          <t>CC-063</t>
        </is>
      </c>
      <c r="B1070" s="2" t="inlineStr">
        <is>
          <t>CC-063:16</t>
        </is>
      </c>
      <c r="C1070" s="2" t="inlineStr">
        <is>
          <t>Mineral C&amp;D waste (W121) from construction, 2020</t>
        </is>
      </c>
      <c r="D1070" s="2" t="inlineStr">
        <is>
          <t>2958348.0</t>
        </is>
      </c>
      <c r="E1070" s="2" t="inlineStr">
        <is>
          <t>tonnes</t>
        </is>
      </c>
      <c r="F1070" s="2" t="inlineStr">
        <is>
          <t>Eurostat (sts_copr_a updated 2 Oct 2026; env_wasgen, env_wastrt updated Sep 2025), retrieved 5 Oct 2026</t>
        </is>
      </c>
      <c r="G1070" s="2" t="inlineStr"/>
      <c r="H1070" s="2" t="inlineStr"/>
    </row>
    <row r="1071">
      <c r="A1071" s="5" t="inlineStr">
        <is>
          <t>CC-063</t>
        </is>
      </c>
      <c r="B1071" s="2" t="inlineStr">
        <is>
          <t>CC-063:17</t>
        </is>
      </c>
      <c r="C1071" s="2" t="inlineStr">
        <is>
          <t>Waste from construction (NACE F), all waste, 2022</t>
        </is>
      </c>
      <c r="D1071" s="2" t="inlineStr">
        <is>
          <t>2067957.0</t>
        </is>
      </c>
      <c r="E1071" s="2" t="inlineStr">
        <is>
          <t>tonnes</t>
        </is>
      </c>
      <c r="F1071" s="2" t="inlineStr">
        <is>
          <t>Eurostat (sts_copr_a updated 2 Oct 2026; env_wasgen, env_wastrt updated Sep 2025), retrieved 5 Oct 2026</t>
        </is>
      </c>
      <c r="G1071" s="2" t="inlineStr"/>
      <c r="H1071" s="2" t="inlineStr"/>
    </row>
    <row r="1072">
      <c r="A1072" s="5" t="inlineStr">
        <is>
          <t>CC-063</t>
        </is>
      </c>
      <c r="B1072" s="2" t="inlineStr">
        <is>
          <t>CC-063:18</t>
        </is>
      </c>
      <c r="C1072" s="2" t="inlineStr">
        <is>
          <t>Construction's share of all waste generated in Malta, 2022</t>
        </is>
      </c>
      <c r="D1072" s="2" t="inlineStr">
        <is>
          <t>77.7</t>
        </is>
      </c>
      <c r="E1072" s="2" t="inlineStr">
        <is>
          <t>%</t>
        </is>
      </c>
      <c r="F1072" s="2" t="inlineStr">
        <is>
          <t>Eurostat (sts_copr_a updated 2 Oct 2026; env_wasgen, env_wastrt updated Sep 2025), retrieved 5 Oct 2026</t>
        </is>
      </c>
      <c r="G1072" s="2" t="inlineStr"/>
      <c r="H1072" s="2" t="inlineStr"/>
    </row>
    <row r="1073">
      <c r="A1073" s="5" t="inlineStr">
        <is>
          <t>CC-063</t>
        </is>
      </c>
      <c r="B1073" s="2" t="inlineStr">
        <is>
          <t>CC-063:19</t>
        </is>
      </c>
      <c r="C1073" s="2" t="inlineStr">
        <is>
          <t>Mineral C&amp;D waste (W121) from construction, 2022</t>
        </is>
      </c>
      <c r="D1073" s="2" t="inlineStr">
        <is>
          <t>1990675.0</t>
        </is>
      </c>
      <c r="E1073" s="2" t="inlineStr">
        <is>
          <t>tonnes</t>
        </is>
      </c>
      <c r="F1073" s="2" t="inlineStr">
        <is>
          <t>Eurostat (sts_copr_a updated 2 Oct 2026; env_wasgen, env_wastrt updated Sep 2025), retrieved 5 Oct 2026</t>
        </is>
      </c>
      <c r="G1073" s="2" t="inlineStr"/>
      <c r="H1073" s="2" t="inlineStr"/>
    </row>
    <row r="1074">
      <c r="A1074" s="5" t="inlineStr">
        <is>
          <t>CC-063</t>
        </is>
      </c>
      <c r="B1074" s="2" t="inlineStr">
        <is>
          <t>CC-063:20</t>
        </is>
      </c>
      <c r="C1074" s="2" t="inlineStr">
        <is>
          <t>Change in construction-sector waste, 2020 to 2022</t>
        </is>
      </c>
      <c r="D1074" s="2" t="inlineStr">
        <is>
          <t>-31.3</t>
        </is>
      </c>
      <c r="E1074" s="2" t="inlineStr">
        <is>
          <t>%</t>
        </is>
      </c>
      <c r="F1074" s="2" t="inlineStr">
        <is>
          <t>Eurostat (sts_copr_a updated 2 Oct 2026; env_wasgen, env_wastrt updated Sep 2025), retrieved 5 Oct 2026</t>
        </is>
      </c>
      <c r="G1074" s="2" t="inlineStr"/>
      <c r="H1074" s="2" t="inlineStr"/>
    </row>
    <row r="1075">
      <c r="A1075" s="5" t="inlineStr">
        <is>
          <t>CC-063</t>
        </is>
      </c>
      <c r="B1075" s="2" t="inlineStr">
        <is>
          <t>CC-063:21</t>
        </is>
      </c>
      <c r="C1075" s="2" t="inlineStr">
        <is>
          <t>Change in construction-sector waste, 2018 to 2022</t>
        </is>
      </c>
      <c r="D1075" s="2" t="inlineStr">
        <is>
          <t>4.7</t>
        </is>
      </c>
      <c r="E1075" s="2" t="inlineStr">
        <is>
          <t>%</t>
        </is>
      </c>
      <c r="F1075" s="2" t="inlineStr">
        <is>
          <t>Eurostat (sts_copr_a updated 2 Oct 2026; env_wasgen, env_wastrt updated Sep 2025), retrieved 5 Oct 2026</t>
        </is>
      </c>
      <c r="G1075" s="2" t="inlineStr"/>
      <c r="H1075" s="2" t="inlineStr"/>
    </row>
    <row r="1076">
      <c r="A1076" s="5" t="inlineStr">
        <is>
          <t>CC-063</t>
        </is>
      </c>
      <c r="B1076" s="2" t="inlineStr">
        <is>
          <t>CC-063:22</t>
        </is>
      </c>
      <c r="C1076" s="2" t="inlineStr">
        <is>
          <t>Mineral C&amp;D waste treated: recycling share, 2020</t>
        </is>
      </c>
      <c r="D1076" s="2" t="inlineStr">
        <is>
          <t>41.8</t>
        </is>
      </c>
      <c r="E1076" s="2" t="inlineStr">
        <is>
          <t>%</t>
        </is>
      </c>
      <c r="F1076" s="2" t="inlineStr">
        <is>
          <t>Eurostat (sts_copr_a updated 2 Oct 2026; env_wasgen, env_wastrt updated Sep 2025), retrieved 5 Oct 2026</t>
        </is>
      </c>
      <c r="G1076" s="2" t="inlineStr">
        <is>
          <t>backfilling is classed as recovery in Eurostat's scheme</t>
        </is>
      </c>
      <c r="H1076" s="2" t="inlineStr"/>
    </row>
    <row r="1077">
      <c r="A1077" s="5" t="inlineStr">
        <is>
          <t>CC-063</t>
        </is>
      </c>
      <c r="B1077" s="2" t="inlineStr">
        <is>
          <t>CC-063:23</t>
        </is>
      </c>
      <c r="C1077" s="2" t="inlineStr">
        <is>
          <t>Mineral C&amp;D waste treated: backfilling share, 2020</t>
        </is>
      </c>
      <c r="D1077" s="2" t="inlineStr">
        <is>
          <t>58.2</t>
        </is>
      </c>
      <c r="E1077" s="2" t="inlineStr">
        <is>
          <t>%</t>
        </is>
      </c>
      <c r="F1077" s="2" t="inlineStr">
        <is>
          <t>Eurostat (sts_copr_a updated 2 Oct 2026; env_wasgen, env_wastrt updated Sep 2025), retrieved 5 Oct 2026</t>
        </is>
      </c>
      <c r="G1077" s="2" t="inlineStr">
        <is>
          <t>backfilling is classed as recovery in Eurostat's scheme</t>
        </is>
      </c>
      <c r="H1077" s="2" t="inlineStr"/>
    </row>
    <row r="1078">
      <c r="A1078" s="5" t="inlineStr">
        <is>
          <t>CC-063</t>
        </is>
      </c>
      <c r="B1078" s="2" t="inlineStr">
        <is>
          <t>CC-063:24</t>
        </is>
      </c>
      <c r="C1078" s="2" t="inlineStr">
        <is>
          <t>Mineral C&amp;D waste treated: landfill (D1, D5, D12) share, 2020</t>
        </is>
      </c>
      <c r="D1078" s="2" t="inlineStr">
        <is>
          <t>0.0</t>
        </is>
      </c>
      <c r="E1078" s="2" t="inlineStr">
        <is>
          <t>%</t>
        </is>
      </c>
      <c r="F1078" s="2" t="inlineStr">
        <is>
          <t>Eurostat (sts_copr_a updated 2 Oct 2026; env_wasgen, env_wastrt updated Sep 2025), retrieved 5 Oct 2026</t>
        </is>
      </c>
      <c r="G1078" s="2" t="inlineStr">
        <is>
          <t>backfilling is classed as recovery in Eurostat's scheme</t>
        </is>
      </c>
      <c r="H1078" s="2" t="inlineStr"/>
    </row>
    <row r="1079">
      <c r="A1079" s="5" t="inlineStr">
        <is>
          <t>CC-063</t>
        </is>
      </c>
      <c r="B1079" s="2" t="inlineStr">
        <is>
          <t>CC-063:25</t>
        </is>
      </c>
      <c r="C1079" s="2" t="inlineStr">
        <is>
          <t>Mineral C&amp;D waste treated, total, 2020</t>
        </is>
      </c>
      <c r="D1079" s="2" t="inlineStr">
        <is>
          <t>2947811.0</t>
        </is>
      </c>
      <c r="E1079" s="2" t="inlineStr">
        <is>
          <t>tonnes</t>
        </is>
      </c>
      <c r="F1079" s="2" t="inlineStr">
        <is>
          <t>Eurostat (sts_copr_a updated 2 Oct 2026; env_wasgen, env_wastrt updated Sep 2025), retrieved 5 Oct 2026</t>
        </is>
      </c>
      <c r="G1079" s="2" t="inlineStr"/>
      <c r="H1079" s="2" t="inlineStr"/>
    </row>
    <row r="1080">
      <c r="A1080" s="5" t="inlineStr">
        <is>
          <t>CC-063</t>
        </is>
      </c>
      <c r="B1080" s="2" t="inlineStr">
        <is>
          <t>CC-063:26</t>
        </is>
      </c>
      <c r="C1080" s="2" t="inlineStr">
        <is>
          <t>Mineral C&amp;D waste treated: recycling share, 2022</t>
        </is>
      </c>
      <c r="D1080" s="2" t="inlineStr">
        <is>
          <t>67.3</t>
        </is>
      </c>
      <c r="E1080" s="2" t="inlineStr">
        <is>
          <t>%</t>
        </is>
      </c>
      <c r="F1080" s="2" t="inlineStr">
        <is>
          <t>Eurostat (sts_copr_a updated 2 Oct 2026; env_wasgen, env_wastrt updated Sep 2025), retrieved 5 Oct 2026</t>
        </is>
      </c>
      <c r="G1080" s="2" t="inlineStr">
        <is>
          <t>backfilling is classed as recovery in Eurostat's scheme</t>
        </is>
      </c>
      <c r="H1080" s="2" t="inlineStr"/>
    </row>
    <row r="1081">
      <c r="A1081" s="5" t="inlineStr">
        <is>
          <t>CC-063</t>
        </is>
      </c>
      <c r="B1081" s="2" t="inlineStr">
        <is>
          <t>CC-063:27</t>
        </is>
      </c>
      <c r="C1081" s="2" t="inlineStr">
        <is>
          <t>Mineral C&amp;D waste treated: backfilling share, 2022</t>
        </is>
      </c>
      <c r="D1081" s="2" t="inlineStr">
        <is>
          <t>32.7</t>
        </is>
      </c>
      <c r="E1081" s="2" t="inlineStr">
        <is>
          <t>%</t>
        </is>
      </c>
      <c r="F1081" s="2" t="inlineStr">
        <is>
          <t>Eurostat (sts_copr_a updated 2 Oct 2026; env_wasgen, env_wastrt updated Sep 2025), retrieved 5 Oct 2026</t>
        </is>
      </c>
      <c r="G1081" s="2" t="inlineStr">
        <is>
          <t>backfilling is classed as recovery in Eurostat's scheme</t>
        </is>
      </c>
      <c r="H1081" s="2" t="inlineStr"/>
    </row>
    <row r="1082">
      <c r="A1082" s="5" t="inlineStr">
        <is>
          <t>CC-063</t>
        </is>
      </c>
      <c r="B1082" s="2" t="inlineStr">
        <is>
          <t>CC-063:28</t>
        </is>
      </c>
      <c r="C1082" s="2" t="inlineStr">
        <is>
          <t>Mineral C&amp;D waste treated: landfill (D1, D5, D12) share, 2022</t>
        </is>
      </c>
      <c r="D1082" s="2" t="inlineStr">
        <is>
          <t>0.0</t>
        </is>
      </c>
      <c r="E1082" s="2" t="inlineStr">
        <is>
          <t>%</t>
        </is>
      </c>
      <c r="F1082" s="2" t="inlineStr">
        <is>
          <t>Eurostat (sts_copr_a updated 2 Oct 2026; env_wasgen, env_wastrt updated Sep 2025), retrieved 5 Oct 2026</t>
        </is>
      </c>
      <c r="G1082" s="2" t="inlineStr">
        <is>
          <t>backfilling is classed as recovery in Eurostat's scheme</t>
        </is>
      </c>
      <c r="H1082" s="2" t="inlineStr"/>
    </row>
    <row r="1083">
      <c r="A1083" s="5" t="inlineStr">
        <is>
          <t>CC-063</t>
        </is>
      </c>
      <c r="B1083" s="2" t="inlineStr">
        <is>
          <t>CC-063:29</t>
        </is>
      </c>
      <c r="C1083" s="2" t="inlineStr">
        <is>
          <t>Mineral C&amp;D waste treated, total, 2022</t>
        </is>
      </c>
      <c r="D1083" s="2" t="inlineStr">
        <is>
          <t>2062368.0</t>
        </is>
      </c>
      <c r="E1083" s="2" t="inlineStr">
        <is>
          <t>tonnes</t>
        </is>
      </c>
      <c r="F1083" s="2" t="inlineStr">
        <is>
          <t>Eurostat (sts_copr_a updated 2 Oct 2026; env_wasgen, env_wastrt updated Sep 2025), retrieved 5 Oct 2026</t>
        </is>
      </c>
      <c r="G1083" s="2" t="inlineStr"/>
      <c r="H1083" s="2" t="inlineStr"/>
    </row>
    <row r="1084">
      <c r="A1084" s="5" t="inlineStr">
        <is>
          <t>CC-065</t>
        </is>
      </c>
      <c r="B1084" s="2" t="inlineStr">
        <is>
          <t>CC-065:2</t>
        </is>
      </c>
      <c r="C1084" s="2" t="inlineStr">
        <is>
          <t>Days from the Planning Board vote (30 Apr 2026) to the ADPD statement as dated on adpd.mt (2 May 2026)</t>
        </is>
      </c>
      <c r="D1084" s="2" t="inlineStr">
        <is>
          <t>2</t>
        </is>
      </c>
      <c r="E1084" s="2" t="inlineStr">
        <is>
          <t>days</t>
        </is>
      </c>
      <c r="F1084" s="2" t="inlineStr">
        <is>
          <t>Newsbook 30 Apr and 13 Jun 2026; TVM News 7 Mar 2024; adpd.mt 2 May 2026; Shift 12 Mar 2026; retrieved 9 Oct 2026</t>
        </is>
      </c>
      <c r="G1084" s="2" t="inlineStr">
        <is>
          <t>ADPD's text says the PA decided 'ilbieraħ' (yesterday); a post written on 1 May and stamped 2 May fits; not material to the claim</t>
        </is>
      </c>
      <c r="H1084" s="2" t="inlineStr"/>
    </row>
    <row r="1085">
      <c r="A1085" s="5" t="inlineStr">
        <is>
          <t>CC-065</t>
        </is>
      </c>
      <c r="B1085" s="2" t="inlineStr">
        <is>
          <t>CC-065:3</t>
        </is>
      </c>
      <c r="C1085" s="2" t="inlineStr">
        <is>
          <t>Planning Board vote 10 to 1: share in favour</t>
        </is>
      </c>
      <c r="D1085" s="2" t="inlineStr">
        <is>
          <t>90.9</t>
        </is>
      </c>
      <c r="E1085" s="2" t="inlineStr">
        <is>
          <t>%</t>
        </is>
      </c>
      <c r="F1085" s="2" t="inlineStr">
        <is>
          <t>Newsbook 30 Apr and 13 Jun 2026; TVM News 7 Mar 2024; adpd.mt 2 May 2026; Shift 12 Mar 2026; retrieved 9 Oct 2026</t>
        </is>
      </c>
      <c r="G1085" s="2" t="inlineStr">
        <is>
          <t>Newsbook 30 Apr 2026; dissent: Romano Cassar (NGO representative)</t>
        </is>
      </c>
      <c r="H1085" s="2" t="inlineStr"/>
    </row>
    <row r="1086">
      <c r="A1086" s="5" t="inlineStr">
        <is>
          <t>CC-065</t>
        </is>
      </c>
      <c r="B1086" s="2" t="inlineStr">
        <is>
          <t>CC-065:4</t>
        </is>
      </c>
      <c r="C1086" s="2" t="inlineStr">
        <is>
          <t>Days from first approval (9 Nov 2023) to revocation (7 Mar 2024)</t>
        </is>
      </c>
      <c r="D1086" s="2" t="inlineStr">
        <is>
          <t>119</t>
        </is>
      </c>
      <c r="E1086" s="2" t="inlineStr">
        <is>
          <t>days</t>
        </is>
      </c>
      <c r="F1086" s="2" t="inlineStr">
        <is>
          <t>Gozo Regional Council 15 Dec 2023 (approval date); TVM News 7 Mar 2024 (revocation)</t>
        </is>
      </c>
      <c r="G1086" s="2" t="inlineStr"/>
      <c r="H1086" s="2" t="inlineStr"/>
    </row>
    <row r="1087">
      <c r="A1087" s="5" t="inlineStr">
        <is>
          <t>CC-065</t>
        </is>
      </c>
      <c r="B1087" s="2" t="inlineStr">
        <is>
          <t>CC-065:5</t>
        </is>
      </c>
      <c r="C1087" s="2" t="inlineStr">
        <is>
          <t>Days from final approval (30 Apr 2026) to demolition footage (13 Jun 2026)</t>
        </is>
      </c>
      <c r="D1087" s="2" t="inlineStr">
        <is>
          <t>44</t>
        </is>
      </c>
      <c r="E1087" s="2" t="inlineStr">
        <is>
          <t>days</t>
        </is>
      </c>
      <c r="F1087" s="2" t="inlineStr">
        <is>
          <t>Newsbook 30 Apr and 13 Jun 2026; TVM News 7 Mar 2024; adpd.mt 2 May 2026; Shift 12 Mar 2026; retrieved 9 Oct 2026</t>
        </is>
      </c>
      <c r="G1087" s="2" t="inlineStr">
        <is>
          <t>Newsbook says 'six weeks' (6.3 weeks); permit conditions and the monitor's presence not independently confirmed</t>
        </is>
      </c>
      <c r="H1087" s="2" t="inlineStr"/>
    </row>
    <row r="1088">
      <c r="A1088" s="5" t="inlineStr">
        <is>
          <t>CC-065</t>
        </is>
      </c>
      <c r="B1088" s="2" t="inlineStr">
        <is>
          <t>CC-065:6</t>
        </is>
      </c>
      <c r="C1088" s="2" t="inlineStr">
        <is>
          <t>Reported distance of the site from the temples: lowest and highest figure</t>
        </is>
      </c>
      <c r="D1088" s="2" t="inlineStr">
        <is>
          <t>150 to 157</t>
        </is>
      </c>
      <c r="E1088" s="2" t="inlineStr">
        <is>
          <t>m</t>
        </is>
      </c>
      <c r="F1088" s="2" t="inlineStr">
        <is>
          <t>The Shift 12 Mar 2026 (roughly 150); TVM News 7 Mar 2024 (approximately 157)</t>
        </is>
      </c>
      <c r="G1088" s="2" t="inlineStr">
        <is>
          <t>Gozo Regional Council: 'less than 200'. Measured from which point of the temple is not stated</t>
        </is>
      </c>
      <c r="H1088" s="2" t="inlineStr"/>
    </row>
    <row r="1089">
      <c r="A1089" s="5" t="inlineStr">
        <is>
          <t>CC-065</t>
        </is>
      </c>
      <c r="B1089" s="2" t="inlineStr">
        <is>
          <t>CC-065:7</t>
        </is>
      </c>
      <c r="C1089" s="2" t="inlineStr">
        <is>
          <t>Minimum radius of the buffer zone of a Grade A archaeological site</t>
        </is>
      </c>
      <c r="D1089" s="2" t="inlineStr">
        <is>
          <t>100</t>
        </is>
      </c>
      <c r="E1089" s="2" t="inlineStr">
        <is>
          <t>m</t>
        </is>
      </c>
      <c r="F1089" s="2" t="inlineStr">
        <is>
          <t>Management Plan 2012-17, section 2.1.3</t>
        </is>
      </c>
      <c r="G1089" s="2" t="inlineStr">
        <is>
          <t>A minimum: the Ġgantija zone is irregular and larger (see margins.csv)</t>
        </is>
      </c>
      <c r="H1089" s="2" t="inlineStr"/>
    </row>
    <row r="1090">
      <c r="A1090" s="5" t="inlineStr">
        <is>
          <t>CC-065</t>
        </is>
      </c>
      <c r="B1090" s="2" t="inlineStr">
        <is>
          <t>CC-065:8</t>
        </is>
      </c>
      <c r="C1090" s="2" t="inlineStr">
        <is>
          <t>Map calibration: width of the map frame from the scale bar, against the printed bounding co-ordinates (E33594 to E34520 = 926 m)</t>
        </is>
      </c>
      <c r="D1090" s="2" t="inlineStr">
        <is>
          <t>929</t>
        </is>
      </c>
      <c r="E1090" s="2" t="inlineStr">
        <is>
          <t>m</t>
        </is>
      </c>
      <c r="F1090" s="2" t="inlineStr">
        <is>
          <t>Management Plan 2012-17, Figure 2</t>
        </is>
      </c>
      <c r="G1090" s="2" t="inlineStr">
        <is>
          <t>1.407 px per metre at 200 dpi; difference +0.4%</t>
        </is>
      </c>
      <c r="H1090" s="2" t="inlineStr"/>
    </row>
    <row r="1091">
      <c r="A1091" s="5" t="inlineStr">
        <is>
          <t>CC-065</t>
        </is>
      </c>
      <c r="B1091" s="2" t="inlineStr">
        <is>
          <t>CC-065:9</t>
        </is>
      </c>
      <c r="C1091" s="2" t="inlineStr">
        <is>
          <t>Area of the plotted Ġgantija buffer zone (from the map, including the temple)</t>
        </is>
      </c>
      <c r="D1091" s="2" t="inlineStr">
        <is>
          <t>28.7</t>
        </is>
      </c>
      <c r="E1091" s="2" t="inlineStr">
        <is>
          <t>ha</t>
        </is>
      </c>
      <c r="F1091" s="2" t="inlineStr">
        <is>
          <t>Management Plan 2012-17, Figure 2</t>
        </is>
      </c>
      <c r="G1091" s="2" t="inlineStr">
        <is>
          <t>pixel count on the map; approximate</t>
        </is>
      </c>
      <c r="H1091" s="2" t="inlineStr"/>
    </row>
    <row r="1092">
      <c r="A1092" s="5" t="inlineStr">
        <is>
          <t>CC-065</t>
        </is>
      </c>
      <c r="B1092" s="2" t="inlineStr">
        <is>
          <t>CC-065:10</t>
        </is>
      </c>
      <c r="C1092" s="2" t="inlineStr">
        <is>
          <t>Shortest distance from the temple polygon's edge to the buffer-zone boundary (any direction)</t>
        </is>
      </c>
      <c r="D1092" s="2" t="inlineStr">
        <is>
          <t>94</t>
        </is>
      </c>
      <c r="E1092" s="2" t="inlineStr">
        <is>
          <t>m</t>
        </is>
      </c>
      <c r="F1092" s="2" t="inlineStr">
        <is>
          <t>Management Plan 2012-17, Figure 2</t>
        </is>
      </c>
      <c r="G1092" s="2" t="inlineStr">
        <is>
          <t>median 119 m, longest 183 m over the edge pixels</t>
        </is>
      </c>
      <c r="H1092" s="2" t="inlineStr"/>
    </row>
    <row r="1093">
      <c r="A1093" s="5" t="inlineStr">
        <is>
          <t>CC-065</t>
        </is>
      </c>
      <c r="B1093" s="2" t="inlineStr">
        <is>
          <t>CC-065:11</t>
        </is>
      </c>
      <c r="C1093" s="2" t="inlineStr">
        <is>
          <t>Of eight compass directions, those where the buffer zone extends at least 157 m from the temple edge</t>
        </is>
      </c>
      <c r="D1093" s="2" t="inlineStr">
        <is>
          <t>5</t>
        </is>
      </c>
      <c r="E1093" s="2" t="inlineStr">
        <is>
          <t>of 8</t>
        </is>
      </c>
      <c r="F1093" s="2" t="inlineStr">
        <is>
          <t>Management Plan 2012-17, Figure 2</t>
        </is>
      </c>
      <c r="G1093" s="2" t="inlineStr">
        <is>
          <t>shorter margin in: North-east (151 m); South-east (127 m); South (132 m). Distance alone does not settle whether the site is inside the zone</t>
        </is>
      </c>
      <c r="H1093" s="2" t="inlineStr"/>
    </row>
    <row r="1094">
      <c r="A1094" s="5" t="inlineStr">
        <is>
          <t>CC-071</t>
        </is>
      </c>
      <c r="B1094" s="2" t="inlineStr">
        <is>
          <t>CC-071:2</t>
        </is>
      </c>
      <c r="C1094" s="2" t="inlineStr">
        <is>
          <t>Sum of the three 2025 components reported by the Shift</t>
        </is>
      </c>
      <c r="D1094" s="2" t="inlineStr">
        <is>
          <t>93.4</t>
        </is>
      </c>
      <c r="E1094" s="2" t="inlineStr">
        <is>
          <t>EUR million</t>
        </is>
      </c>
      <c r="F1094" s="2" t="inlineStr">
        <is>
          <t>The Shift News 26 Feb 2026 (second-hand: parliamentary reply not read) (retrieved 2026-10-10)</t>
        </is>
      </c>
      <c r="G1094" s="2" t="inlineStr">
        <is>
          <t>59.0 + 31.2 + 3.2</t>
        </is>
      </c>
      <c r="H1094" s="2" t="inlineStr"/>
    </row>
    <row r="1095">
      <c r="A1095" s="5" t="inlineStr">
        <is>
          <t>CC-071</t>
        </is>
      </c>
      <c r="B1095" s="2" t="inlineStr">
        <is>
          <t>CC-071:3</t>
        </is>
      </c>
      <c r="C1095" s="2" t="inlineStr">
        <is>
          <t>Shortfall of that sum against EUR 100 million</t>
        </is>
      </c>
      <c r="D1095" s="2" t="inlineStr">
        <is>
          <t>6.6</t>
        </is>
      </c>
      <c r="E1095" s="2" t="inlineStr">
        <is>
          <t>EUR million</t>
        </is>
      </c>
      <c r="F1095" s="2" t="inlineStr">
        <is>
          <t>The Shift News 26 Feb 2026 (second-hand: parliamentary reply not read) (retrieved 2026-10-10)</t>
        </is>
      </c>
      <c r="G1095" s="2" t="inlineStr"/>
      <c r="H1095" s="2" t="inlineStr"/>
    </row>
    <row r="1096">
      <c r="A1096" s="5" t="inlineStr">
        <is>
          <t>CC-071</t>
        </is>
      </c>
      <c r="B1096" s="2" t="inlineStr">
        <is>
          <t>CC-071:4</t>
        </is>
      </c>
      <c r="C1096" s="2" t="inlineStr">
        <is>
          <t>Shortfall as a share of EUR 100 million</t>
        </is>
      </c>
      <c r="D1096" s="2" t="inlineStr">
        <is>
          <t>6.6</t>
        </is>
      </c>
      <c r="E1096" s="2" t="inlineStr">
        <is>
          <t>per cent</t>
        </is>
      </c>
      <c r="F1096" s="2" t="inlineStr">
        <is>
          <t>The Shift News 26 Feb 2026 (second-hand: parliamentary reply not read) (retrieved 2026-10-10)</t>
        </is>
      </c>
      <c r="G1096" s="2" t="inlineStr"/>
      <c r="H1096" s="2" t="inlineStr"/>
    </row>
    <row r="1097">
      <c r="A1097" s="5" t="inlineStr">
        <is>
          <t>CC-071</t>
        </is>
      </c>
      <c r="B1097" s="2" t="inlineStr">
        <is>
          <t>CC-071:5</t>
        </is>
      </c>
      <c r="C1097" s="2" t="inlineStr">
        <is>
          <t>Operating payments only (PSO fee + Tallinja card), excluding bus investment</t>
        </is>
      </c>
      <c r="D1097" s="2" t="inlineStr">
        <is>
          <t>90.2</t>
        </is>
      </c>
      <c r="E1097" s="2" t="inlineStr">
        <is>
          <t>EUR million</t>
        </is>
      </c>
      <c r="F1097" s="2" t="inlineStr">
        <is>
          <t>The Shift News 26 Feb 2026 (second-hand: parliamentary reply not read) (retrieved 2026-10-10)</t>
        </is>
      </c>
      <c r="G1097" s="2" t="inlineStr">
        <is>
          <t>bus purchases are capital investment, not an operating subsidy</t>
        </is>
      </c>
      <c r="H1097" s="2" t="inlineStr"/>
    </row>
    <row r="1098">
      <c r="A1098" s="5" t="inlineStr">
        <is>
          <t>CC-071</t>
        </is>
      </c>
      <c r="B1098" s="2" t="inlineStr">
        <is>
          <t>CC-071:6</t>
        </is>
      </c>
      <c r="C1098" s="2" t="inlineStr">
        <is>
          <t>2025 sum against the Shift's 2024 total (EUR 84 million)</t>
        </is>
      </c>
      <c r="D1098" s="2" t="inlineStr">
        <is>
          <t>11.2</t>
        </is>
      </c>
      <c r="E1098" s="2" t="inlineStr">
        <is>
          <t>per cent</t>
        </is>
      </c>
      <c r="F1098" s="2" t="inlineStr">
        <is>
          <t>The Shift News 26 Feb 2026 (second-hand: parliamentary reply not read); 2024 total also from the Shift (retrieved 2026-10-10)</t>
        </is>
      </c>
      <c r="G1098" s="2" t="inlineStr"/>
      <c r="H1098" s="2" t="inlineStr"/>
    </row>
    <row r="1099">
      <c r="A1099" s="5" t="inlineStr">
        <is>
          <t>CC-071</t>
        </is>
      </c>
      <c r="B1099" s="2" t="inlineStr">
        <is>
          <t>CC-071:7</t>
        </is>
      </c>
      <c r="C1099" s="2" t="inlineStr">
        <is>
          <t>2025 sum against 2023 payments (EUR 69.4 million)</t>
        </is>
      </c>
      <c r="D1099" s="2" t="inlineStr">
        <is>
          <t>34.6</t>
        </is>
      </c>
      <c r="E1099" s="2" t="inlineStr">
        <is>
          <t>per cent</t>
        </is>
      </c>
      <c r="F1099" s="2" t="inlineStr">
        <is>
          <t>Shift 26 Feb 2026; Business Now 18 Apr 2024 (both second-hand) (retrieved 2026-10-10)</t>
        </is>
      </c>
      <c r="G1099" s="2" t="inlineStr"/>
      <c r="H1099" s="2" t="inlineStr"/>
    </row>
    <row r="1100">
      <c r="A1100" s="5" t="inlineStr">
        <is>
          <t>CC-071</t>
        </is>
      </c>
      <c r="B1100" s="2" t="inlineStr">
        <is>
          <t>CC-071:8</t>
        </is>
      </c>
      <c r="C1100" s="2" t="inlineStr">
        <is>
          <t>2024 budget allocation (PSO 49 + free-ride scheme 25), as reported</t>
        </is>
      </c>
      <c r="D1100" s="2" t="inlineStr">
        <is>
          <t>74.0</t>
        </is>
      </c>
      <c r="E1100" s="2" t="inlineStr">
        <is>
          <t>EUR million</t>
        </is>
      </c>
      <c r="F1100" s="2" t="inlineStr">
        <is>
          <t>Business Now 18 Apr 2024 (second-hand) (retrieved 2026-10-10)</t>
        </is>
      </c>
      <c r="G1100" s="2" t="inlineStr">
        <is>
          <t>Budget 2024 documents not readable (finance.gov.mt 403)</t>
        </is>
      </c>
      <c r="H1100" s="2" t="inlineStr"/>
    </row>
    <row r="1101">
      <c r="A1101" s="5" t="inlineStr">
        <is>
          <t>CC-071</t>
        </is>
      </c>
      <c r="B1101" s="2" t="inlineStr">
        <is>
          <t>CC-071:9</t>
        </is>
      </c>
      <c r="C1101" s="2" t="inlineStr">
        <is>
          <t>2024 payment above the 2024 allocation</t>
        </is>
      </c>
      <c r="D1101" s="2" t="inlineStr">
        <is>
          <t>10</t>
        </is>
      </c>
      <c r="E1101" s="2" t="inlineStr">
        <is>
          <t>EUR million</t>
        </is>
      </c>
      <c r="F1101" s="2" t="inlineStr">
        <is>
          <t>Shift 26 Feb 2026; Business Now 18 Apr 2024 (second-hand) (retrieved 2026-10-10)</t>
        </is>
      </c>
      <c r="G1101" s="2" t="inlineStr"/>
      <c r="H1101" s="2" t="inlineStr"/>
    </row>
    <row r="1102">
      <c r="A1102" s="5" t="inlineStr">
        <is>
          <t>CC-071</t>
        </is>
      </c>
      <c r="B1102" s="2" t="inlineStr">
        <is>
          <t>CC-071:10</t>
        </is>
      </c>
      <c r="C1102" s="2" t="inlineStr">
        <is>
          <t>2025 sum per resident (population 1 Jan 2025)</t>
        </is>
      </c>
      <c r="D1102" s="2" t="inlineStr">
        <is>
          <t>163</t>
        </is>
      </c>
      <c r="E1102" s="2" t="inlineStr">
        <is>
          <t>EUR</t>
        </is>
      </c>
      <c r="F1102" s="2" t="inlineStr">
        <is>
          <t>Shift 26 Feb 2026 (second-hand); Eurostat demo_gind (retrieved 2026-10-10)</t>
        </is>
      </c>
      <c r="G1102" s="2" t="inlineStr"/>
      <c r="H1102" s="2" t="inlineStr"/>
    </row>
    <row r="1103">
      <c r="A1103" s="5" t="inlineStr">
        <is>
          <t>CC-071</t>
        </is>
      </c>
      <c r="B1103" s="2" t="inlineStr">
        <is>
          <t>CC-071:11</t>
        </is>
      </c>
      <c r="C1103" s="2" t="inlineStr">
        <is>
          <t>Passenger cars, growth 2024 to 2025</t>
        </is>
      </c>
      <c r="D1103" s="2" t="inlineStr">
        <is>
          <t>1.6</t>
        </is>
      </c>
      <c r="E1103" s="2" t="inlineStr">
        <is>
          <t>per cent</t>
        </is>
      </c>
      <c r="F1103" s="2" t="inlineStr">
        <is>
          <t>Eurostat road_eqs_carmot (retrieved 2026-10-10)</t>
        </is>
      </c>
      <c r="G1103" s="2" t="inlineStr"/>
      <c r="H1103" s="2" t="inlineStr"/>
    </row>
    <row r="1104">
      <c r="A1104" s="5" t="inlineStr">
        <is>
          <t>CC-071</t>
        </is>
      </c>
      <c r="B1104" s="2" t="inlineStr">
        <is>
          <t>CC-071:12</t>
        </is>
      </c>
      <c r="C1104" s="2" t="inlineStr">
        <is>
          <t>Passenger cars, growth 2022 to 2025 (free buses from 1 Oct 2022)</t>
        </is>
      </c>
      <c r="D1104" s="2" t="inlineStr">
        <is>
          <t>5.8</t>
        </is>
      </c>
      <c r="E1104" s="2" t="inlineStr">
        <is>
          <t>per cent</t>
        </is>
      </c>
      <c r="F1104" s="2" t="inlineStr">
        <is>
          <t>Eurostat road_eqs_carmot (retrieved 2026-10-10)</t>
        </is>
      </c>
      <c r="G1104" s="2" t="inlineStr"/>
      <c r="H1104" s="2" t="inlineStr"/>
    </row>
    <row r="1105">
      <c r="A1105" s="5" t="inlineStr">
        <is>
          <t>CC-071</t>
        </is>
      </c>
      <c r="B1105" s="2" t="inlineStr">
        <is>
          <t>CC-071:13</t>
        </is>
      </c>
      <c r="C1105" s="2" t="inlineStr">
        <is>
          <t>Passenger cars, growth 2019 to 2022</t>
        </is>
      </c>
      <c r="D1105" s="2" t="inlineStr">
        <is>
          <t>3.3</t>
        </is>
      </c>
      <c r="E1105" s="2" t="inlineStr">
        <is>
          <t>per cent</t>
        </is>
      </c>
      <c r="F1105" s="2" t="inlineStr">
        <is>
          <t>Eurostat road_eqs_carmot (retrieved 2026-10-10)</t>
        </is>
      </c>
      <c r="G1105" s="2" t="inlineStr"/>
      <c r="H1105" s="2" t="inlineStr"/>
    </row>
    <row r="1106">
      <c r="A1106" s="5" t="inlineStr">
        <is>
          <t>CC-071</t>
        </is>
      </c>
      <c r="B1106" s="2" t="inlineStr">
        <is>
          <t>CC-071:14</t>
        </is>
      </c>
      <c r="C1106" s="2" t="inlineStr">
        <is>
          <t>Population (1 Jan), growth 2022 to 2025</t>
        </is>
      </c>
      <c r="D1106" s="2" t="inlineStr">
        <is>
          <t>10.4</t>
        </is>
      </c>
      <c r="E1106" s="2" t="inlineStr">
        <is>
          <t>per cent</t>
        </is>
      </c>
      <c r="F1106" s="2" t="inlineStr">
        <is>
          <t>Eurostat demo_gind (retrieved 2026-10-10)</t>
        </is>
      </c>
      <c r="G1106" s="2" t="inlineStr"/>
      <c r="H1106" s="2" t="inlineStr"/>
    </row>
    <row r="1107">
      <c r="A1107" s="5" t="inlineStr">
        <is>
          <t>CC-071</t>
        </is>
      </c>
      <c r="B1107" s="2" t="inlineStr">
        <is>
          <t>CC-071:15</t>
        </is>
      </c>
      <c r="C1107" s="2" t="inlineStr">
        <is>
          <t>Cars per 1,000 residents, 2022 (cars at 31 Dec / population 1 Jan same year)</t>
        </is>
      </c>
      <c r="D1107" s="2" t="inlineStr">
        <is>
          <t>610</t>
        </is>
      </c>
      <c r="E1107" s="2" t="inlineStr">
        <is>
          <t>cars</t>
        </is>
      </c>
      <c r="F1107" s="2" t="inlineStr">
        <is>
          <t>Eurostat; our ratio (retrieved 2026-10-10)</t>
        </is>
      </c>
      <c r="G1107" s="2" t="inlineStr">
        <is>
          <t>Eurostat's own rate (road_eqs_carhab) uses the next 1 January; ours is a like-for-like ratio for both years</t>
        </is>
      </c>
      <c r="H1107" s="2" t="inlineStr"/>
    </row>
    <row r="1108">
      <c r="A1108" s="5" t="inlineStr">
        <is>
          <t>CC-071</t>
        </is>
      </c>
      <c r="B1108" s="2" t="inlineStr">
        <is>
          <t>CC-071:16</t>
        </is>
      </c>
      <c r="C1108" s="2" t="inlineStr">
        <is>
          <t>Cars per 1,000 residents, 2025</t>
        </is>
      </c>
      <c r="D1108" s="2" t="inlineStr">
        <is>
          <t>585</t>
        </is>
      </c>
      <c r="E1108" s="2" t="inlineStr">
        <is>
          <t>cars</t>
        </is>
      </c>
      <c r="F1108" s="2" t="inlineStr">
        <is>
          <t>Eurostat; our ratio (retrieved 2026-10-10)</t>
        </is>
      </c>
      <c r="G1108" s="2" t="inlineStr"/>
      <c r="H1108" s="2" t="inlineStr"/>
    </row>
    <row r="1109">
      <c r="A1109" s="5" t="inlineStr">
        <is>
          <t>CC-071</t>
        </is>
      </c>
      <c r="B1109" s="2" t="inlineStr">
        <is>
          <t>CC-071:17</t>
        </is>
      </c>
      <c r="C1109" s="2" t="inlineStr">
        <is>
          <t>Cars added per day, 2024 to 2025</t>
        </is>
      </c>
      <c r="D1109" s="2" t="inlineStr">
        <is>
          <t>14.3</t>
        </is>
      </c>
      <c r="E1109" s="2" t="inlineStr">
        <is>
          <t>cars/day</t>
        </is>
      </c>
      <c r="F1109" s="2" t="inlineStr">
        <is>
          <t>Eurostat road_eqs_carmot (retrieved 2026-10-10)</t>
        </is>
      </c>
      <c r="G1109" s="2" t="inlineStr">
        <is>
          <t>net change in passenger cars only; Newsbook (27 Feb 2026) writes of an average of 35 vehicles a day (all vehicles; not tested)</t>
        </is>
      </c>
      <c r="H1109" s="2" t="inlineStr"/>
    </row>
    <row r="1110">
      <c r="A1110" s="5" t="inlineStr">
        <is>
          <t>CC-071</t>
        </is>
      </c>
      <c r="B1110" s="2" t="inlineStr">
        <is>
          <t>CC-071:18</t>
        </is>
      </c>
      <c r="C1110" s="2" t="inlineStr">
        <is>
          <t>Valletta metro congestion level, change 2024 to 2025</t>
        </is>
      </c>
      <c r="D1110" s="2" t="inlineStr">
        <is>
          <t>1.1</t>
        </is>
      </c>
      <c r="E1110" s="2" t="inlineStr">
        <is>
          <t>percentage points</t>
        </is>
      </c>
      <c r="F1110" s="2" t="inlineStr">
        <is>
          <t>TomTom Traffic Index (retrieved 2026-10-10)</t>
        </is>
      </c>
      <c r="G1110" s="2" t="inlineStr">
        <is>
          <t>congestion level = extra travel time against free flow; Valletta page shows +1.1; only two years read by us</t>
        </is>
      </c>
      <c r="H1110" s="2" t="inlineStr"/>
    </row>
    <row r="1111">
      <c r="A1111" s="5" t="inlineStr">
        <is>
          <t>CC-071</t>
        </is>
      </c>
      <c r="B1111" s="2" t="inlineStr">
        <is>
          <t>CC-071:19</t>
        </is>
      </c>
      <c r="C1111" s="2" t="inlineStr">
        <is>
          <t>Valletta metro mean speed, change 2024 to 2025</t>
        </is>
      </c>
      <c r="D1111" s="2" t="inlineStr">
        <is>
          <t>-0.5</t>
        </is>
      </c>
      <c r="E1111" s="2" t="inlineStr">
        <is>
          <t>km/h</t>
        </is>
      </c>
      <c r="F1111" s="2" t="inlineStr">
        <is>
          <t>TomTom Traffic Index (retrieved 2026-10-10)</t>
        </is>
      </c>
      <c r="G1111" s="2" t="inlineStr"/>
      <c r="H1111" s="2" t="inlineStr"/>
    </row>
    <row r="1112">
      <c r="A1112" s="5" t="inlineStr">
        <is>
          <t>CC-075</t>
        </is>
      </c>
      <c r="B1112" s="2" t="inlineStr">
        <is>
          <t>CC-075:2</t>
        </is>
      </c>
      <c r="C1112" s="2" t="inlineStr">
        <is>
          <t>Malta: passenger cars per 1,000 inhabitants, 2022</t>
        </is>
      </c>
      <c r="D1112" s="2" t="inlineStr">
        <is>
          <t>585.0</t>
        </is>
      </c>
      <c r="E1112" s="2" t="inlineStr">
        <is>
          <t>per 1,000</t>
        </is>
      </c>
      <c r="F1112" s="2" t="inlineStr">
        <is>
          <t>Eurostat road_eqs_carhab, updated 30 Jul 2026, retrieved 6 Oct 2026</t>
        </is>
      </c>
      <c r="G1112" s="2" t="inlineStr">
        <is>
          <t>no flag</t>
        </is>
      </c>
      <c r="H1112" s="2" t="inlineStr"/>
    </row>
    <row r="1113">
      <c r="A1113" s="5" t="inlineStr">
        <is>
          <t>CC-075</t>
        </is>
      </c>
      <c r="B1113" s="2" t="inlineStr">
        <is>
          <t>CC-075:3</t>
        </is>
      </c>
      <c r="C1113" s="2" t="inlineStr">
        <is>
          <t>EU-27 countries with a 2022 value</t>
        </is>
      </c>
      <c r="D1113" s="2" t="inlineStr">
        <is>
          <t>27</t>
        </is>
      </c>
      <c r="E1113" s="2" t="inlineStr">
        <is>
          <t>of 27</t>
        </is>
      </c>
      <c r="F1113" s="2" t="inlineStr">
        <is>
          <t>Eurostat road_eqs_carhab, updated 30 Jul 2026, retrieved 6 Oct 2026</t>
        </is>
      </c>
      <c r="G1113" s="2" t="inlineStr">
        <is>
          <t>flags among the 27: DE 'b', LV 'b', PL 'i', RO 'e'</t>
        </is>
      </c>
      <c r="H1113" s="2" t="inlineStr"/>
    </row>
    <row r="1114">
      <c r="A1114" s="5" t="inlineStr">
        <is>
          <t>CC-075</t>
        </is>
      </c>
      <c r="B1114" s="2" t="inlineStr">
        <is>
          <t>CC-075:4</t>
        </is>
      </c>
      <c r="C1114" s="2" t="inlineStr">
        <is>
          <t>Malta rank among EU-27, 2022 (1 = most cars per person)</t>
        </is>
      </c>
      <c r="D1114" s="2" t="inlineStr">
        <is>
          <t>7</t>
        </is>
      </c>
      <c r="E1114" s="2" t="inlineStr">
        <is>
          <t>rank</t>
        </is>
      </c>
      <c r="F1114" s="2" t="inlineStr">
        <is>
          <t>Eurostat road_eqs_carhab, updated 30 Jul 2026, retrieved 6 Oct 2026</t>
        </is>
      </c>
      <c r="G1114" s="2" t="inlineStr"/>
      <c r="H1114" s="2" t="inlineStr"/>
    </row>
    <row r="1115">
      <c r="A1115" s="5" t="inlineStr">
        <is>
          <t>CC-075</t>
        </is>
      </c>
      <c r="B1115" s="2" t="inlineStr">
        <is>
          <t>CC-075:5</t>
        </is>
      </c>
      <c r="C1115" s="2" t="inlineStr">
        <is>
          <t>Country ranked just above Malta, 2022</t>
        </is>
      </c>
      <c r="D1115" s="2" t="inlineStr">
        <is>
          <t>587.0</t>
        </is>
      </c>
      <c r="E1115" s="2" t="inlineStr">
        <is>
          <t>per 1,000</t>
        </is>
      </c>
      <c r="F1115" s="2" t="inlineStr">
        <is>
          <t>Eurostat road_eqs_carhab, updated 30 Jul 2026, retrieved 6 Oct 2026</t>
        </is>
      </c>
      <c r="G1115" s="2" t="inlineStr">
        <is>
          <t>DE (Germany); flag 'b'</t>
        </is>
      </c>
      <c r="H1115" s="2" t="inlineStr"/>
    </row>
    <row r="1116">
      <c r="A1116" s="5" t="inlineStr">
        <is>
          <t>CC-075</t>
        </is>
      </c>
      <c r="B1116" s="2" t="inlineStr">
        <is>
          <t>CC-075:6</t>
        </is>
      </c>
      <c r="C1116" s="2" t="inlineStr">
        <is>
          <t>Country ranked just below Malta, 2022</t>
        </is>
      </c>
      <c r="D1116" s="2" t="inlineStr">
        <is>
          <t>584.0</t>
        </is>
      </c>
      <c r="E1116" s="2" t="inlineStr">
        <is>
          <t>per 1,000</t>
        </is>
      </c>
      <c r="F1116" s="2" t="inlineStr">
        <is>
          <t>Eurostat road_eqs_carhab, updated 30 Jul 2026, retrieved 6 Oct 2026</t>
        </is>
      </c>
      <c r="G1116" s="2" t="inlineStr">
        <is>
          <t>PL (Poland); flag 'i'</t>
        </is>
      </c>
      <c r="H1116" s="2" t="inlineStr"/>
    </row>
    <row r="1117">
      <c r="A1117" s="5" t="inlineStr">
        <is>
          <t>CC-075</t>
        </is>
      </c>
      <c r="B1117" s="2" t="inlineStr">
        <is>
          <t>CC-075:7</t>
        </is>
      </c>
      <c r="C1117" s="2" t="inlineStr">
        <is>
          <t>Highest EU-27 value, 2022</t>
        </is>
      </c>
      <c r="D1117" s="2" t="inlineStr">
        <is>
          <t>682.0</t>
        </is>
      </c>
      <c r="E1117" s="2" t="inlineStr">
        <is>
          <t>per 1,000</t>
        </is>
      </c>
      <c r="F1117" s="2" t="inlineStr">
        <is>
          <t>Eurostat road_eqs_carhab, updated 30 Jul 2026, retrieved 6 Oct 2026</t>
        </is>
      </c>
      <c r="G1117" s="2" t="inlineStr">
        <is>
          <t>IT; no flag</t>
        </is>
      </c>
      <c r="H1117" s="2" t="inlineStr"/>
    </row>
    <row r="1118">
      <c r="A1118" s="5" t="inlineStr">
        <is>
          <t>CC-075</t>
        </is>
      </c>
      <c r="B1118" s="2" t="inlineStr">
        <is>
          <t>CC-075:8</t>
        </is>
      </c>
      <c r="C1118" s="2" t="inlineStr">
        <is>
          <t>Lowest EU-27 value, 2022</t>
        </is>
      </c>
      <c r="D1118" s="2" t="inlineStr">
        <is>
          <t>406.0</t>
        </is>
      </c>
      <c r="E1118" s="2" t="inlineStr">
        <is>
          <t>per 1,000</t>
        </is>
      </c>
      <c r="F1118" s="2" t="inlineStr">
        <is>
          <t>Eurostat road_eqs_carhab, updated 30 Jul 2026, retrieved 6 Oct 2026</t>
        </is>
      </c>
      <c r="G1118" s="2" t="inlineStr">
        <is>
          <t>LV; flag 'b'</t>
        </is>
      </c>
      <c r="H1118" s="2" t="inlineStr"/>
    </row>
    <row r="1119">
      <c r="A1119" s="5" t="inlineStr">
        <is>
          <t>CC-075</t>
        </is>
      </c>
      <c r="B1119" s="2" t="inlineStr">
        <is>
          <t>CC-075:9</t>
        </is>
      </c>
      <c r="C1119" s="2" t="inlineStr">
        <is>
          <t>EU-27 average, 2022</t>
        </is>
      </c>
      <c r="D1119" s="2" t="inlineStr">
        <is>
          <t>564.0</t>
        </is>
      </c>
      <c r="E1119" s="2" t="inlineStr">
        <is>
          <t>per 1,000</t>
        </is>
      </c>
      <c r="F1119" s="2" t="inlineStr">
        <is>
          <t>Eurostat road_eqs_carhab, updated 30 Jul 2026, retrieved 6 Oct 2026</t>
        </is>
      </c>
      <c r="G1119" s="2" t="inlineStr">
        <is>
          <t>no flag</t>
        </is>
      </c>
      <c r="H1119" s="2" t="inlineStr"/>
    </row>
    <row r="1120">
      <c r="A1120" s="5" t="inlineStr">
        <is>
          <t>CC-075</t>
        </is>
      </c>
      <c r="B1120" s="2" t="inlineStr">
        <is>
          <t>CC-075:10</t>
        </is>
      </c>
      <c r="C1120" s="2" t="inlineStr">
        <is>
          <t>Values of the 5th to 9th places, 2022</t>
        </is>
      </c>
      <c r="D1120" s="2" t="inlineStr">
        <is>
          <t>622-582</t>
        </is>
      </c>
      <c r="E1120" s="2" t="inlineStr">
        <is>
          <t>per 1,000</t>
        </is>
      </c>
      <c r="F1120" s="2" t="inlineStr">
        <is>
          <t>Eurostat road_eqs_carhab, updated 30 Jul 2026, retrieved 6 Oct 2026</t>
        </is>
      </c>
      <c r="G1120" s="2" t="inlineStr">
        <is>
          <t>5th EE, 9th CZ: five countries within 40 cars per 1,000</t>
        </is>
      </c>
      <c r="H1120" s="2" t="inlineStr"/>
    </row>
    <row r="1121">
      <c r="A1121" s="5" t="inlineStr">
        <is>
          <t>CC-075</t>
        </is>
      </c>
      <c r="B1121" s="2" t="inlineStr">
        <is>
          <t>CC-075:11</t>
        </is>
      </c>
      <c r="C1121" s="2" t="inlineStr">
        <is>
          <t>Countries within 5 cars per 1,000 of Malta, 2022</t>
        </is>
      </c>
      <c r="D1121" s="2" t="inlineStr">
        <is>
          <t>DE 587, PL 584, CZ 582</t>
        </is>
      </c>
      <c r="E1121" s="2" t="inlineStr">
        <is>
          <t>list</t>
        </is>
      </c>
      <c r="F1121" s="2" t="inlineStr">
        <is>
          <t>Eurostat road_eqs_carhab, updated 30 Jul 2026, retrieved 6 Oct 2026</t>
        </is>
      </c>
      <c r="G1121" s="2" t="inlineStr"/>
      <c r="H1121" s="2" t="inlineStr"/>
    </row>
    <row r="1122">
      <c r="A1122" s="5" t="inlineStr">
        <is>
          <t>CC-075</t>
        </is>
      </c>
      <c r="B1122" s="2" t="inlineStr">
        <is>
          <t>CC-075:12</t>
        </is>
      </c>
      <c r="C1122" s="2" t="inlineStr">
        <is>
          <t>Malta rank among every country in the dataset, 2022</t>
        </is>
      </c>
      <c r="D1122" s="2" t="inlineStr">
        <is>
          <t>9</t>
        </is>
      </c>
      <c r="E1122" s="2" t="inlineStr">
        <is>
          <t>of 41</t>
        </is>
      </c>
      <c r="F1122" s="2" t="inlineStr">
        <is>
          <t>Eurostat road_eqs_carhab, updated 30 Jul 2026, retrieved 6 Oct 2026</t>
        </is>
      </c>
      <c r="G1122" s="2" t="inlineStr">
        <is>
          <t>non-EU countries above Malta: LI 773, IS 611 ('i')</t>
        </is>
      </c>
      <c r="H1122" s="2" t="inlineStr"/>
    </row>
    <row r="1123">
      <c r="A1123" s="5" t="inlineStr">
        <is>
          <t>CC-075</t>
        </is>
      </c>
      <c r="B1123" s="2" t="inlineStr">
        <is>
          <t>CC-075:13</t>
        </is>
      </c>
      <c r="C1123" s="2" t="inlineStr">
        <is>
          <t>Malta: passenger car stock at end of 2022</t>
        </is>
      </c>
      <c r="D1123" s="2" t="inlineStr">
        <is>
          <t>317234</t>
        </is>
      </c>
      <c r="E1123" s="2" t="inlineStr">
        <is>
          <t>cars</t>
        </is>
      </c>
      <c r="F1123" s="2" t="inlineStr">
        <is>
          <t>Eurostat road_eqs_carmot, updated 1 Sep 2026, retrieved 6 Oct 2026</t>
        </is>
      </c>
      <c r="G1123" s="2" t="inlineStr">
        <is>
          <t>no flag</t>
        </is>
      </c>
      <c r="H1123" s="2" t="inlineStr"/>
    </row>
    <row r="1124">
      <c r="A1124" s="5" t="inlineStr">
        <is>
          <t>CC-075</t>
        </is>
      </c>
      <c r="B1124" s="2" t="inlineStr">
        <is>
          <t>CC-075:14</t>
        </is>
      </c>
      <c r="C1124" s="2" t="inlineStr">
        <is>
          <t>Malta: population on 1 January 2023</t>
        </is>
      </c>
      <c r="D1124" s="2" t="inlineStr">
        <is>
          <t>542051</t>
        </is>
      </c>
      <c r="E1124" s="2" t="inlineStr">
        <is>
          <t>people</t>
        </is>
      </c>
      <c r="F1124" s="2" t="inlineStr">
        <is>
          <t>Eurostat demo_gind (1 January), updated 30 Sep 2026, retrieved 6 Oct 2026</t>
        </is>
      </c>
      <c r="G1124" s="2" t="inlineStr">
        <is>
          <t>no flag</t>
        </is>
      </c>
      <c r="H1124" s="2" t="inlineStr"/>
    </row>
    <row r="1125">
      <c r="A1125" s="5" t="inlineStr">
        <is>
          <t>CC-075</t>
        </is>
      </c>
      <c r="B1125" s="2" t="inlineStr">
        <is>
          <t>CC-075:15</t>
        </is>
      </c>
      <c r="C1125" s="2" t="inlineStr">
        <is>
          <t>Malta: stock / population on 1 Jan 2023 x 1,000</t>
        </is>
      </c>
      <c r="D1125" s="2" t="inlineStr">
        <is>
          <t>585.2</t>
        </is>
      </c>
      <c r="E1125" s="2" t="inlineStr">
        <is>
          <t>per 1,000</t>
        </is>
      </c>
      <c r="F1125" s="2" t="inlineStr">
        <is>
          <t>calculated</t>
        </is>
      </c>
      <c r="G1125" s="2" t="inlineStr">
        <is>
          <t>reproduces Eurostat's 585</t>
        </is>
      </c>
      <c r="H1125" s="2" t="inlineStr"/>
    </row>
    <row r="1126">
      <c r="A1126" s="5" t="inlineStr">
        <is>
          <t>CC-075</t>
        </is>
      </c>
      <c r="B1126" s="2" t="inlineStr">
        <is>
          <t>CC-075:16</t>
        </is>
      </c>
      <c r="C1126" s="2" t="inlineStr">
        <is>
          <t>Malta: stock / population on 1 Jan 2022 x 1,000 (start-of-year denominator)</t>
        </is>
      </c>
      <c r="D1126" s="2" t="inlineStr">
        <is>
          <t>609.9</t>
        </is>
      </c>
      <c r="E1126" s="2" t="inlineStr">
        <is>
          <t>per 1,000</t>
        </is>
      </c>
      <c r="F1126" s="2" t="inlineStr">
        <is>
          <t>calculated</t>
        </is>
      </c>
      <c r="G1126" s="2" t="inlineStr">
        <is>
          <t>for comparison only; Eurostat uses the end-of-year population</t>
        </is>
      </c>
      <c r="H1126" s="2" t="inlineStr"/>
    </row>
    <row r="1127">
      <c r="A1127" s="5" t="inlineStr">
        <is>
          <t>CC-075</t>
        </is>
      </c>
      <c r="B1127" s="2" t="inlineStr">
        <is>
          <t>CC-075:17</t>
        </is>
      </c>
      <c r="C1127" s="2" t="inlineStr">
        <is>
          <t>EU-27 countries whose 2022 rate is reproduced by stock / population on 1 Jan 2023 (within 1 per 1,000)</t>
        </is>
      </c>
      <c r="D1127" s="2" t="inlineStr">
        <is>
          <t>27</t>
        </is>
      </c>
      <c r="E1127" s="2" t="inlineStr">
        <is>
          <t>of 27</t>
        </is>
      </c>
      <c r="F1127" s="2" t="inlineStr">
        <is>
          <t>calculated</t>
        </is>
      </c>
      <c r="G1127" s="2" t="inlineStr">
        <is>
          <t>the denominator is the population at the end of the reference year</t>
        </is>
      </c>
      <c r="H1127" s="2" t="inlineStr"/>
    </row>
    <row r="1128">
      <c r="A1128" s="5" t="inlineStr">
        <is>
          <t>CC-075</t>
        </is>
      </c>
      <c r="B1128" s="2" t="inlineStr">
        <is>
          <t>CC-075:18</t>
        </is>
      </c>
      <c r="C1128" s="2" t="inlineStr">
        <is>
          <t>Malta 2021: stock / population on 1 Jan 2022 x 1,000 vs Eurostat</t>
        </is>
      </c>
      <c r="D1128" s="2" t="inlineStr">
        <is>
          <t>602.1 vs 602</t>
        </is>
      </c>
      <c r="E1128" s="2" t="inlineStr">
        <is>
          <t>per 1,000</t>
        </is>
      </c>
      <c r="F1128" s="2" t="inlineStr">
        <is>
          <t>calculated</t>
        </is>
      </c>
      <c r="G1128" s="2" t="inlineStr"/>
      <c r="H1128" s="2" t="inlineStr"/>
    </row>
    <row r="1129">
      <c r="A1129" s="5" t="inlineStr">
        <is>
          <t>CC-075</t>
        </is>
      </c>
      <c r="B1129" s="2" t="inlineStr">
        <is>
          <t>CC-075:19</t>
        </is>
      </c>
      <c r="C1129" s="2" t="inlineStr">
        <is>
          <t>Malta 2022: stock / population on 1 Jan 2023 x 1,000 vs Eurostat</t>
        </is>
      </c>
      <c r="D1129" s="2" t="inlineStr">
        <is>
          <t>585.2 vs 585</t>
        </is>
      </c>
      <c r="E1129" s="2" t="inlineStr">
        <is>
          <t>per 1,000</t>
        </is>
      </c>
      <c r="F1129" s="2" t="inlineStr">
        <is>
          <t>calculated</t>
        </is>
      </c>
      <c r="G1129" s="2" t="inlineStr"/>
      <c r="H1129" s="2" t="inlineStr"/>
    </row>
    <row r="1130">
      <c r="A1130" s="5" t="inlineStr">
        <is>
          <t>CC-075</t>
        </is>
      </c>
      <c r="B1130" s="2" t="inlineStr">
        <is>
          <t>CC-075:20</t>
        </is>
      </c>
      <c r="C1130" s="2" t="inlineStr">
        <is>
          <t>Malta 2023: stock / population on 1 Jan 2024 x 1,000 vs Eurostat</t>
        </is>
      </c>
      <c r="D1130" s="2" t="inlineStr">
        <is>
          <t>574.8 vs 575</t>
        </is>
      </c>
      <c r="E1130" s="2" t="inlineStr">
        <is>
          <t>per 1,000</t>
        </is>
      </c>
      <c r="F1130" s="2" t="inlineStr">
        <is>
          <t>calculated</t>
        </is>
      </c>
      <c r="G1130" s="2" t="inlineStr"/>
      <c r="H1130" s="2" t="inlineStr"/>
    </row>
    <row r="1131">
      <c r="A1131" s="5" t="inlineStr">
        <is>
          <t>CC-075</t>
        </is>
      </c>
      <c r="B1131" s="2" t="inlineStr">
        <is>
          <t>CC-075:21</t>
        </is>
      </c>
      <c r="C1131" s="2" t="inlineStr">
        <is>
          <t>Malta 2024: stock / population on 1 Jan 2025 x 1,000 vs Eurostat</t>
        </is>
      </c>
      <c r="D1131" s="2" t="inlineStr">
        <is>
          <t>575.5 vs 576</t>
        </is>
      </c>
      <c r="E1131" s="2" t="inlineStr">
        <is>
          <t>per 1,000</t>
        </is>
      </c>
      <c r="F1131" s="2" t="inlineStr">
        <is>
          <t>calculated</t>
        </is>
      </c>
      <c r="G1131" s="2" t="inlineStr"/>
      <c r="H1131" s="2" t="inlineStr"/>
    </row>
    <row r="1132">
      <c r="A1132" s="5" t="inlineStr">
        <is>
          <t>CC-075</t>
        </is>
      </c>
      <c r="B1132" s="2" t="inlineStr">
        <is>
          <t>CC-075:22</t>
        </is>
      </c>
      <c r="C1132" s="2" t="inlineStr">
        <is>
          <t>Malta 2025: stock / population on 1 Jan 2026 x 1,000 vs Eurostat</t>
        </is>
      </c>
      <c r="D1132" s="2" t="inlineStr">
        <is>
          <t>570.7 vs 571</t>
        </is>
      </c>
      <c r="E1132" s="2" t="inlineStr">
        <is>
          <t>per 1,000</t>
        </is>
      </c>
      <c r="F1132" s="2" t="inlineStr">
        <is>
          <t>calculated</t>
        </is>
      </c>
      <c r="G1132" s="2" t="inlineStr"/>
      <c r="H1132" s="2" t="inlineStr"/>
    </row>
    <row r="1133">
      <c r="A1133" s="5" t="inlineStr">
        <is>
          <t>CC-075</t>
        </is>
      </c>
      <c r="B1133" s="2" t="inlineStr">
        <is>
          <t>CC-075:23</t>
        </is>
      </c>
      <c r="C1133" s="2" t="inlineStr">
        <is>
          <t>Malta rank among EU-27, 2023</t>
        </is>
      </c>
      <c r="D1133" s="2" t="inlineStr">
        <is>
          <t>11</t>
        </is>
      </c>
      <c r="E1133" s="2" t="inlineStr">
        <is>
          <t>of 27</t>
        </is>
      </c>
      <c r="F1133" s="2" t="inlineStr">
        <is>
          <t>Eurostat road_eqs_carhab, updated 30 Jul 2026, retrieved 6 Oct 2026</t>
        </is>
      </c>
      <c r="G1133" s="2" t="inlineStr">
        <is>
          <t>Malta 575 (no flag); EU-27 570 (no flag); 12 countries above the EU-27 value; flagged: BE 'i', FR 'p', RO 'e'</t>
        </is>
      </c>
      <c r="H1133" s="2" t="inlineStr"/>
    </row>
    <row r="1134">
      <c r="A1134" s="5" t="inlineStr">
        <is>
          <t>CC-075</t>
        </is>
      </c>
      <c r="B1134" s="2" t="inlineStr">
        <is>
          <t>CC-075:24</t>
        </is>
      </c>
      <c r="C1134" s="2" t="inlineStr">
        <is>
          <t>Malta rank among EU-27, 2024</t>
        </is>
      </c>
      <c r="D1134" s="2" t="inlineStr">
        <is>
          <t>13</t>
        </is>
      </c>
      <c r="E1134" s="2" t="inlineStr">
        <is>
          <t>of 27</t>
        </is>
      </c>
      <c r="F1134" s="2" t="inlineStr">
        <is>
          <t>Eurostat road_eqs_carhab, updated 30 Jul 2026, retrieved 6 Oct 2026</t>
        </is>
      </c>
      <c r="G1134" s="2" t="inlineStr">
        <is>
          <t>Malta 576 (no flag); EU-27 577 (no flag); 11 countries above the EU-27 value; flagged: BE 'i', IE 'i', FR 'p', PL 'b', RO 'e'</t>
        </is>
      </c>
      <c r="H1134" s="2" t="inlineStr"/>
    </row>
    <row r="1135">
      <c r="A1135" s="5" t="inlineStr">
        <is>
          <t>CC-075</t>
        </is>
      </c>
      <c r="B1135" s="2" t="inlineStr">
        <is>
          <t>CC-075:25</t>
        </is>
      </c>
      <c r="C1135" s="2" t="inlineStr">
        <is>
          <t>Malta rank among EU-27, 2025</t>
        </is>
      </c>
      <c r="D1135" s="2" t="inlineStr">
        <is>
          <t>14</t>
        </is>
      </c>
      <c r="E1135" s="2" t="inlineStr">
        <is>
          <t>of 27</t>
        </is>
      </c>
      <c r="F1135" s="2" t="inlineStr">
        <is>
          <t>Eurostat road_eqs_carhab, updated 30 Jul 2026, retrieved 6 Oct 2026</t>
        </is>
      </c>
      <c r="G1135" s="2" t="inlineStr">
        <is>
          <t>Malta 571 (no flag); EU-27 584 (no flag); 11 countries above the EU-27 value; flagged: BE 'p', IE 'i', EL 'ep', ES 'p', FR 'ip', IT 'p', CY 'p', PL 'i', PT 'p', RO 'e', SI 'b'</t>
        </is>
      </c>
      <c r="H1135" s="2" t="inlineStr"/>
    </row>
    <row r="1136">
      <c r="A1136" s="5" t="inlineStr">
        <is>
          <t>CC-075</t>
        </is>
      </c>
      <c r="B1136" s="2" t="inlineStr">
        <is>
          <t>CC-075:26</t>
        </is>
      </c>
      <c r="C1136" s="2" t="inlineStr">
        <is>
          <t>Malta minus EU-27, 2025</t>
        </is>
      </c>
      <c r="D1136" s="2" t="inlineStr">
        <is>
          <t>-13.0</t>
        </is>
      </c>
      <c r="E1136" s="2" t="inlineStr">
        <is>
          <t>per 1,000</t>
        </is>
      </c>
      <c r="F1136" s="2" t="inlineStr">
        <is>
          <t>Eurostat road_eqs_carhab, updated 30 Jul 2026, retrieved 6 Oct 2026</t>
        </is>
      </c>
      <c r="G1136" s="2" t="inlineStr"/>
      <c r="H1136" s="2" t="inlineStr"/>
    </row>
    <row r="1137">
      <c r="A1137" s="5" t="inlineStr">
        <is>
          <t>CC-075</t>
        </is>
      </c>
      <c r="B1137" s="2" t="inlineStr">
        <is>
          <t>CC-075:27</t>
        </is>
      </c>
      <c r="C1137" s="2" t="inlineStr">
        <is>
          <t>Malta minus EU-27, 2024</t>
        </is>
      </c>
      <c r="D1137" s="2" t="inlineStr">
        <is>
          <t>-1.0</t>
        </is>
      </c>
      <c r="E1137" s="2" t="inlineStr">
        <is>
          <t>per 1,000</t>
        </is>
      </c>
      <c r="F1137" s="2" t="inlineStr">
        <is>
          <t>Eurostat road_eqs_carhab, updated 30 Jul 2026, retrieved 6 Oct 2026</t>
        </is>
      </c>
      <c r="G1137" s="2" t="inlineStr"/>
      <c r="H1137" s="2" t="inlineStr"/>
    </row>
    <row r="1138">
      <c r="A1138" s="5" t="inlineStr">
        <is>
          <t>CC-075</t>
        </is>
      </c>
      <c r="B1138" s="2" t="inlineStr">
        <is>
          <t>CC-075:28</t>
        </is>
      </c>
      <c r="C1138" s="2" t="inlineStr">
        <is>
          <t>Years Malta ranked in the EU-27's top three</t>
        </is>
      </c>
      <c r="D1138" s="2" t="inlineStr">
        <is>
          <t>11 years</t>
        </is>
      </c>
      <c r="E1138" s="2" t="inlineStr">
        <is>
          <t>years</t>
        </is>
      </c>
      <c r="F1138" s="2" t="inlineStr">
        <is>
          <t>Eurostat road_eqs_carhab, updated 30 Jul 2026, retrieved 6 Oct 2026</t>
        </is>
      </c>
      <c r="G1138" s="2" t="inlineStr">
        <is>
          <t>1995, 1997, 2007, 2008, 2009, 2010, 2011, 2012, 2014, 2015, 2016</t>
        </is>
      </c>
      <c r="H1138" s="2" t="inlineStr"/>
    </row>
    <row r="1139">
      <c r="A1139" s="5" t="inlineStr">
        <is>
          <t>CC-075</t>
        </is>
      </c>
      <c r="B1139" s="2" t="inlineStr">
        <is>
          <t>CC-075:29</t>
        </is>
      </c>
      <c r="C1139" s="2" t="inlineStr">
        <is>
          <t>Malta's highest value in the series</t>
        </is>
      </c>
      <c r="D1139" s="2" t="inlineStr">
        <is>
          <t>616.0</t>
        </is>
      </c>
      <c r="E1139" s="2" t="inlineStr">
        <is>
          <t>per 1,000</t>
        </is>
      </c>
      <c r="F1139" s="2" t="inlineStr">
        <is>
          <t>Eurostat road_eqs_carhab, updated 30 Jul 2026, retrieved 6 Oct 2026</t>
        </is>
      </c>
      <c r="G1139" s="2" t="inlineStr">
        <is>
          <t>2016; rank 3 of 27</t>
        </is>
      </c>
      <c r="H1139" s="2" t="inlineStr"/>
    </row>
    <row r="1140">
      <c r="A1140" s="5" t="inlineStr">
        <is>
          <t>CC-075</t>
        </is>
      </c>
      <c r="B1140" s="2" t="inlineStr">
        <is>
          <t>CC-075:30</t>
        </is>
      </c>
      <c r="C1140" s="2" t="inlineStr">
        <is>
          <t>Malta: years with no value</t>
        </is>
      </c>
      <c r="D1140" s="2" t="inlineStr">
        <is>
          <t>2003, 2004</t>
        </is>
      </c>
      <c r="E1140" s="2" t="inlineStr">
        <is>
          <t>years</t>
        </is>
      </c>
      <c r="F1140" s="2" t="inlineStr">
        <is>
          <t>Eurostat road_eqs_carhab, updated 30 Jul 2026, retrieved 6 Oct 2026</t>
        </is>
      </c>
      <c r="G1140" s="2" t="inlineStr"/>
      <c r="H1140" s="2" t="inlineStr"/>
    </row>
    <row r="1141">
      <c r="A1141" s="5" t="inlineStr">
        <is>
          <t>CC-075</t>
        </is>
      </c>
      <c r="B1141" s="2" t="inlineStr">
        <is>
          <t>CC-075:31</t>
        </is>
      </c>
      <c r="C1141" s="2" t="inlineStr">
        <is>
          <t>Eurostat flags on Malta's series, 1990-2025</t>
        </is>
      </c>
      <c r="D1141" s="2" t="inlineStr">
        <is>
          <t>none</t>
        </is>
      </c>
      <c r="E1141" s="2" t="inlineStr">
        <is>
          <t>flags</t>
        </is>
      </c>
      <c r="F1141" s="2" t="inlineStr">
        <is>
          <t>Eurostat road_eqs_carhab, updated 30 Jul 2026, retrieved 6 Oct 2026</t>
        </is>
      </c>
      <c r="G1141" s="2" t="inlineStr"/>
      <c r="H1141" s="2" t="inlineStr"/>
    </row>
    <row r="1142">
      <c r="A1142" s="5" t="inlineStr">
        <is>
          <t>CC-075</t>
        </is>
      </c>
      <c r="B1142" s="2" t="inlineStr">
        <is>
          <t>CC-075:32</t>
        </is>
      </c>
      <c r="C1142" s="2" t="inlineStr">
        <is>
          <t>First year Malta's rate is below the EU-27 value</t>
        </is>
      </c>
      <c r="D1142" s="2" t="inlineStr">
        <is>
          <t>2024</t>
        </is>
      </c>
      <c r="E1142" s="2" t="inlineStr">
        <is>
          <t>year</t>
        </is>
      </c>
      <c r="F1142" s="2" t="inlineStr">
        <is>
          <t>Eurostat road_eqs_carhab, updated 30 Jul 2026, retrieved 6 Oct 2026</t>
        </is>
      </c>
      <c r="G1142" s="2" t="inlineStr">
        <is>
          <t>Malta 576 vs EU-27 577; EU-27 series starts 2000 (gaps to 2010)</t>
        </is>
      </c>
      <c r="H1142" s="2" t="inlineStr"/>
    </row>
    <row r="1143">
      <c r="A1143" s="5" t="inlineStr">
        <is>
          <t>CC-075</t>
        </is>
      </c>
      <c r="B1143" s="2" t="inlineStr">
        <is>
          <t>CC-075:33</t>
        </is>
      </c>
      <c r="C1143" s="2" t="inlineStr">
        <is>
          <t>Malta minus EU-27, 2010</t>
        </is>
      </c>
      <c r="D1143" s="2" t="inlineStr">
        <is>
          <t>94.0</t>
        </is>
      </c>
      <c r="E1143" s="2" t="inlineStr">
        <is>
          <t>per 1,000</t>
        </is>
      </c>
      <c r="F1143" s="2" t="inlineStr">
        <is>
          <t>Eurostat road_eqs_carhab, updated 30 Jul 2026, retrieved 6 Oct 2026</t>
        </is>
      </c>
      <c r="G1143" s="2" t="inlineStr"/>
      <c r="H1143" s="2" t="inlineStr"/>
    </row>
    <row r="1144">
      <c r="A1144" s="5" t="inlineStr">
        <is>
          <t>CC-075</t>
        </is>
      </c>
      <c r="B1144" s="2" t="inlineStr">
        <is>
          <t>CC-075:34</t>
        </is>
      </c>
      <c r="C1144" s="2" t="inlineStr">
        <is>
          <t>Malta 2012-2025: change in car stock vs change in population (end-year)</t>
        </is>
      </c>
      <c r="D1144" s="2" t="inlineStr">
        <is>
          <t>+34.5% vs +39.6%</t>
        </is>
      </c>
      <c r="E1144" s="2" t="inlineStr">
        <is>
          <t>%</t>
        </is>
      </c>
      <c r="F1144" s="2" t="inlineStr">
        <is>
          <t>calculated from Eurostat road_eqs_carmot, updated 1 Sep 2026, retrieved 6 Oct 2026 and Eurostat demo_gind (1 January), updated 30 Sep 2026, retrieved 6 Oct 2026</t>
        </is>
      </c>
      <c r="G1144" s="2" t="inlineStr">
        <is>
          <t>stock 249,612 -&gt; 335,693; population on 1 Jan 2013 421,464 -&gt; 2026 588,254</t>
        </is>
      </c>
      <c r="H1144" s="2" t="inlineStr"/>
    </row>
    <row r="1145">
      <c r="A1145" s="5" t="inlineStr">
        <is>
          <t>CC-075</t>
        </is>
      </c>
      <c r="B1145" s="2" t="inlineStr">
        <is>
          <t>CC-075:35</t>
        </is>
      </c>
      <c r="C1145" s="2" t="inlineStr">
        <is>
          <t>Malta 2021-2022: change in car stock vs change in population (end-year)</t>
        </is>
      </c>
      <c r="D1145" s="2" t="inlineStr">
        <is>
          <t>+1.3% vs +4.2%</t>
        </is>
      </c>
      <c r="E1145" s="2" t="inlineStr">
        <is>
          <t>%</t>
        </is>
      </c>
      <c r="F1145" s="2" t="inlineStr">
        <is>
          <t>calculated from Eurostat road_eqs_carmot, updated 1 Sep 2026, retrieved 6 Oct 2026 and Eurostat demo_gind (1 January), updated 30 Sep 2026, retrieved 6 Oct 2026</t>
        </is>
      </c>
      <c r="G1145" s="2" t="inlineStr">
        <is>
          <t>stock 313,177 -&gt; 317,234; population on 1 Jan 2022 520,174 -&gt; 2023 542,051</t>
        </is>
      </c>
      <c r="H1145" s="2" t="inlineStr"/>
    </row>
    <row r="1146">
      <c r="A1146" s="5" t="inlineStr">
        <is>
          <t>CC-075</t>
        </is>
      </c>
      <c r="B1146" s="2" t="inlineStr">
        <is>
          <t>CC-075:36</t>
        </is>
      </c>
      <c r="C1146" s="2" t="inlineStr">
        <is>
          <t>Malta 2022-2025: change in car stock vs change in population (end-year)</t>
        </is>
      </c>
      <c r="D1146" s="2" t="inlineStr">
        <is>
          <t>+5.8% vs +8.5%</t>
        </is>
      </c>
      <c r="E1146" s="2" t="inlineStr">
        <is>
          <t>%</t>
        </is>
      </c>
      <c r="F1146" s="2" t="inlineStr">
        <is>
          <t>calculated from Eurostat road_eqs_carmot, updated 1 Sep 2026, retrieved 6 Oct 2026 and Eurostat demo_gind (1 January), updated 30 Sep 2026, retrieved 6 Oct 2026</t>
        </is>
      </c>
      <c r="G1146" s="2" t="inlineStr">
        <is>
          <t>stock 317,234 -&gt; 335,693; population on 1 Jan 2023 542,051 -&gt; 2026 588,254</t>
        </is>
      </c>
      <c r="H1146" s="2" t="inlineStr"/>
    </row>
    <row r="1147">
      <c r="A1147" s="5" t="inlineStr">
        <is>
          <t>CC-075</t>
        </is>
      </c>
      <c r="B1147" s="2" t="inlineStr">
        <is>
          <t>CC-075:37</t>
        </is>
      </c>
      <c r="C1147" s="2" t="inlineStr">
        <is>
          <t>Malta: net addition to the car stock, 2023-2025 (per year)</t>
        </is>
      </c>
      <c r="D1147" s="2" t="inlineStr">
        <is>
          <t>2023: +6,618, 2024: +6,632, 2025: +5,209</t>
        </is>
      </c>
      <c r="E1147" s="2" t="inlineStr">
        <is>
          <t>cars</t>
        </is>
      </c>
      <c r="F1147" s="2" t="inlineStr">
        <is>
          <t>Eurostat road_eqs_carmot, updated 1 Sep 2026, retrieved 6 Oct 2026</t>
        </is>
      </c>
      <c r="G1147" s="2" t="inlineStr"/>
      <c r="H1147" s="2" t="inlineStr"/>
    </row>
    <row r="1148">
      <c r="A1148" s="5" t="inlineStr">
        <is>
          <t>CC-075</t>
        </is>
      </c>
      <c r="B1148" s="2" t="inlineStr">
        <is>
          <t>CC-075:38</t>
        </is>
      </c>
      <c r="C1148" s="2" t="inlineStr">
        <is>
          <t>Malta: years 2006-2025 in which the car stock fell</t>
        </is>
      </c>
      <c r="D1148" s="2" t="inlineStr">
        <is>
          <t>none</t>
        </is>
      </c>
      <c r="E1148" s="2" t="inlineStr">
        <is>
          <t>years</t>
        </is>
      </c>
      <c r="F1148" s="2" t="inlineStr">
        <is>
          <t>Eurostat road_eqs_carmot, updated 1 Sep 2026, retrieved 6 Oct 2026</t>
        </is>
      </c>
      <c r="G1148" s="2" t="inlineStr"/>
      <c r="H1148" s="2" t="inlineStr"/>
    </row>
    <row r="1149">
      <c r="A1149" s="5" t="inlineStr">
        <is>
          <t>CC-075</t>
        </is>
      </c>
      <c r="B1149" s="2" t="inlineStr">
        <is>
          <t>CC-075:39</t>
        </is>
      </c>
      <c r="C1149" s="2" t="inlineStr">
        <is>
          <t>Italy 2022: article / Eurostat news (Jan 2024) / dataset now</t>
        </is>
      </c>
      <c r="D1149" s="2" t="inlineStr">
        <is>
          <t>682 / 684 / 682</t>
        </is>
      </c>
      <c r="E1149" s="2" t="inlineStr">
        <is>
          <t>per 1,000</t>
        </is>
      </c>
      <c r="F1149" s="2" t="inlineStr">
        <is>
          <t>reported_values.csv; Eurostat road_eqs_carhab, updated 30 Jul 2026, retrieved 6 Oct 2026</t>
        </is>
      </c>
      <c r="G1149" s="2" t="inlineStr">
        <is>
          <t>no flag</t>
        </is>
      </c>
      <c r="H1149" s="2" t="inlineStr"/>
    </row>
    <row r="1150">
      <c r="A1150" s="5" t="inlineStr">
        <is>
          <t>CC-075</t>
        </is>
      </c>
      <c r="B1150" s="2" t="inlineStr">
        <is>
          <t>CC-075:40</t>
        </is>
      </c>
      <c r="C1150" s="2" t="inlineStr">
        <is>
          <t>Latvia 2022: article / Eurostat news (Jan 2024) / dataset now</t>
        </is>
      </c>
      <c r="D1150" s="2" t="inlineStr">
        <is>
          <t>409 / 414 / 406</t>
        </is>
      </c>
      <c r="E1150" s="2" t="inlineStr">
        <is>
          <t>per 1,000</t>
        </is>
      </c>
      <c r="F1150" s="2" t="inlineStr">
        <is>
          <t>reported_values.csv; Eurostat road_eqs_carhab, updated 30 Jul 2026, retrieved 6 Oct 2026</t>
        </is>
      </c>
      <c r="G1150" s="2" t="inlineStr">
        <is>
          <t>flag 'b' (b = break in time series)</t>
        </is>
      </c>
      <c r="H1150" s="2" t="inlineStr"/>
    </row>
    <row r="1151">
      <c r="A1151" s="5" t="inlineStr">
        <is>
          <t>CC-075</t>
        </is>
      </c>
      <c r="B1151" s="2" t="inlineStr">
        <is>
          <t>CC-075:41</t>
        </is>
      </c>
      <c r="C1151" s="2" t="inlineStr">
        <is>
          <t>Luxembourg 2022: Eurostat news (Jan 2024) / dataset now</t>
        </is>
      </c>
      <c r="D1151" s="2" t="inlineStr">
        <is>
          <t>678 / 673</t>
        </is>
      </c>
      <c r="E1151" s="2" t="inlineStr">
        <is>
          <t>per 1,000</t>
        </is>
      </c>
      <c r="F1151" s="2" t="inlineStr">
        <is>
          <t>reported_values.csv; Eurostat road_eqs_carhab, updated 30 Jul 2026, retrieved 6 Oct 2026</t>
        </is>
      </c>
      <c r="G1151" s="2" t="inlineStr">
        <is>
          <t>revised since the January 2024 release</t>
        </is>
      </c>
      <c r="H1151" s="2" t="inlineStr"/>
    </row>
    <row r="1152">
      <c r="A1152" s="5" t="inlineStr">
        <is>
          <t>CC-075</t>
        </is>
      </c>
      <c r="B1152" s="2" t="inlineStr">
        <is>
          <t>CC-075:42</t>
        </is>
      </c>
      <c r="C1152" s="2" t="inlineStr">
        <is>
          <t>Finland 2022: Eurostat news (Jan 2024) / dataset now</t>
        </is>
      </c>
      <c r="D1152" s="2" t="inlineStr">
        <is>
          <t>661 / 660</t>
        </is>
      </c>
      <c r="E1152" s="2" t="inlineStr">
        <is>
          <t>per 1,000</t>
        </is>
      </c>
      <c r="F1152" s="2" t="inlineStr">
        <is>
          <t>reported_values.csv; Eurostat road_eqs_carhab, updated 30 Jul 2026, retrieved 6 Oct 2026</t>
        </is>
      </c>
      <c r="G1152" s="2" t="inlineStr">
        <is>
          <t>revised since the January 2024 release</t>
        </is>
      </c>
      <c r="H1152" s="2" t="inlineStr"/>
    </row>
    <row r="1153">
      <c r="A1153" s="5" t="inlineStr">
        <is>
          <t>CC-075</t>
        </is>
      </c>
      <c r="B1153" s="2" t="inlineStr">
        <is>
          <t>CC-075:43</t>
        </is>
      </c>
      <c r="C1153" s="2" t="inlineStr">
        <is>
          <t>Cyprus 2022: Eurostat news (Jan 2024) / dataset now</t>
        </is>
      </c>
      <c r="D1153" s="2" t="inlineStr">
        <is>
          <t>658 / 633</t>
        </is>
      </c>
      <c r="E1153" s="2" t="inlineStr">
        <is>
          <t>per 1,000</t>
        </is>
      </c>
      <c r="F1153" s="2" t="inlineStr">
        <is>
          <t>reported_values.csv; Eurostat road_eqs_carhab, updated 30 Jul 2026, retrieved 6 Oct 2026</t>
        </is>
      </c>
      <c r="G1153" s="2" t="inlineStr">
        <is>
          <t>revised since the January 2024 release</t>
        </is>
      </c>
      <c r="H1153" s="2" t="inlineStr"/>
    </row>
    <row r="1154">
      <c r="A1154" s="5" t="inlineStr">
        <is>
          <t>CC-075</t>
        </is>
      </c>
      <c r="B1154" s="2" t="inlineStr">
        <is>
          <t>CC-075:44</t>
        </is>
      </c>
      <c r="C1154" s="2" t="inlineStr">
        <is>
          <t>EU-27 2022: Eurostat news (Jan 2024) / dataset now</t>
        </is>
      </c>
      <c r="D1154" s="2" t="inlineStr">
        <is>
          <t>560 / 564</t>
        </is>
      </c>
      <c r="E1154" s="2" t="inlineStr">
        <is>
          <t>per 1,000</t>
        </is>
      </c>
      <c r="F1154" s="2" t="inlineStr">
        <is>
          <t>reported_values.csv; Eurostat road_eqs_carhab, updated 30 Jul 2026, retrieved 6 Oct 2026</t>
        </is>
      </c>
      <c r="G1154" s="2" t="inlineStr"/>
      <c r="H1154" s="2" t="inlineStr"/>
    </row>
    <row r="1155">
      <c r="A1155" s="5" t="inlineStr">
        <is>
          <t>CC-075</t>
        </is>
      </c>
      <c r="B1155" s="2" t="inlineStr">
        <is>
          <t>CC-075:45</t>
        </is>
      </c>
      <c r="C1155" s="2" t="inlineStr">
        <is>
          <t>People per passenger car in Malta, 2022 (1,000 / 585)</t>
        </is>
      </c>
      <c r="D1155" s="2" t="inlineStr">
        <is>
          <t>1.71</t>
        </is>
      </c>
      <c r="E1155" s="2" t="inlineStr">
        <is>
          <t>people</t>
        </is>
      </c>
      <c r="F1155" s="2" t="inlineStr">
        <is>
          <t>calculated</t>
        </is>
      </c>
      <c r="G1155" s="2" t="inlineStr">
        <is>
          <t>the article: 'approximately 1 car for every 2 people'</t>
        </is>
      </c>
      <c r="H1155" s="2" t="inlineStr"/>
    </row>
    <row r="1156">
      <c r="A1156" s="5" t="inlineStr">
        <is>
          <t>CC-075</t>
        </is>
      </c>
      <c r="B1156" s="2" t="inlineStr">
        <is>
          <t>CC-075:46</t>
        </is>
      </c>
      <c r="C1156" s="2" t="inlineStr">
        <is>
          <t>Passenger cars per person in Malta, 2022</t>
        </is>
      </c>
      <c r="D1156" s="2" t="inlineStr">
        <is>
          <t>0.585</t>
        </is>
      </c>
      <c r="E1156" s="2" t="inlineStr">
        <is>
          <t>cars</t>
        </is>
      </c>
      <c r="F1156" s="2" t="inlineStr">
        <is>
          <t>calculated</t>
        </is>
      </c>
      <c r="G1156" s="2" t="inlineStr"/>
      <c r="H1156" s="2" t="inlineStr"/>
    </row>
    <row r="1157">
      <c r="A1157" s="5" t="inlineStr">
        <is>
          <t>CC-075</t>
        </is>
      </c>
      <c r="B1157" s="2" t="inlineStr">
        <is>
          <t>CC-075:47</t>
        </is>
      </c>
      <c r="C1157" s="2" t="inlineStr">
        <is>
          <t>Malta: land area (whole country), 2022</t>
        </is>
      </c>
      <c r="D1157" s="2" t="inlineStr">
        <is>
          <t>313.0</t>
        </is>
      </c>
      <c r="E1157" s="2" t="inlineStr">
        <is>
          <t>km2</t>
        </is>
      </c>
      <c r="F1157" s="2" t="inlineStr">
        <is>
          <t>Eurostat reg_area3 (land area), updated 22 Jan 2026, retrieved 6 Oct 2026</t>
        </is>
      </c>
      <c r="G1157" s="2" t="inlineStr">
        <is>
          <t>no flag</t>
        </is>
      </c>
      <c r="H1157" s="2" t="inlineStr"/>
    </row>
    <row r="1158">
      <c r="A1158" s="5" t="inlineStr">
        <is>
          <t>CC-075</t>
        </is>
      </c>
      <c r="B1158" s="2" t="inlineStr">
        <is>
          <t>CC-075:48</t>
        </is>
      </c>
      <c r="C1158" s="2" t="inlineStr">
        <is>
          <t>Malta island (NUTS 3 MT001): land area, 2022</t>
        </is>
      </c>
      <c r="D1158" s="2" t="inlineStr">
        <is>
          <t>245.0</t>
        </is>
      </c>
      <c r="E1158" s="2" t="inlineStr">
        <is>
          <t>km2</t>
        </is>
      </c>
      <c r="F1158" s="2" t="inlineStr">
        <is>
          <t>Eurostat reg_area3 (land area), updated 22 Jan 2026, retrieved 6 Oct 2026</t>
        </is>
      </c>
      <c r="G1158" s="2" t="inlineStr">
        <is>
          <t>the article: 246 km2</t>
        </is>
      </c>
      <c r="H1158" s="2" t="inlineStr"/>
    </row>
    <row r="1159">
      <c r="A1159" s="5" t="inlineStr">
        <is>
          <t>CC-075</t>
        </is>
      </c>
      <c r="B1159" s="2" t="inlineStr">
        <is>
          <t>CC-075:49</t>
        </is>
      </c>
      <c r="C1159" s="2" t="inlineStr">
        <is>
          <t>Gozo and Comino (MT002): land area, 2022</t>
        </is>
      </c>
      <c r="D1159" s="2" t="inlineStr">
        <is>
          <t>68.0</t>
        </is>
      </c>
      <c r="E1159" s="2" t="inlineStr">
        <is>
          <t>km2</t>
        </is>
      </c>
      <c r="F1159" s="2" t="inlineStr">
        <is>
          <t>Eurostat reg_area3 (land area), updated 22 Jan 2026, retrieved 6 Oct 2026</t>
        </is>
      </c>
      <c r="G1159" s="2" t="inlineStr"/>
      <c r="H1159" s="2" t="inlineStr"/>
    </row>
    <row r="1160">
      <c r="A1160" s="5" t="inlineStr">
        <is>
          <t>CC-075</t>
        </is>
      </c>
      <c r="B1160" s="2" t="inlineStr">
        <is>
          <t>CC-075:50</t>
        </is>
      </c>
      <c r="C1160" s="2" t="inlineStr">
        <is>
          <t>EU-27 countries with both car stock and land area, 2022</t>
        </is>
      </c>
      <c r="D1160" s="2" t="inlineStr">
        <is>
          <t>27</t>
        </is>
      </c>
      <c r="E1160" s="2" t="inlineStr">
        <is>
          <t>of 27</t>
        </is>
      </c>
      <c r="F1160" s="2" t="inlineStr">
        <is>
          <t>calculated</t>
        </is>
      </c>
      <c r="G1160" s="2" t="inlineStr"/>
      <c r="H1160" s="2" t="inlineStr"/>
    </row>
    <row r="1161">
      <c r="A1161" s="5" t="inlineStr">
        <is>
          <t>CC-075</t>
        </is>
      </c>
      <c r="B1161" s="2" t="inlineStr">
        <is>
          <t>CC-075:51</t>
        </is>
      </c>
      <c r="C1161" s="2" t="inlineStr">
        <is>
          <t>Malta: passenger cars per km2 of land, 2022</t>
        </is>
      </c>
      <c r="D1161" s="2" t="inlineStr">
        <is>
          <t>1014</t>
        </is>
      </c>
      <c r="E1161" s="2" t="inlineStr">
        <is>
          <t>cars/km2</t>
        </is>
      </c>
      <c r="F1161" s="2" t="inlineStr">
        <is>
          <t>calculated</t>
        </is>
      </c>
      <c r="G1161" s="2" t="inlineStr">
        <is>
          <t>rank 1 of 27</t>
        </is>
      </c>
      <c r="H1161" s="2" t="inlineStr"/>
    </row>
    <row r="1162">
      <c r="A1162" s="5" t="inlineStr">
        <is>
          <t>CC-075</t>
        </is>
      </c>
      <c r="B1162" s="2" t="inlineStr">
        <is>
          <t>CC-075:52</t>
        </is>
      </c>
      <c r="C1162" s="2" t="inlineStr">
        <is>
          <t>Second-highest EU-27 cars per km2 of land, 2022</t>
        </is>
      </c>
      <c r="D1162" s="2" t="inlineStr">
        <is>
          <t>261</t>
        </is>
      </c>
      <c r="E1162" s="2" t="inlineStr">
        <is>
          <t>cars/km2</t>
        </is>
      </c>
      <c r="F1162" s="2" t="inlineStr">
        <is>
          <t>calculated</t>
        </is>
      </c>
      <c r="G1162" s="2" t="inlineStr">
        <is>
          <t>NL (Netherlands); Malta / second = 3.9x</t>
        </is>
      </c>
      <c r="H1162" s="2" t="inlineStr"/>
    </row>
    <row r="1163">
      <c r="A1163" s="5" t="inlineStr">
        <is>
          <t>CC-075</t>
        </is>
      </c>
      <c r="B1163" s="2" t="inlineStr">
        <is>
          <t>CC-075:53</t>
        </is>
      </c>
      <c r="C1163" s="2" t="inlineStr">
        <is>
          <t>Malta: cars per km2 if only Malta island's land (245 km2) were used, 2022</t>
        </is>
      </c>
      <c r="D1163" s="2" t="inlineStr">
        <is>
          <t>1295</t>
        </is>
      </c>
      <c r="E1163" s="2" t="inlineStr">
        <is>
          <t>cars/km2</t>
        </is>
      </c>
      <c r="F1163" s="2" t="inlineStr">
        <is>
          <t>calculated</t>
        </is>
      </c>
      <c r="G1163" s="2" t="inlineStr">
        <is>
          <t>for comparison; the stock is national</t>
        </is>
      </c>
      <c r="H1163" s="2" t="inlineStr"/>
    </row>
    <row r="1164">
      <c r="A1164" s="5" t="inlineStr">
        <is>
          <t>CC-075</t>
        </is>
      </c>
      <c r="B1164" s="2" t="inlineStr">
        <is>
          <t>CC-075:54</t>
        </is>
      </c>
      <c r="C1164" s="2" t="inlineStr">
        <is>
          <t>Malta: passenger cars per km2 of land, 2025</t>
        </is>
      </c>
      <c r="D1164" s="2" t="inlineStr">
        <is>
          <t>1073</t>
        </is>
      </c>
      <c r="E1164" s="2" t="inlineStr">
        <is>
          <t>cars/km2</t>
        </is>
      </c>
      <c r="F1164" s="2" t="inlineStr">
        <is>
          <t>calculated</t>
        </is>
      </c>
      <c r="G1164" s="2" t="inlineStr">
        <is>
          <t>rank 1 of 27</t>
        </is>
      </c>
      <c r="H1164" s="2" t="inlineStr"/>
    </row>
    <row r="1165">
      <c r="A1165" s="5" t="inlineStr">
        <is>
          <t>CC-075</t>
        </is>
      </c>
      <c r="B1165" s="2" t="inlineStr">
        <is>
          <t>CC-075:55</t>
        </is>
      </c>
      <c r="C1165" s="2" t="inlineStr">
        <is>
          <t>NSO licensed passenger cars, end 2022, implied by 74.7% of 424,904 (second-hand)</t>
        </is>
      </c>
      <c r="D1165" s="2" t="inlineStr">
        <is>
          <t>317,403 (317,191-317,616 for 74.65-74.75%)</t>
        </is>
      </c>
      <c r="E1165" s="2" t="inlineStr">
        <is>
          <t>cars</t>
        </is>
      </c>
      <c r="F1165" s="2" t="inlineStr">
        <is>
          <t>NSO News2023_023 via search summary ◆</t>
        </is>
      </c>
      <c r="G1165" s="2" t="inlineStr">
        <is>
          <t>Eurostat stock 317,234: inside the range</t>
        </is>
      </c>
      <c r="H1165" s="2" t="inlineStr"/>
    </row>
    <row r="1166">
      <c r="A1166" s="5" t="inlineStr">
        <is>
          <t>CC-075</t>
        </is>
      </c>
      <c r="B1166" s="2" t="inlineStr">
        <is>
          <t>CC-075:56</t>
        </is>
      </c>
      <c r="C1166" s="2" t="inlineStr">
        <is>
          <t>Statistics Explained revision live on 21 Sep 2024</t>
        </is>
      </c>
      <c r="D1166" s="2" t="inlineStr">
        <is>
          <t>647912</t>
        </is>
      </c>
      <c r="E1166" s="2" t="inlineStr">
        <is>
          <t>revision</t>
        </is>
      </c>
      <c r="F1166" s="2" t="inlineStr">
        <is>
          <t>Eurostat Statistics Explained 'Passenger cars in the EU' (MediaWiki API), retrieved 6 Oct 2026</t>
        </is>
      </c>
      <c r="G1166" s="2" t="inlineStr">
        <is>
          <t>saved 2024-08-19T11:56:03Z; next revision 655141 on 2024-11-05T10:15:34Z</t>
        </is>
      </c>
      <c r="H1166" s="2" t="inlineStr"/>
    </row>
    <row r="1167">
      <c r="A1167" s="5" t="inlineStr">
        <is>
          <t>CC-075</t>
        </is>
      </c>
      <c r="B1167" s="2" t="inlineStr">
        <is>
          <t>CC-075:57</t>
        </is>
      </c>
      <c r="C1167" s="2" t="inlineStr">
        <is>
          <t>Revision 647912: data extraction stated</t>
        </is>
      </c>
      <c r="D1167" s="2" t="inlineStr">
        <is>
          <t>Data extracted in July 2024</t>
        </is>
      </c>
      <c r="E1167" s="2" t="inlineStr">
        <is>
          <t>text</t>
        </is>
      </c>
      <c r="F1167" s="2" t="inlineStr">
        <is>
          <t>Eurostat Statistics Explained 'Passenger cars in the EU' (MediaWiki API), retrieved 6 Oct 2026</t>
        </is>
      </c>
      <c r="G1167" s="2" t="inlineStr"/>
      <c r="H1167" s="2" t="inlineStr"/>
    </row>
    <row r="1168">
      <c r="A1168" s="5" t="inlineStr">
        <is>
          <t>CC-075</t>
        </is>
      </c>
      <c r="B1168" s="2" t="inlineStr">
        <is>
          <t>CC-075:58</t>
        </is>
      </c>
      <c r="C1168" s="2" t="inlineStr">
        <is>
          <t>Revision 647912: figure shown for the motorisation rate</t>
        </is>
      </c>
      <c r="D1168" s="2" t="inlineStr">
        <is>
          <t>Motorisation rate,_2023 Figure 3.png</t>
        </is>
      </c>
      <c r="E1168" s="2" t="inlineStr">
        <is>
          <t>file</t>
        </is>
      </c>
      <c r="F1168" s="2" t="inlineStr">
        <is>
          <t>Eurostat Statistics Explained 'Passenger cars in the EU' (MediaWiki API), retrieved 6 Oct 2026</t>
        </is>
      </c>
      <c r="G1168" s="2" t="inlineStr">
        <is>
          <t>uploaded 2024-07-25T08:53:34Z; sha1 7dd8b8d6c18bfdce7c98b5baf50fff8743d2125b (vintage_sources.csv)</t>
        </is>
      </c>
      <c r="H1168" s="2" t="inlineStr"/>
    </row>
    <row r="1169">
      <c r="A1169" s="5" t="inlineStr">
        <is>
          <t>CC-075</t>
        </is>
      </c>
      <c r="B1169" s="2" t="inlineStr">
        <is>
          <t>CC-075:59</t>
        </is>
      </c>
      <c r="C1169" s="2" t="inlineStr">
        <is>
          <t>Revision 647912: Italy and EU average, 2023 (text)</t>
        </is>
      </c>
      <c r="D1169" s="2" t="inlineStr">
        <is>
          <t>694 / 571</t>
        </is>
      </c>
      <c r="E1169" s="2" t="inlineStr">
        <is>
          <t>per 1,000</t>
        </is>
      </c>
      <c r="F1169" s="2" t="inlineStr">
        <is>
          <t>Eurostat Statistics Explained 'Passenger cars in the EU' (MediaWiki API), retrieved 6 Oct 2026</t>
        </is>
      </c>
      <c r="G1169" s="2" t="inlineStr"/>
      <c r="H1169" s="2" t="inlineStr"/>
    </row>
    <row r="1170">
      <c r="A1170" s="5" t="inlineStr">
        <is>
          <t>CC-075</t>
        </is>
      </c>
      <c r="B1170" s="2" t="inlineStr">
        <is>
          <t>CC-075:60</t>
        </is>
      </c>
      <c r="C1170" s="2" t="inlineStr">
        <is>
          <t>First revision with the 2023 motorisation rate</t>
        </is>
      </c>
      <c r="D1170" s="2" t="inlineStr">
        <is>
          <t>646192</t>
        </is>
      </c>
      <c r="E1170" s="2" t="inlineStr">
        <is>
          <t>revision</t>
        </is>
      </c>
      <c r="F1170" s="2" t="inlineStr">
        <is>
          <t>Eurostat Statistics Explained 'Passenger cars in the EU' (MediaWiki API), retrieved 6 Oct 2026</t>
        </is>
      </c>
      <c r="G1170" s="2" t="inlineStr">
        <is>
          <t>2024-07-23T09:20:31Z; revisions 627098-644029 (31 Jan - 2 Jul 2024) showed 2022 ('Data extracted in December 2023')</t>
        </is>
      </c>
      <c r="H1170" s="2" t="inlineStr"/>
    </row>
    <row r="1171">
      <c r="A1171" s="5" t="inlineStr">
        <is>
          <t>CC-075</t>
        </is>
      </c>
      <c r="B1171" s="2" t="inlineStr">
        <is>
          <t>CC-075:61</t>
        </is>
      </c>
      <c r="C1171" s="2" t="inlineStr">
        <is>
          <t>Malta, 2023, as published Jul-Aug 2024 (Figure 3 read by pixel)</t>
        </is>
      </c>
      <c r="D1171" s="2" t="inlineStr">
        <is>
          <t>574.3</t>
        </is>
      </c>
      <c r="E1171" s="2" t="inlineStr">
        <is>
          <t>per 1,000</t>
        </is>
      </c>
      <c r="F1171" s="2" t="inlineStr">
        <is>
          <t>read_charts.py on es_fig3_motorisation_2023.png</t>
        </is>
      </c>
      <c r="G1171" s="2" t="inlineStr">
        <is>
          <t>rank 12 of 27; France 577.5 (11), Austria 565.9 (13); chart read within 1.1 of the printed values</t>
        </is>
      </c>
      <c r="H1171" s="2" t="inlineStr"/>
    </row>
    <row r="1172">
      <c r="A1172" s="5" t="inlineStr">
        <is>
          <t>CC-075</t>
        </is>
      </c>
      <c r="B1172" s="2" t="inlineStr">
        <is>
          <t>CC-075:62</t>
        </is>
      </c>
      <c r="C1172" s="2" t="inlineStr">
        <is>
          <t>Germany and Poland, 2023, as published Jul-Aug 2024 (read)</t>
        </is>
      </c>
      <c r="D1172" s="2" t="inlineStr">
        <is>
          <t>587.7 (9) / 599.9 (6)</t>
        </is>
      </c>
      <c r="E1172" s="2" t="inlineStr">
        <is>
          <t>per 1,000 (rank)</t>
        </is>
      </c>
      <c r="F1172" s="2" t="inlineStr">
        <is>
          <t>read_charts.py</t>
        </is>
      </c>
      <c r="G1172" s="2" t="inlineStr"/>
      <c r="H1172" s="2" t="inlineStr"/>
    </row>
    <row r="1173">
      <c r="A1173" s="5" t="inlineStr">
        <is>
          <t>CC-075</t>
        </is>
      </c>
      <c r="B1173" s="2" t="inlineStr">
        <is>
          <t>CC-075:63</t>
        </is>
      </c>
      <c r="C1173" s="2" t="inlineStr">
        <is>
          <t>Malta, 2022, in Eurostat's release of 17 Jan 2024 (infographic read by pixel)</t>
        </is>
      </c>
      <c r="D1173" s="2" t="inlineStr">
        <is>
          <t>601.6</t>
        </is>
      </c>
      <c r="E1173" s="2" t="inlineStr">
        <is>
          <t>per 1,000</t>
        </is>
      </c>
      <c r="F1173" s="2" t="inlineStr">
        <is>
          <t>read_charts.py on news_20240117_infographic.png</t>
        </is>
      </c>
      <c r="G1173" s="2" t="inlineStr">
        <is>
          <t>rank 6 of 27; Germany 584.5 (9), Poland 570.8 (11); read within 1.2 of the printed values</t>
        </is>
      </c>
      <c r="H1173" s="2" t="inlineStr"/>
    </row>
    <row r="1174">
      <c r="A1174" s="5" t="inlineStr">
        <is>
          <t>CC-075</t>
        </is>
      </c>
      <c r="B1174" s="2" t="inlineStr">
        <is>
          <t>CC-075:64</t>
        </is>
      </c>
      <c r="C1174" s="2" t="inlineStr">
        <is>
          <t>Malta, 2022, in Statistics Explained Figure 3 of January 2024 (read by pixel)</t>
        </is>
      </c>
      <c r="D1174" s="2" t="inlineStr">
        <is>
          <t>601.9</t>
        </is>
      </c>
      <c r="E1174" s="2" t="inlineStr">
        <is>
          <t>per 1,000</t>
        </is>
      </c>
      <c r="F1174" s="2" t="inlineStr">
        <is>
          <t>read_charts.py on es_fig3_motorisation_2022_jan2024.png</t>
        </is>
      </c>
      <c r="G1174" s="2" t="inlineStr">
        <is>
          <t>rank 6 of 27; read within 0.9 of the printed values</t>
        </is>
      </c>
      <c r="H1174" s="2" t="inlineStr"/>
    </row>
    <row r="1175">
      <c r="A1175" s="5" t="inlineStr">
        <is>
          <t>CC-075</t>
        </is>
      </c>
      <c r="B1175" s="2" t="inlineStr">
        <is>
          <t>CC-075:65</t>
        </is>
      </c>
      <c r="C1175" s="2" t="inlineStr">
        <is>
          <t>Malta, 2022: January 2024 release vs today's data</t>
        </is>
      </c>
      <c r="D1175" s="2" t="inlineStr">
        <is>
          <t>about 602 (6th) -&gt; 585 (7th)</t>
        </is>
      </c>
      <c r="E1175" s="2" t="inlineStr">
        <is>
          <t>per 1,000</t>
        </is>
      </c>
      <c r="F1175" s="2" t="inlineStr">
        <is>
          <t>calculated</t>
        </is>
      </c>
      <c r="G1175" s="2" t="inlineStr">
        <is>
          <t>Malta's 2022 value was revised after January 2024</t>
        </is>
      </c>
      <c r="H1175" s="2" t="inlineStr"/>
    </row>
    <row r="1176">
      <c r="A1176" s="5" t="inlineStr">
        <is>
          <t>CC-075</t>
        </is>
      </c>
      <c r="B1176" s="2" t="inlineStr">
        <is>
          <t>CC-075:66</t>
        </is>
      </c>
      <c r="C1176" s="2" t="inlineStr">
        <is>
          <t>Malta stock in revision 647912 Table 2 (2022, 2023) vs today's road_eqs_carmot</t>
        </is>
      </c>
      <c r="D1176" s="2" t="inlineStr">
        <is>
          <t>317,234, 323,852 vs 317,234, 323,852</t>
        </is>
      </c>
      <c r="E1176" s="2" t="inlineStr">
        <is>
          <t>cars</t>
        </is>
      </c>
      <c r="F1176" s="2" t="inlineStr">
        <is>
          <t>reported_values.csv; Eurostat road_eqs_carmot, updated 1 Sep 2026, retrieved 6 Oct 2026</t>
        </is>
      </c>
      <c r="G1176" s="2" t="inlineStr"/>
      <c r="H1176" s="2" t="inlineStr"/>
    </row>
    <row r="1177">
      <c r="A1177" s="5" t="inlineStr">
        <is>
          <t>CC-075</t>
        </is>
      </c>
      <c r="B1177" s="2" t="inlineStr">
        <is>
          <t>CC-075:67</t>
        </is>
      </c>
      <c r="C1177" s="2" t="inlineStr">
        <is>
          <t>Malta 2022: January 2024 value (about 602, read from chart) equals today's value for which year</t>
        </is>
      </c>
      <c r="D1177" s="2" t="inlineStr">
        <is>
          <t>today's 2021 = 602; today's 2022 = 585</t>
        </is>
      </c>
      <c r="E1177" s="2" t="inlineStr">
        <is>
          <t>per 1,000</t>
        </is>
      </c>
      <c r="F1177" s="2" t="inlineStr">
        <is>
          <t>Eurostat road_eqs_carhab, updated 30 Jul 2026, retrieved 6 Oct 2026</t>
        </is>
      </c>
      <c r="G1177" s="2" t="inlineStr">
        <is>
          <t>the same number, a different year: the 2022 value was revised</t>
        </is>
      </c>
      <c r="H1177" s="2" t="inlineStr"/>
    </row>
    <row r="1178">
      <c r="A1178" s="5" t="inlineStr">
        <is>
          <t>CC-075</t>
        </is>
      </c>
      <c r="B1178" s="2" t="inlineStr">
        <is>
          <t>CC-075:68</t>
        </is>
      </c>
      <c r="C1178" s="2" t="inlineStr">
        <is>
          <t>Malta 2022: population implied by today's stock and the January 2024 value (stock / 602 x 1,000)</t>
        </is>
      </c>
      <c r="D1178" s="2" t="inlineStr">
        <is>
          <t>527,317 vs 542,051 on 1 Jan 2023 today</t>
        </is>
      </c>
      <c r="E1178" s="2" t="inlineStr">
        <is>
          <t>people</t>
        </is>
      </c>
      <c r="F1178" s="2" t="inlineStr">
        <is>
          <t>calculated from Eurostat road_eqs_carmot, updated 1 Sep 2026, retrieved 6 Oct 2026; Eurostat demo_gind (1 January), updated 30 Sep 2026, retrieved 6 Oct 2026</t>
        </is>
      </c>
      <c r="G1178" s="2" t="inlineStr">
        <is>
          <t>stock unchanged (317,234 in revision 647912 and today), so the revision is in the denominator or its cause is unidentified; the January 2024 stock and population were not retrieved</t>
        </is>
      </c>
      <c r="H1178" s="2" t="inlineStr"/>
    </row>
    <row r="1179">
      <c r="A1179" s="5" t="inlineStr">
        <is>
          <t>CC-075</t>
        </is>
      </c>
      <c r="B1179" s="2" t="inlineStr">
        <is>
          <t>CC-075:69</t>
        </is>
      </c>
      <c r="C1179" s="2" t="inlineStr">
        <is>
          <t>Malta, 2023, in today's data</t>
        </is>
      </c>
      <c r="D1179" s="2" t="inlineStr">
        <is>
          <t>575, rank 11</t>
        </is>
      </c>
      <c r="E1179" s="2" t="inlineStr">
        <is>
          <t>per 1,000</t>
        </is>
      </c>
      <c r="F1179" s="2" t="inlineStr">
        <is>
          <t>Eurostat road_eqs_carhab, updated 30 Jul 2026, retrieved 6 Oct 2026</t>
        </is>
      </c>
      <c r="G1179" s="2" t="inlineStr">
        <is>
          <t>France now 573 ('p'), below Malta</t>
        </is>
      </c>
      <c r="H1179" s="2" t="inlineStr"/>
    </row>
    <row r="1180">
      <c r="A1180" s="5" t="inlineStr">
        <is>
          <t>CC-076</t>
        </is>
      </c>
      <c r="B1180" s="2" t="inlineStr">
        <is>
          <t>CC-076:2</t>
        </is>
      </c>
      <c r="C1180" s="2" t="inlineStr">
        <is>
          <t>Quarters where the category columns do not sum to the printed total</t>
        </is>
      </c>
      <c r="D1180" s="2" t="inlineStr">
        <is>
          <t>none</t>
        </is>
      </c>
      <c r="E1180" s="2" t="inlineStr">
        <is>
          <t>quarters</t>
        </is>
      </c>
      <c r="F1180" s="2" t="inlineStr">
        <is>
          <t>NSO NR 085/2026 Table 1, via Internet Archive, retrieved 5 Oct 2026</t>
        </is>
      </c>
      <c r="G1180" s="2" t="inlineStr"/>
      <c r="H1180" s="2" t="inlineStr"/>
    </row>
    <row r="1181">
      <c r="A1181" s="5" t="inlineStr">
        <is>
          <t>CC-076</t>
        </is>
      </c>
      <c r="B1181" s="2" t="inlineStr">
        <is>
          <t>CC-076:3</t>
        </is>
      </c>
      <c r="C1181" s="2" t="inlineStr">
        <is>
          <t>Net increase in stock, Q2 2023</t>
        </is>
      </c>
      <c r="D1181" s="2" t="inlineStr">
        <is>
          <t>5319</t>
        </is>
      </c>
      <c r="E1181" s="2" t="inlineStr">
        <is>
          <t>vehicles</t>
        </is>
      </c>
      <c r="F1181" s="2" t="inlineStr">
        <is>
          <t>NSO NR 085/2026 Table 1, via Internet Archive, retrieved 5 Oct 2026</t>
        </is>
      </c>
      <c r="G1181" s="2" t="inlineStr">
        <is>
          <t>91 days; 58.45 per day</t>
        </is>
      </c>
      <c r="H1181" s="2" t="inlineStr"/>
    </row>
    <row r="1182">
      <c r="A1182" s="5" t="inlineStr">
        <is>
          <t>CC-076</t>
        </is>
      </c>
      <c r="B1182" s="2" t="inlineStr">
        <is>
          <t>CC-076:4</t>
        </is>
      </c>
      <c r="C1182" s="2" t="inlineStr">
        <is>
          <t>Net increase in stock, Q3 2023</t>
        </is>
      </c>
      <c r="D1182" s="2" t="inlineStr">
        <is>
          <t>3968</t>
        </is>
      </c>
      <c r="E1182" s="2" t="inlineStr">
        <is>
          <t>vehicles</t>
        </is>
      </c>
      <c r="F1182" s="2" t="inlineStr">
        <is>
          <t>NSO NR 085/2026 Table 1, via Internet Archive, retrieved 5 Oct 2026</t>
        </is>
      </c>
      <c r="G1182" s="2" t="inlineStr">
        <is>
          <t>92 days; 43.13 per day</t>
        </is>
      </c>
      <c r="H1182" s="2" t="inlineStr"/>
    </row>
    <row r="1183">
      <c r="A1183" s="5" t="inlineStr">
        <is>
          <t>CC-076</t>
        </is>
      </c>
      <c r="B1183" s="2" t="inlineStr">
        <is>
          <t>CC-076:5</t>
        </is>
      </c>
      <c r="C1183" s="2" t="inlineStr">
        <is>
          <t>Net increase in stock, Q4 2023</t>
        </is>
      </c>
      <c r="D1183" s="2" t="inlineStr">
        <is>
          <t>2560</t>
        </is>
      </c>
      <c r="E1183" s="2" t="inlineStr">
        <is>
          <t>vehicles</t>
        </is>
      </c>
      <c r="F1183" s="2" t="inlineStr">
        <is>
          <t>NSO NR 085/2026 Table 1, via Internet Archive, retrieved 5 Oct 2026</t>
        </is>
      </c>
      <c r="G1183" s="2" t="inlineStr">
        <is>
          <t>92 days; 27.83 per day</t>
        </is>
      </c>
      <c r="H1183" s="2" t="inlineStr"/>
    </row>
    <row r="1184">
      <c r="A1184" s="5" t="inlineStr">
        <is>
          <t>CC-076</t>
        </is>
      </c>
      <c r="B1184" s="2" t="inlineStr">
        <is>
          <t>CC-076:6</t>
        </is>
      </c>
      <c r="C1184" s="2" t="inlineStr">
        <is>
          <t>Net increase in stock, Q1 2024</t>
        </is>
      </c>
      <c r="D1184" s="2" t="inlineStr">
        <is>
          <t>831</t>
        </is>
      </c>
      <c r="E1184" s="2" t="inlineStr">
        <is>
          <t>vehicles</t>
        </is>
      </c>
      <c r="F1184" s="2" t="inlineStr">
        <is>
          <t>NSO NR 085/2026 Table 1, via Internet Archive, retrieved 5 Oct 2026</t>
        </is>
      </c>
      <c r="G1184" s="2" t="inlineStr">
        <is>
          <t>91 days; 9.13 per day</t>
        </is>
      </c>
      <c r="H1184" s="2" t="inlineStr"/>
    </row>
    <row r="1185">
      <c r="A1185" s="5" t="inlineStr">
        <is>
          <t>CC-076</t>
        </is>
      </c>
      <c r="B1185" s="2" t="inlineStr">
        <is>
          <t>CC-076:7</t>
        </is>
      </c>
      <c r="C1185" s="2" t="inlineStr">
        <is>
          <t>Net increase in stock, Q2 2024</t>
        </is>
      </c>
      <c r="D1185" s="2" t="inlineStr">
        <is>
          <t>765</t>
        </is>
      </c>
      <c r="E1185" s="2" t="inlineStr">
        <is>
          <t>vehicles</t>
        </is>
      </c>
      <c r="F1185" s="2" t="inlineStr">
        <is>
          <t>NSO NR 085/2026 Table 1, via Internet Archive, retrieved 5 Oct 2026</t>
        </is>
      </c>
      <c r="G1185" s="2" t="inlineStr">
        <is>
          <t>91 days; 8.41 per day</t>
        </is>
      </c>
      <c r="H1185" s="2" t="inlineStr"/>
    </row>
    <row r="1186">
      <c r="A1186" s="5" t="inlineStr">
        <is>
          <t>CC-076</t>
        </is>
      </c>
      <c r="B1186" s="2" t="inlineStr">
        <is>
          <t>CC-076:8</t>
        </is>
      </c>
      <c r="C1186" s="2" t="inlineStr">
        <is>
          <t>Net increase in stock, Q3 2024</t>
        </is>
      </c>
      <c r="D1186" s="2" t="inlineStr">
        <is>
          <t>3030</t>
        </is>
      </c>
      <c r="E1186" s="2" t="inlineStr">
        <is>
          <t>vehicles</t>
        </is>
      </c>
      <c r="F1186" s="2" t="inlineStr">
        <is>
          <t>NSO NR 085/2026 Table 1, via Internet Archive, retrieved 5 Oct 2026</t>
        </is>
      </c>
      <c r="G1186" s="2" t="inlineStr">
        <is>
          <t>92 days; 32.93 per day</t>
        </is>
      </c>
      <c r="H1186" s="2" t="inlineStr"/>
    </row>
    <row r="1187">
      <c r="A1187" s="5" t="inlineStr">
        <is>
          <t>CC-076</t>
        </is>
      </c>
      <c r="B1187" s="2" t="inlineStr">
        <is>
          <t>CC-076:9</t>
        </is>
      </c>
      <c r="C1187" s="2" t="inlineStr">
        <is>
          <t>Net increase in stock, Q4 2024</t>
        </is>
      </c>
      <c r="D1187" s="2" t="inlineStr">
        <is>
          <t>2518</t>
        </is>
      </c>
      <c r="E1187" s="2" t="inlineStr">
        <is>
          <t>vehicles</t>
        </is>
      </c>
      <c r="F1187" s="2" t="inlineStr">
        <is>
          <t>NSO NR 085/2026 Table 1, via Internet Archive, retrieved 5 Oct 2026</t>
        </is>
      </c>
      <c r="G1187" s="2" t="inlineStr">
        <is>
          <t>92 days; 27.37 per day</t>
        </is>
      </c>
      <c r="H1187" s="2" t="inlineStr"/>
    </row>
    <row r="1188">
      <c r="A1188" s="5" t="inlineStr">
        <is>
          <t>CC-076</t>
        </is>
      </c>
      <c r="B1188" s="2" t="inlineStr">
        <is>
          <t>CC-076:10</t>
        </is>
      </c>
      <c r="C1188" s="2" t="inlineStr">
        <is>
          <t>Net increase in stock, Q1 2025</t>
        </is>
      </c>
      <c r="D1188" s="2" t="inlineStr">
        <is>
          <t>1744</t>
        </is>
      </c>
      <c r="E1188" s="2" t="inlineStr">
        <is>
          <t>vehicles</t>
        </is>
      </c>
      <c r="F1188" s="2" t="inlineStr">
        <is>
          <t>NSO NR 085/2026 Table 1, via Internet Archive, retrieved 5 Oct 2026</t>
        </is>
      </c>
      <c r="G1188" s="2" t="inlineStr">
        <is>
          <t>90 days; 19.38 per day</t>
        </is>
      </c>
      <c r="H1188" s="2" t="inlineStr"/>
    </row>
    <row r="1189">
      <c r="A1189" s="5" t="inlineStr">
        <is>
          <t>CC-076</t>
        </is>
      </c>
      <c r="B1189" s="2" t="inlineStr">
        <is>
          <t>CC-076:11</t>
        </is>
      </c>
      <c r="C1189" s="2" t="inlineStr">
        <is>
          <t>Net increase in stock, Q2 2025</t>
        </is>
      </c>
      <c r="D1189" s="2" t="inlineStr">
        <is>
          <t>3339</t>
        </is>
      </c>
      <c r="E1189" s="2" t="inlineStr">
        <is>
          <t>vehicles</t>
        </is>
      </c>
      <c r="F1189" s="2" t="inlineStr">
        <is>
          <t>NSO NR 085/2026 Table 1, via Internet Archive, retrieved 5 Oct 2026</t>
        </is>
      </c>
      <c r="G1189" s="2" t="inlineStr">
        <is>
          <t>91 days; 36.69 per day</t>
        </is>
      </c>
      <c r="H1189" s="2" t="inlineStr"/>
    </row>
    <row r="1190">
      <c r="A1190" s="5" t="inlineStr">
        <is>
          <t>CC-076</t>
        </is>
      </c>
      <c r="B1190" s="2" t="inlineStr">
        <is>
          <t>CC-076:12</t>
        </is>
      </c>
      <c r="C1190" s="2" t="inlineStr">
        <is>
          <t>Net increase in stock, Q3 2025</t>
        </is>
      </c>
      <c r="D1190" s="2" t="inlineStr">
        <is>
          <t>3344</t>
        </is>
      </c>
      <c r="E1190" s="2" t="inlineStr">
        <is>
          <t>vehicles</t>
        </is>
      </c>
      <c r="F1190" s="2" t="inlineStr">
        <is>
          <t>NSO NR 085/2026 Table 1, via Internet Archive, retrieved 5 Oct 2026</t>
        </is>
      </c>
      <c r="G1190" s="2" t="inlineStr">
        <is>
          <t>92 days; 36.35 per day</t>
        </is>
      </c>
      <c r="H1190" s="2" t="inlineStr"/>
    </row>
    <row r="1191">
      <c r="A1191" s="5" t="inlineStr">
        <is>
          <t>CC-076</t>
        </is>
      </c>
      <c r="B1191" s="2" t="inlineStr">
        <is>
          <t>CC-076:13</t>
        </is>
      </c>
      <c r="C1191" s="2" t="inlineStr">
        <is>
          <t>Net increase in stock, Q4 2025</t>
        </is>
      </c>
      <c r="D1191" s="2" t="inlineStr">
        <is>
          <t>3265</t>
        </is>
      </c>
      <c r="E1191" s="2" t="inlineStr">
        <is>
          <t>vehicles</t>
        </is>
      </c>
      <c r="F1191" s="2" t="inlineStr">
        <is>
          <t>NSO NR 085/2026 Table 1, via Internet Archive, retrieved 5 Oct 2026</t>
        </is>
      </c>
      <c r="G1191" s="2" t="inlineStr">
        <is>
          <t>92 days; 35.49 per day</t>
        </is>
      </c>
      <c r="H1191" s="2" t="inlineStr"/>
    </row>
    <row r="1192">
      <c r="A1192" s="5" t="inlineStr">
        <is>
          <t>CC-076</t>
        </is>
      </c>
      <c r="B1192" s="2" t="inlineStr">
        <is>
          <t>CC-076:14</t>
        </is>
      </c>
      <c r="C1192" s="2" t="inlineStr">
        <is>
          <t>Net increase in stock, Q1 2026</t>
        </is>
      </c>
      <c r="D1192" s="2" t="inlineStr">
        <is>
          <t>3245</t>
        </is>
      </c>
      <c r="E1192" s="2" t="inlineStr">
        <is>
          <t>vehicles</t>
        </is>
      </c>
      <c r="F1192" s="2" t="inlineStr">
        <is>
          <t>NSO NR 085/2026 Table 1, via Internet Archive, retrieved 5 Oct 2026</t>
        </is>
      </c>
      <c r="G1192" s="2" t="inlineStr">
        <is>
          <t>90 days; 36.06 per day</t>
        </is>
      </c>
      <c r="H1192" s="2" t="inlineStr"/>
    </row>
    <row r="1193">
      <c r="A1193" s="5" t="inlineStr">
        <is>
          <t>CC-076</t>
        </is>
      </c>
      <c r="B1193" s="2" t="inlineStr">
        <is>
          <t>CC-076:15</t>
        </is>
      </c>
      <c r="C1193" s="2" t="inlineStr">
        <is>
          <t>Stock at end of March 2026</t>
        </is>
      </c>
      <c r="D1193" s="2" t="inlineStr">
        <is>
          <t>460648</t>
        </is>
      </c>
      <c r="E1193" s="2" t="inlineStr">
        <is>
          <t>vehicles</t>
        </is>
      </c>
      <c r="F1193" s="2" t="inlineStr">
        <is>
          <t>NSO NR 085/2026 Table 1, via Internet Archive, retrieved 5 Oct 2026</t>
        </is>
      </c>
      <c r="G1193" s="2" t="inlineStr">
        <is>
          <t>NSO text: 460,648</t>
        </is>
      </c>
      <c r="H1193" s="2" t="inlineStr"/>
    </row>
    <row r="1194">
      <c r="A1194" s="5" t="inlineStr">
        <is>
          <t>CC-076</t>
        </is>
      </c>
      <c r="B1194" s="2" t="inlineStr">
        <is>
          <t>CC-076:16</t>
        </is>
      </c>
      <c r="C1194" s="2" t="inlineStr">
        <is>
          <t>Net increase Q1 2026</t>
        </is>
      </c>
      <c r="D1194" s="2" t="inlineStr">
        <is>
          <t>3245</t>
        </is>
      </c>
      <c r="E1194" s="2" t="inlineStr">
        <is>
          <t>vehicles</t>
        </is>
      </c>
      <c r="F1194" s="2" t="inlineStr">
        <is>
          <t>NSO NR 085/2026 Table 1, via Internet Archive, retrieved 5 Oct 2026</t>
        </is>
      </c>
      <c r="G1194" s="2" t="inlineStr">
        <is>
          <t>NSO text: 3,245</t>
        </is>
      </c>
      <c r="H1194" s="2" t="inlineStr"/>
    </row>
    <row r="1195">
      <c r="A1195" s="5" t="inlineStr">
        <is>
          <t>CC-076</t>
        </is>
      </c>
      <c r="B1195" s="2" t="inlineStr">
        <is>
          <t>CC-076:17</t>
        </is>
      </c>
      <c r="C1195" s="2" t="inlineStr">
        <is>
          <t>Days in Q1 2026</t>
        </is>
      </c>
      <c r="D1195" s="2" t="inlineStr">
        <is>
          <t>90</t>
        </is>
      </c>
      <c r="E1195" s="2" t="inlineStr">
        <is>
          <t>days</t>
        </is>
      </c>
      <c r="F1195" s="2" t="inlineStr">
        <is>
          <t>NSO NR 085/2026 Table 1, via Internet Archive, retrieved 5 Oct 2026</t>
        </is>
      </c>
      <c r="G1195" s="2" t="inlineStr"/>
      <c r="H1195" s="2" t="inlineStr"/>
    </row>
    <row r="1196">
      <c r="A1196" s="5" t="inlineStr">
        <is>
          <t>CC-076</t>
        </is>
      </c>
      <c r="B1196" s="2" t="inlineStr">
        <is>
          <t>CC-076:18</t>
        </is>
      </c>
      <c r="C1196" s="2" t="inlineStr">
        <is>
          <t>Net average daily increase, Q1 2026 (note 7)</t>
        </is>
      </c>
      <c r="D1196" s="2" t="inlineStr">
        <is>
          <t>36.06</t>
        </is>
      </c>
      <c r="E1196" s="2" t="inlineStr">
        <is>
          <t>vehicles per day</t>
        </is>
      </c>
      <c r="F1196" s="2" t="inlineStr">
        <is>
          <t>NSO NR 085/2026 Table 1, via Internet Archive, retrieved 5 Oct 2026</t>
        </is>
      </c>
      <c r="G1196" s="2" t="inlineStr">
        <is>
          <t>NSO text: 36</t>
        </is>
      </c>
      <c r="H1196" s="2" t="inlineStr"/>
    </row>
    <row r="1197">
      <c r="A1197" s="5" t="inlineStr">
        <is>
          <t>CC-076</t>
        </is>
      </c>
      <c r="B1197" s="2" t="inlineStr">
        <is>
          <t>CC-076:19</t>
        </is>
      </c>
      <c r="C1197" s="2" t="inlineStr">
        <is>
          <t>Net average daily increase, Q4 2025</t>
        </is>
      </c>
      <c r="D1197" s="2" t="inlineStr">
        <is>
          <t>35.49</t>
        </is>
      </c>
      <c r="E1197" s="2" t="inlineStr">
        <is>
          <t>vehicles per day</t>
        </is>
      </c>
      <c r="F1197" s="2" t="inlineStr">
        <is>
          <t>NSO NR 085/2026 Table 1, via Internet Archive, retrieved 5 Oct 2026</t>
        </is>
      </c>
      <c r="G1197" s="2" t="inlineStr">
        <is>
          <t>Commission's 2026 Country Report says 35 and cites NSO Q4/2025</t>
        </is>
      </c>
      <c r="H1197" s="2" t="inlineStr"/>
    </row>
    <row r="1198">
      <c r="A1198" s="5" t="inlineStr">
        <is>
          <t>CC-076</t>
        </is>
      </c>
      <c r="B1198" s="2" t="inlineStr">
        <is>
          <t>CC-076:20</t>
        </is>
      </c>
      <c r="C1198" s="2" t="inlineStr">
        <is>
          <t>Net average daily increase, Q3 2025</t>
        </is>
      </c>
      <c r="D1198" s="2" t="inlineStr">
        <is>
          <t>36.35</t>
        </is>
      </c>
      <c r="E1198" s="2" t="inlineStr">
        <is>
          <t>vehicles per day</t>
        </is>
      </c>
      <c r="F1198" s="2" t="inlineStr">
        <is>
          <t>NSO NR 085/2026 Table 1, via Internet Archive, retrieved 5 Oct 2026</t>
        </is>
      </c>
      <c r="G1198" s="2" t="inlineStr">
        <is>
          <t>Newsbook (11 Nov 2025) reports 3,344 and 36 a day for Q3 2025</t>
        </is>
      </c>
      <c r="H1198" s="2" t="inlineStr"/>
    </row>
    <row r="1199">
      <c r="A1199" s="5" t="inlineStr">
        <is>
          <t>CC-076</t>
        </is>
      </c>
      <c r="B1199" s="2" t="inlineStr">
        <is>
          <t>CC-076:21</t>
        </is>
      </c>
      <c r="C1199" s="2" t="inlineStr">
        <is>
          <t>Net average daily increase over calendar 2025</t>
        </is>
      </c>
      <c r="D1199" s="2" t="inlineStr">
        <is>
          <t>32.03</t>
        </is>
      </c>
      <c r="E1199" s="2" t="inlineStr">
        <is>
          <t>vehicles per day</t>
        </is>
      </c>
      <c r="F1199" s="2" t="inlineStr">
        <is>
          <t>NSO NR 085/2026 Table 1, via Internet Archive, retrieved 5 Oct 2026</t>
        </is>
      </c>
      <c r="G1199" s="2" t="inlineStr">
        <is>
          <t>11692 vehicles over 365 days</t>
        </is>
      </c>
      <c r="H1199" s="2" t="inlineStr"/>
    </row>
    <row r="1200">
      <c r="A1200" s="5" t="inlineStr">
        <is>
          <t>CC-076</t>
        </is>
      </c>
      <c r="B1200" s="2" t="inlineStr">
        <is>
          <t>CC-076:22</t>
        </is>
      </c>
      <c r="C1200" s="2" t="inlineStr">
        <is>
          <t>Net average daily increase, four quarters to end Q1 2026</t>
        </is>
      </c>
      <c r="D1200" s="2" t="inlineStr">
        <is>
          <t>36.15</t>
        </is>
      </c>
      <c r="E1200" s="2" t="inlineStr">
        <is>
          <t>vehicles per day</t>
        </is>
      </c>
      <c r="F1200" s="2" t="inlineStr">
        <is>
          <t>NSO NR 085/2026 Table 1, via Internet Archive, retrieved 5 Oct 2026</t>
        </is>
      </c>
      <c r="G1200" s="2" t="inlineStr">
        <is>
          <t>13193 vehicles over 365 days</t>
        </is>
      </c>
      <c r="H1200" s="2" t="inlineStr"/>
    </row>
    <row r="1201">
      <c r="A1201" s="5" t="inlineStr">
        <is>
          <t>CC-076</t>
        </is>
      </c>
      <c r="B1201" s="2" t="inlineStr">
        <is>
          <t>CC-076:23</t>
        </is>
      </c>
      <c r="C1201" s="2" t="inlineStr">
        <is>
          <t>Growth of stock, end Q1 2023 to end Q1 2026</t>
        </is>
      </c>
      <c r="D1201" s="2" t="inlineStr">
        <is>
          <t>8.0</t>
        </is>
      </c>
      <c r="E1201" s="2" t="inlineStr">
        <is>
          <t>%</t>
        </is>
      </c>
      <c r="F1201" s="2" t="inlineStr">
        <is>
          <t>NSO NR 085/2026 Table 1, via Internet Archive, retrieved 5 Oct 2026</t>
        </is>
      </c>
      <c r="G1201" s="2" t="inlineStr"/>
      <c r="H1201" s="2" t="inlineStr"/>
    </row>
    <row r="1202">
      <c r="A1202" s="5" t="inlineStr">
        <is>
          <t>CC-076</t>
        </is>
      </c>
      <c r="B1202" s="2" t="inlineStr">
        <is>
          <t>CC-076:24</t>
        </is>
      </c>
      <c r="C1202" s="2" t="inlineStr">
        <is>
          <t>Gross newly licensed per day, Q1 2026</t>
        </is>
      </c>
      <c r="D1202" s="2" t="inlineStr">
        <is>
          <t>63</t>
        </is>
      </c>
      <c r="E1202" s="2" t="inlineStr">
        <is>
          <t>vehicles per day</t>
        </is>
      </c>
      <c r="F1202" s="2" t="inlineStr">
        <is>
          <t>NSO NR 085/2026 Table 1, via Internet Archive, retrieved 5 Oct 2026</t>
        </is>
      </c>
      <c r="G1202" s="2" t="inlineStr">
        <is>
          <t>NSO text: 63</t>
        </is>
      </c>
      <c r="H1202" s="2" t="inlineStr"/>
    </row>
    <row r="1203">
      <c r="A1203" s="5" t="inlineStr">
        <is>
          <t>CC-076</t>
        </is>
      </c>
      <c r="B1203" s="2" t="inlineStr">
        <is>
          <t>CC-076:25</t>
        </is>
      </c>
      <c r="C1203" s="2" t="inlineStr">
        <is>
          <t>Stock by NSO note 6 (previous stock + new - restricted + restrictions ended)</t>
        </is>
      </c>
      <c r="D1203" s="2" t="inlineStr">
        <is>
          <t>460260</t>
        </is>
      </c>
      <c r="E1203" s="2" t="inlineStr">
        <is>
          <t>vehicles</t>
        </is>
      </c>
      <c r="F1203" s="2" t="inlineStr">
        <is>
          <t>NSO NR 085/2026 Table 1, via Internet Archive, retrieved 5 Oct 2026</t>
        </is>
      </c>
      <c r="G1203" s="2" t="inlineStr">
        <is>
          <t>differs from the published stock by 388; NSO says cut-off dates of databases can cause small differences</t>
        </is>
      </c>
      <c r="H1203" s="2" t="inlineStr"/>
    </row>
    <row r="1204">
      <c r="A1204" s="5" t="inlineStr">
        <is>
          <t>CC-076</t>
        </is>
      </c>
      <c r="B1204" s="2" t="inlineStr">
        <is>
          <t>CC-076:26</t>
        </is>
      </c>
      <c r="C1204" s="2" t="inlineStr">
        <is>
          <t>Net change by the flow identity</t>
        </is>
      </c>
      <c r="D1204" s="2" t="inlineStr">
        <is>
          <t>2857</t>
        </is>
      </c>
      <c r="E1204" s="2" t="inlineStr">
        <is>
          <t>vehicles</t>
        </is>
      </c>
      <c r="F1204" s="2" t="inlineStr">
        <is>
          <t>NSO NR 085/2026 Table 1, via Internet Archive, retrieved 5 Oct 2026</t>
        </is>
      </c>
      <c r="G1204" s="2" t="inlineStr">
        <is>
          <t>31.7 per day</t>
        </is>
      </c>
      <c r="H1204" s="2" t="inlineStr"/>
    </row>
    <row r="1205">
      <c r="A1205" s="5" t="inlineStr">
        <is>
          <t>CC-076</t>
        </is>
      </c>
      <c r="B1205" s="2" t="inlineStr">
        <is>
          <t>CC-076:27</t>
        </is>
      </c>
      <c r="C1205" s="2" t="inlineStr">
        <is>
          <t>Net as share of gross newly licensed, Q1 2026</t>
        </is>
      </c>
      <c r="D1205" s="2" t="inlineStr">
        <is>
          <t>57.1</t>
        </is>
      </c>
      <c r="E1205" s="2" t="inlineStr">
        <is>
          <t>%</t>
        </is>
      </c>
      <c r="F1205" s="2" t="inlineStr">
        <is>
          <t>NSO NR 085/2026 Table 1, via Internet Archive, retrieved 5 Oct 2026</t>
        </is>
      </c>
      <c r="G1205" s="2" t="inlineStr">
        <is>
          <t>36 net a day against 63 newly licensed a day</t>
        </is>
      </c>
      <c r="H1205" s="2" t="inlineStr"/>
    </row>
    <row r="1206">
      <c r="A1206" s="5" t="inlineStr">
        <is>
          <t>CC-088</t>
        </is>
      </c>
      <c r="B1206" s="2" t="inlineStr">
        <is>
          <t>CC-088:2</t>
        </is>
      </c>
      <c r="C1206" s="2" t="inlineStr">
        <is>
          <t>Population end 2025 (1 Jan 2026)</t>
        </is>
      </c>
      <c r="D1206" s="2" t="inlineStr">
        <is>
          <t>588254</t>
        </is>
      </c>
      <c r="E1206" s="2" t="inlineStr">
        <is>
          <t>people</t>
        </is>
      </c>
      <c r="F1206" s="2" t="inlineStr">
        <is>
          <t>Eurostat demo_gind (updated 30 Sep 2026), retrieved 5 Oct 2026</t>
        </is>
      </c>
      <c r="G1206" s="2" t="inlineStr"/>
      <c r="H1206" s="2" t="inlineStr">
        <is>
          <t>nso_release: 588254; reproduces: True</t>
        </is>
      </c>
    </row>
    <row r="1207">
      <c r="A1207" s="5" t="inlineStr">
        <is>
          <t>CC-088</t>
        </is>
      </c>
      <c r="B1207" s="2" t="inlineStr">
        <is>
          <t>CC-088:3</t>
        </is>
      </c>
      <c r="C1207" s="2" t="inlineStr">
        <is>
          <t>Growth over 2025</t>
        </is>
      </c>
      <c r="D1207" s="2" t="inlineStr">
        <is>
          <t>2.44</t>
        </is>
      </c>
      <c r="E1207" s="2" t="inlineStr">
        <is>
          <t>%</t>
        </is>
      </c>
      <c r="F1207" s="2" t="inlineStr">
        <is>
          <t>Eurostat demo_gind (updated 30 Sep 2026), retrieved 5 Oct 2026</t>
        </is>
      </c>
      <c r="G1207" s="2" t="inlineStr">
        <is>
          <t>574,250 -&gt; 588,254</t>
        </is>
      </c>
      <c r="H1207" s="2" t="inlineStr">
        <is>
          <t>nso_release: 2.4; reproduces: True</t>
        </is>
      </c>
    </row>
    <row r="1208">
      <c r="A1208" s="5" t="inlineStr">
        <is>
          <t>CC-088</t>
        </is>
      </c>
      <c r="B1208" s="2" t="inlineStr">
        <is>
          <t>CC-088:4</t>
        </is>
      </c>
      <c r="C1208" s="2" t="inlineStr">
        <is>
          <t>Net migration 2025</t>
        </is>
      </c>
      <c r="D1208" s="2" t="inlineStr">
        <is>
          <t>13906</t>
        </is>
      </c>
      <c r="E1208" s="2" t="inlineStr">
        <is>
          <t>people</t>
        </is>
      </c>
      <c r="F1208" s="2" t="inlineStr">
        <is>
          <t>Eurostat demo_gind (updated 30 Sep 2026), retrieved 5 Oct 2026</t>
        </is>
      </c>
      <c r="G1208" s="2" t="inlineStr"/>
      <c r="H1208" s="2" t="inlineStr">
        <is>
          <t>nso_release: 13906; reproduces: True</t>
        </is>
      </c>
    </row>
    <row r="1209">
      <c r="A1209" s="5" t="inlineStr">
        <is>
          <t>CC-088</t>
        </is>
      </c>
      <c r="B1209" s="2" t="inlineStr">
        <is>
          <t>CC-088:5</t>
        </is>
      </c>
      <c r="C1209" s="2" t="inlineStr">
        <is>
          <t>Net migration, change on 2024</t>
        </is>
      </c>
      <c r="D1209" s="2" t="inlineStr">
        <is>
          <t>31.02</t>
        </is>
      </c>
      <c r="E1209" s="2" t="inlineStr">
        <is>
          <t>%</t>
        </is>
      </c>
      <c r="F1209" s="2" t="inlineStr">
        <is>
          <t>Eurostat demo_gind (updated 30 Sep 2026), retrieved 5 Oct 2026</t>
        </is>
      </c>
      <c r="G1209" s="2" t="inlineStr">
        <is>
          <t>2024: 10,614</t>
        </is>
      </c>
      <c r="H1209" s="2" t="inlineStr">
        <is>
          <t>nso_release: 31.0; reproduces: True</t>
        </is>
      </c>
    </row>
    <row r="1210">
      <c r="A1210" s="5" t="inlineStr">
        <is>
          <t>CC-088</t>
        </is>
      </c>
      <c r="B1210" s="2" t="inlineStr">
        <is>
          <t>CC-088:6</t>
        </is>
      </c>
      <c r="C1210" s="2" t="inlineStr">
        <is>
          <t>Natural increase 2024 and 2025</t>
        </is>
      </c>
      <c r="D1210" s="2" t="inlineStr">
        <is>
          <t>193 and 98</t>
        </is>
      </c>
      <c r="E1210" s="2" t="inlineStr">
        <is>
          <t>people</t>
        </is>
      </c>
      <c r="F1210" s="2" t="inlineStr">
        <is>
          <t>Eurostat demo_gind (updated 30 Sep 2026), retrieved 5 Oct 2026</t>
        </is>
      </c>
      <c r="G1210" s="2" t="inlineStr"/>
      <c r="H1210" s="2" t="inlineStr">
        <is>
          <t>nso_release: 193 and 98; reproduces: True</t>
        </is>
      </c>
    </row>
    <row r="1211">
      <c r="A1211" s="5" t="inlineStr">
        <is>
          <t>CC-088</t>
        </is>
      </c>
      <c r="B1211" s="2" t="inlineStr">
        <is>
          <t>CC-088:7</t>
        </is>
      </c>
      <c r="C1211" s="2" t="inlineStr">
        <is>
          <t>Natural increase, change</t>
        </is>
      </c>
      <c r="D1211" s="2" t="inlineStr">
        <is>
          <t>-49.22</t>
        </is>
      </c>
      <c r="E1211" s="2" t="inlineStr">
        <is>
          <t>%</t>
        </is>
      </c>
      <c r="F1211" s="2" t="inlineStr">
        <is>
          <t>Eurostat demo_gind (updated 30 Sep 2026), retrieved 5 Oct 2026</t>
        </is>
      </c>
      <c r="G1211" s="2" t="inlineStr"/>
      <c r="H1211" s="2" t="inlineStr">
        <is>
          <t>nso_release: -49.2; reproduces: True</t>
        </is>
      </c>
    </row>
    <row r="1212">
      <c r="A1212" s="5" t="inlineStr">
        <is>
          <t>CC-088</t>
        </is>
      </c>
      <c r="B1212" s="2" t="inlineStr">
        <is>
          <t>CC-088:8</t>
        </is>
      </c>
      <c r="C1212" s="2" t="inlineStr">
        <is>
          <t>Live births, change</t>
        </is>
      </c>
      <c r="D1212" s="2" t="inlineStr">
        <is>
          <t>-0.82</t>
        </is>
      </c>
      <c r="E1212" s="2" t="inlineStr">
        <is>
          <t>%</t>
        </is>
      </c>
      <c r="F1212" s="2" t="inlineStr">
        <is>
          <t>Eurostat demo_gind (updated 30 Sep 2026), retrieved 5 Oct 2026</t>
        </is>
      </c>
      <c r="G1212" s="2" t="inlineStr">
        <is>
          <t>4,374 -&gt; 4,338</t>
        </is>
      </c>
      <c r="H1212" s="2" t="inlineStr">
        <is>
          <t>nso_release: -0.8; reproduces: True</t>
        </is>
      </c>
    </row>
    <row r="1213">
      <c r="A1213" s="5" t="inlineStr">
        <is>
          <t>CC-088</t>
        </is>
      </c>
      <c r="B1213" s="2" t="inlineStr">
        <is>
          <t>CC-088:9</t>
        </is>
      </c>
      <c r="C1213" s="2" t="inlineStr">
        <is>
          <t>Deaths, change</t>
        </is>
      </c>
      <c r="D1213" s="2" t="inlineStr">
        <is>
          <t>1.41</t>
        </is>
      </c>
      <c r="E1213" s="2" t="inlineStr">
        <is>
          <t>%</t>
        </is>
      </c>
      <c r="F1213" s="2" t="inlineStr">
        <is>
          <t>Eurostat demo_gind (updated 30 Sep 2026), retrieved 5 Oct 2026</t>
        </is>
      </c>
      <c r="G1213" s="2" t="inlineStr">
        <is>
          <t>4,181 -&gt; 4,240</t>
        </is>
      </c>
      <c r="H1213" s="2" t="inlineStr">
        <is>
          <t>nso_release: 1.4; reproduces: True</t>
        </is>
      </c>
    </row>
    <row r="1214">
      <c r="A1214" s="5" t="inlineStr">
        <is>
          <t>CC-088</t>
        </is>
      </c>
      <c r="B1214" s="2" t="inlineStr">
        <is>
          <t>CC-088:10</t>
        </is>
      </c>
      <c r="C1214" s="2" t="inlineStr">
        <is>
          <t>Deaths 2025</t>
        </is>
      </c>
      <c r="D1214" s="2" t="inlineStr">
        <is>
          <t>4240</t>
        </is>
      </c>
      <c r="E1214" s="2" t="inlineStr">
        <is>
          <t>people</t>
        </is>
      </c>
      <c r="F1214" s="2" t="inlineStr">
        <is>
          <t>Eurostat demo_gind (updated 30 Sep 2026), retrieved 5 Oct 2026</t>
        </is>
      </c>
      <c r="G1214" s="2" t="inlineStr"/>
      <c r="H1214" s="2" t="inlineStr">
        <is>
          <t>nso_release: 4240; reproduces: True</t>
        </is>
      </c>
    </row>
    <row r="1215">
      <c r="A1215" s="5" t="inlineStr">
        <is>
          <t>CC-088</t>
        </is>
      </c>
      <c r="B1215" s="2" t="inlineStr">
        <is>
          <t>CC-088:11</t>
        </is>
      </c>
      <c r="C1215" s="2" t="inlineStr">
        <is>
          <t>Components add up: natural + net migration vs change in stock</t>
        </is>
      </c>
      <c r="D1215" s="2" t="inlineStr">
        <is>
          <t>14004</t>
        </is>
      </c>
      <c r="E1215" s="2" t="inlineStr">
        <is>
          <t>people</t>
        </is>
      </c>
      <c r="F1215" s="2" t="inlineStr">
        <is>
          <t>Eurostat demo_gind (updated 30 Sep 2026), retrieved 5 Oct 2026</t>
        </is>
      </c>
      <c r="G1215" s="2" t="inlineStr">
        <is>
          <t>no statistical adjustment in 2025: Eurostat's net migration equals NSO's</t>
        </is>
      </c>
      <c r="H1215" s="2" t="inlineStr">
        <is>
          <t>nso_release: 14004; reproduces: True</t>
        </is>
      </c>
    </row>
    <row r="1216">
      <c r="A1216" s="5" t="inlineStr">
        <is>
          <t>CC-088</t>
        </is>
      </c>
      <c r="B1216" s="2" t="inlineStr">
        <is>
          <t>CC-088:12</t>
        </is>
      </c>
      <c r="C1216" s="2" t="inlineStr">
        <is>
          <t>Net migration as share of 2025 growth</t>
        </is>
      </c>
      <c r="D1216" s="2" t="inlineStr">
        <is>
          <t>99.3</t>
        </is>
      </c>
      <c r="E1216" s="2" t="inlineStr">
        <is>
          <t>%</t>
        </is>
      </c>
      <c r="F1216" s="2" t="inlineStr">
        <is>
          <t>Eurostat demo_gind (updated 30 Sep 2026), retrieved 5 Oct 2026</t>
        </is>
      </c>
      <c r="G1216" s="2" t="inlineStr"/>
      <c r="H1216" s="2" t="inlineStr">
        <is>
          <t>nso_release: main contributor; reproduces: True</t>
        </is>
      </c>
    </row>
    <row r="1217">
      <c r="A1217" s="5" t="inlineStr">
        <is>
          <t>CC-088</t>
        </is>
      </c>
      <c r="B1217" s="2" t="inlineStr">
        <is>
          <t>CC-088:13</t>
        </is>
      </c>
      <c r="C1217" s="2" t="inlineStr">
        <is>
          <t>Net migration share of growth, 2022</t>
        </is>
      </c>
      <c r="D1217" s="2" t="inlineStr">
        <is>
          <t>99.6</t>
        </is>
      </c>
      <c r="E1217" s="2" t="inlineStr">
        <is>
          <t>%</t>
        </is>
      </c>
      <c r="F1217" s="2" t="inlineStr">
        <is>
          <t>Eurostat demo_gind (updated 30 Sep 2026), retrieved 5 Oct 2026</t>
        </is>
      </c>
      <c r="G1217" s="2" t="inlineStr"/>
      <c r="H1217" s="2" t="inlineStr">
        <is>
          <t>reproduces: True</t>
        </is>
      </c>
    </row>
    <row r="1218">
      <c r="A1218" s="5" t="inlineStr">
        <is>
          <t>CC-088</t>
        </is>
      </c>
      <c r="B1218" s="2" t="inlineStr">
        <is>
          <t>CC-088:14</t>
        </is>
      </c>
      <c r="C1218" s="2" t="inlineStr">
        <is>
          <t>Net migration share of growth, 2023</t>
        </is>
      </c>
      <c r="D1218" s="2" t="inlineStr">
        <is>
          <t>98.0</t>
        </is>
      </c>
      <c r="E1218" s="2" t="inlineStr">
        <is>
          <t>%</t>
        </is>
      </c>
      <c r="F1218" s="2" t="inlineStr">
        <is>
          <t>Eurostat demo_gind (updated 30 Sep 2026), retrieved 5 Oct 2026</t>
        </is>
      </c>
      <c r="G1218" s="2" t="inlineStr"/>
      <c r="H1218" s="2" t="inlineStr">
        <is>
          <t>reproduces: True</t>
        </is>
      </c>
    </row>
    <row r="1219">
      <c r="A1219" s="5" t="inlineStr">
        <is>
          <t>CC-088</t>
        </is>
      </c>
      <c r="B1219" s="2" t="inlineStr">
        <is>
          <t>CC-088:15</t>
        </is>
      </c>
      <c r="C1219" s="2" t="inlineStr">
        <is>
          <t>Net migration share of growth, 2024</t>
        </is>
      </c>
      <c r="D1219" s="2" t="inlineStr">
        <is>
          <t>98.2</t>
        </is>
      </c>
      <c r="E1219" s="2" t="inlineStr">
        <is>
          <t>%</t>
        </is>
      </c>
      <c r="F1219" s="2" t="inlineStr">
        <is>
          <t>Eurostat demo_gind (updated 30 Sep 2026), retrieved 5 Oct 2026</t>
        </is>
      </c>
      <c r="G1219" s="2" t="inlineStr"/>
      <c r="H1219" s="2" t="inlineStr">
        <is>
          <t>reproduces: True</t>
        </is>
      </c>
    </row>
    <row r="1220">
      <c r="A1220" s="5" t="inlineStr">
        <is>
          <t>CC-088</t>
        </is>
      </c>
      <c r="B1220" s="2" t="inlineStr">
        <is>
          <t>CC-088:16</t>
        </is>
      </c>
      <c r="C1220" s="2" t="inlineStr">
        <is>
          <t>Net migration share of growth, 2025</t>
        </is>
      </c>
      <c r="D1220" s="2" t="inlineStr">
        <is>
          <t>99.3</t>
        </is>
      </c>
      <c r="E1220" s="2" t="inlineStr">
        <is>
          <t>%</t>
        </is>
      </c>
      <c r="F1220" s="2" t="inlineStr">
        <is>
          <t>Eurostat demo_gind (updated 30 Sep 2026), retrieved 5 Oct 2026</t>
        </is>
      </c>
      <c r="G1220" s="2" t="inlineStr"/>
      <c r="H1220" s="2" t="inlineStr">
        <is>
          <t>reproduces: True</t>
        </is>
      </c>
    </row>
    <row r="1221">
      <c r="A1221" s="5" t="inlineStr">
        <is>
          <t>CC-088</t>
        </is>
      </c>
      <c r="B1221" s="2" t="inlineStr">
        <is>
          <t>CC-088:17</t>
        </is>
      </c>
      <c r="C1221" s="2" t="inlineStr">
        <is>
          <t>Annual growth 2024 (1 Jan 2024 to 1 Jan 2025)</t>
        </is>
      </c>
      <c r="D1221" s="2" t="inlineStr">
        <is>
          <t>1.92</t>
        </is>
      </c>
      <c r="E1221" s="2" t="inlineStr">
        <is>
          <t>%</t>
        </is>
      </c>
      <c r="F1221" s="2" t="inlineStr">
        <is>
          <t>Eurostat demo_gind (updated 30 Sep 2026), retrieved 5 Oct 2026</t>
        </is>
      </c>
      <c r="G1221" s="2" t="inlineStr">
        <is>
          <t>563,443 -&gt; 574,250</t>
        </is>
      </c>
      <c r="H1221" s="2" t="inlineStr">
        <is>
          <t>reproduces: True</t>
        </is>
      </c>
    </row>
    <row r="1222">
      <c r="A1222" s="5" t="inlineStr">
        <is>
          <t>CC-091</t>
        </is>
      </c>
      <c r="B1222" s="2" t="inlineStr">
        <is>
          <t>CC-091:2</t>
        </is>
      </c>
      <c r="C1222" s="2" t="inlineStr">
        <is>
          <t>Inspections 2025 / 2024</t>
        </is>
      </c>
      <c r="D1222" s="2" t="inlineStr">
        <is>
          <t>2.53</t>
        </is>
      </c>
      <c r="E1222" s="2" t="inlineStr">
        <is>
          <t>times</t>
        </is>
      </c>
      <c r="F1222" s="2" t="inlineStr">
        <is>
          <t>OHSA Annual Report 2025, Table 14</t>
        </is>
      </c>
      <c r="G1222" s="2" t="inlineStr">
        <is>
          <t>'more than doubled' needs &gt; 2.00</t>
        </is>
      </c>
      <c r="H1222" s="2" t="inlineStr"/>
    </row>
    <row r="1223">
      <c r="A1223" s="5" t="inlineStr">
        <is>
          <t>CC-091</t>
        </is>
      </c>
      <c r="B1223" s="2" t="inlineStr">
        <is>
          <t>CC-091:3</t>
        </is>
      </c>
      <c r="C1223" s="2" t="inlineStr">
        <is>
          <t>Inspections 2025 vs 2024, change</t>
        </is>
      </c>
      <c r="D1223" s="2" t="inlineStr">
        <is>
          <t>152.8</t>
        </is>
      </c>
      <c r="E1223" s="2" t="inlineStr">
        <is>
          <t>%</t>
        </is>
      </c>
      <c r="F1223" s="2" t="inlineStr">
        <is>
          <t>OHSA Annual Report 2025, Table 14</t>
        </is>
      </c>
      <c r="G1223" s="2" t="inlineStr">
        <is>
          <t>report states +152.8%</t>
        </is>
      </c>
      <c r="H1223" s="2" t="inlineStr"/>
    </row>
    <row r="1224">
      <c r="A1224" s="5" t="inlineStr">
        <is>
          <t>CC-091</t>
        </is>
      </c>
      <c r="B1224" s="2" t="inlineStr">
        <is>
          <t>CC-091:4</t>
        </is>
      </c>
      <c r="C1224" s="2" t="inlineStr">
        <is>
          <t>Inspections 2024 vs 2023, change</t>
        </is>
      </c>
      <c r="D1224" s="2" t="inlineStr">
        <is>
          <t>262.9</t>
        </is>
      </c>
      <c r="E1224" s="2" t="inlineStr">
        <is>
          <t>%</t>
        </is>
      </c>
      <c r="F1224" s="2" t="inlineStr">
        <is>
          <t>OHSA Annual Report 2025, Table 14</t>
        </is>
      </c>
      <c r="G1224" s="2" t="inlineStr">
        <is>
          <t>report states +262.8%</t>
        </is>
      </c>
      <c r="H1224" s="2" t="inlineStr"/>
    </row>
    <row r="1225">
      <c r="A1225" s="5" t="inlineStr">
        <is>
          <t>CC-091</t>
        </is>
      </c>
      <c r="B1225" s="2" t="inlineStr">
        <is>
          <t>CC-091:5</t>
        </is>
      </c>
      <c r="C1225" s="2" t="inlineStr">
        <is>
          <t>Inspections 2023 vs 2022, change</t>
        </is>
      </c>
      <c r="D1225" s="2" t="inlineStr">
        <is>
          <t>-41.1</t>
        </is>
      </c>
      <c r="E1225" s="2" t="inlineStr">
        <is>
          <t>%</t>
        </is>
      </c>
      <c r="F1225" s="2" t="inlineStr">
        <is>
          <t>OHSA Annual Report 2025, Table 14</t>
        </is>
      </c>
      <c r="G1225" s="2" t="inlineStr">
        <is>
          <t>report states -41.1%</t>
        </is>
      </c>
      <c r="H1225" s="2" t="inlineStr"/>
    </row>
    <row r="1226">
      <c r="A1226" s="5" t="inlineStr">
        <is>
          <t>CC-091</t>
        </is>
      </c>
      <c r="B1226" s="2" t="inlineStr">
        <is>
          <t>CC-091:6</t>
        </is>
      </c>
      <c r="C1226" s="2" t="inlineStr">
        <is>
          <t>Inspections 2025 / 2023</t>
        </is>
      </c>
      <c r="D1226" s="2" t="inlineStr">
        <is>
          <t>9.17</t>
        </is>
      </c>
      <c r="E1226" s="2" t="inlineStr">
        <is>
          <t>times</t>
        </is>
      </c>
      <c r="F1226" s="2" t="inlineStr">
        <is>
          <t>OHSA Annual Report 2025, Table 14</t>
        </is>
      </c>
      <c r="G1226" s="2" t="inlineStr">
        <is>
          <t>minister's comparison year in the press report</t>
        </is>
      </c>
      <c r="H1226" s="2" t="inlineStr"/>
    </row>
    <row r="1227">
      <c r="A1227" s="5" t="inlineStr">
        <is>
          <t>CC-091</t>
        </is>
      </c>
      <c r="B1227" s="2" t="inlineStr">
        <is>
          <t>CC-091:7</t>
        </is>
      </c>
      <c r="C1227" s="2" t="inlineStr">
        <is>
          <t>Inspections 2025 / 2021-2022 average</t>
        </is>
      </c>
      <c r="D1227" s="2" t="inlineStr">
        <is>
          <t>5.55</t>
        </is>
      </c>
      <c r="E1227" s="2" t="inlineStr">
        <is>
          <t>times</t>
        </is>
      </c>
      <c r="F1227" s="2" t="inlineStr">
        <is>
          <t>OHSA Annual Report 2025, Table 14</t>
        </is>
      </c>
      <c r="G1227" s="2" t="inlineStr"/>
      <c r="H1227" s="2" t="inlineStr"/>
    </row>
    <row r="1228">
      <c r="A1228" s="5" t="inlineStr">
        <is>
          <t>CC-091</t>
        </is>
      </c>
      <c r="B1228" s="2" t="inlineStr">
        <is>
          <t>CC-091:8</t>
        </is>
      </c>
      <c r="C1228" s="2" t="inlineStr">
        <is>
          <t>Sum of divisions 2025 (Table 18)</t>
        </is>
      </c>
      <c r="D1228" s="2" t="inlineStr">
        <is>
          <t>23711.0</t>
        </is>
      </c>
      <c r="E1228" s="2" t="inlineStr">
        <is>
          <t>inspections</t>
        </is>
      </c>
      <c r="F1228" s="2" t="inlineStr">
        <is>
          <t>OHSA AR 2025 Table 18</t>
        </is>
      </c>
      <c r="G1228" s="2" t="inlineStr">
        <is>
          <t>should equal 23,711</t>
        </is>
      </c>
      <c r="H1228" s="2" t="inlineStr"/>
    </row>
    <row r="1229">
      <c r="A1229" s="5" t="inlineStr">
        <is>
          <t>CC-091</t>
        </is>
      </c>
      <c r="B1229" s="2" t="inlineStr">
        <is>
          <t>CC-091:9</t>
        </is>
      </c>
      <c r="C1229" s="2" t="inlineStr">
        <is>
          <t>Sum of divisions 2024 (Table 18)</t>
        </is>
      </c>
      <c r="D1229" s="2" t="inlineStr">
        <is>
          <t>9381.0</t>
        </is>
      </c>
      <c r="E1229" s="2" t="inlineStr">
        <is>
          <t>inspections</t>
        </is>
      </c>
      <c r="F1229" s="2" t="inlineStr">
        <is>
          <t>OHSA AR 2025 Table 18</t>
        </is>
      </c>
      <c r="G1229" s="2" t="inlineStr">
        <is>
          <t>should equal 9,381</t>
        </is>
      </c>
      <c r="H1229" s="2" t="inlineStr"/>
    </row>
    <row r="1230">
      <c r="A1230" s="5" t="inlineStr">
        <is>
          <t>CC-091</t>
        </is>
      </c>
      <c r="B1230" s="2" t="inlineStr">
        <is>
          <t>CC-091:10</t>
        </is>
      </c>
      <c r="C1230" s="2" t="inlineStr">
        <is>
          <t>Construction inspections 2025 / 2024</t>
        </is>
      </c>
      <c r="D1230" s="2" t="inlineStr">
        <is>
          <t>2.66</t>
        </is>
      </c>
      <c r="E1230" s="2" t="inlineStr">
        <is>
          <t>times</t>
        </is>
      </c>
      <c r="F1230" s="2" t="inlineStr">
        <is>
          <t>OHSA AR 2025 Table 18</t>
        </is>
      </c>
      <c r="G1230" s="2" t="inlineStr"/>
      <c r="H1230" s="2" t="inlineStr"/>
    </row>
    <row r="1231">
      <c r="A1231" s="5" t="inlineStr">
        <is>
          <t>CC-091</t>
        </is>
      </c>
      <c r="B1231" s="2" t="inlineStr">
        <is>
          <t>CC-091:11</t>
        </is>
      </c>
      <c r="C1231" s="2" t="inlineStr">
        <is>
          <t>Construction share of 2025 inspections</t>
        </is>
      </c>
      <c r="D1231" s="2" t="inlineStr">
        <is>
          <t>81.4</t>
        </is>
      </c>
      <c r="E1231" s="2" t="inlineStr">
        <is>
          <t>%</t>
        </is>
      </c>
      <c r="F1231" s="2" t="inlineStr">
        <is>
          <t>OHSA AR 2025 Table 18</t>
        </is>
      </c>
      <c r="G1231" s="2" t="inlineStr">
        <is>
          <t>report: 'approximately 80%'</t>
        </is>
      </c>
      <c r="H1231" s="2" t="inlineStr"/>
    </row>
    <row r="1232">
      <c r="A1232" s="5" t="inlineStr">
        <is>
          <t>CC-091</t>
        </is>
      </c>
      <c r="B1232" s="2" t="inlineStr">
        <is>
          <t>CC-091:12</t>
        </is>
      </c>
      <c r="C1232" s="2" t="inlineStr">
        <is>
          <t>Construction outcomes sum (adequate + orders + stop works)</t>
        </is>
      </c>
      <c r="D1232" s="2" t="inlineStr">
        <is>
          <t>100.0</t>
        </is>
      </c>
      <c r="E1232" s="2" t="inlineStr">
        <is>
          <t>%</t>
        </is>
      </c>
      <c r="F1232" s="2" t="inlineStr">
        <is>
          <t>OHSA AR 2025 Table 6</t>
        </is>
      </c>
      <c r="G1232" s="2" t="inlineStr"/>
      <c r="H1232" s="2" t="inlineStr"/>
    </row>
    <row r="1233">
      <c r="A1233" s="5" t="inlineStr">
        <is>
          <t>CC-091</t>
        </is>
      </c>
      <c r="B1233" s="2" t="inlineStr">
        <is>
          <t>CC-091:13</t>
        </is>
      </c>
      <c r="C1233" s="2" t="inlineStr">
        <is>
          <t>Construction inspections not rated adequate</t>
        </is>
      </c>
      <c r="D1233" s="2" t="inlineStr">
        <is>
          <t>26.0</t>
        </is>
      </c>
      <c r="E1233" s="2" t="inlineStr">
        <is>
          <t>%</t>
        </is>
      </c>
      <c r="F1233" s="2" t="inlineStr">
        <is>
          <t>OHSA AR 2025 Table 6</t>
        </is>
      </c>
      <c r="G1233" s="2" t="inlineStr"/>
      <c r="H1233" s="2" t="inlineStr"/>
    </row>
    <row r="1234">
      <c r="A1234" s="5" t="inlineStr">
        <is>
          <t>CC-091</t>
        </is>
      </c>
      <c r="B1234" s="2" t="inlineStr">
        <is>
          <t>CC-091:14</t>
        </is>
      </c>
      <c r="C1234" s="2" t="inlineStr">
        <is>
          <t>Stop-work orders implied if 5% applied to all 2025 construction inspections</t>
        </is>
      </c>
      <c r="D1234" s="2" t="inlineStr">
        <is>
          <t>965</t>
        </is>
      </c>
      <c r="E1234" s="2" t="inlineStr">
        <is>
          <t>orders (approx.)</t>
        </is>
      </c>
      <c r="F1234" s="2" t="inlineStr">
        <is>
          <t>Table 6 x Table 18</t>
        </is>
      </c>
      <c r="G1234" s="2" t="inlineStr">
        <is>
          <t>rounded percentage; compare the next row</t>
        </is>
      </c>
      <c r="H1234" s="2" t="inlineStr"/>
    </row>
    <row r="1235">
      <c r="A1235" s="5" t="inlineStr">
        <is>
          <t>CC-091</t>
        </is>
      </c>
      <c r="B1235" s="2" t="inlineStr">
        <is>
          <t>CC-091:15</t>
        </is>
      </c>
      <c r="C1235" s="2" t="inlineStr">
        <is>
          <t>Stop Orders issued in 2025, all sectors (Table 17)</t>
        </is>
      </c>
      <c r="D1235" s="2" t="inlineStr">
        <is>
          <t>526</t>
        </is>
      </c>
      <c r="E1235" s="2" t="inlineStr">
        <is>
          <t>orders</t>
        </is>
      </c>
      <c r="F1235" s="2" t="inlineStr">
        <is>
          <t>OHSA AR 2025 Table 17 (monthly Table 16 also sums to 526)</t>
        </is>
      </c>
      <c r="G1235" s="2" t="inlineStr">
        <is>
          <t>smaller than the implied figure above, so Table 6's percentages cannot be a share of all 19,296 construction inspections; base unstated</t>
        </is>
      </c>
      <c r="H1235" s="2" t="inlineStr"/>
    </row>
    <row r="1236">
      <c r="A1236" s="5" t="inlineStr">
        <is>
          <t>CC-091</t>
        </is>
      </c>
      <c r="B1236" s="2" t="inlineStr">
        <is>
          <t>CC-091:16</t>
        </is>
      </c>
      <c r="C1236" s="2" t="inlineStr">
        <is>
          <t>Improvement notices + Orders implied for 21% of construction inspections</t>
        </is>
      </c>
      <c r="D1236" s="2" t="inlineStr">
        <is>
          <t>4052</t>
        </is>
      </c>
      <c r="E1236" s="2" t="inlineStr">
        <is>
          <t>inspections (approx.)</t>
        </is>
      </c>
      <c r="F1236" s="2" t="inlineStr">
        <is>
          <t>Table 6 x Table 18</t>
        </is>
      </c>
      <c r="G1236" s="2" t="inlineStr">
        <is>
          <t>report: 'more than 2,500' orders in construction; Table 17 totals 1,616 notices + 2,759 orders in all sectors</t>
        </is>
      </c>
      <c r="H1236" s="2" t="inlineStr"/>
    </row>
    <row r="1237">
      <c r="A1237" s="5" t="inlineStr">
        <is>
          <t>CC-091</t>
        </is>
      </c>
      <c r="B1237" s="2" t="inlineStr">
        <is>
          <t>CC-091:17</t>
        </is>
      </c>
      <c r="C1237" s="2" t="inlineStr">
        <is>
          <t>Fatal accidents 2025 (Table 1)</t>
        </is>
      </c>
      <c r="D1237" s="2" t="inlineStr">
        <is>
          <t>9.0</t>
        </is>
      </c>
      <c r="E1237" s="2" t="inlineStr">
        <is>
          <t>deaths</t>
        </is>
      </c>
      <c r="F1237" s="2" t="inlineStr">
        <is>
          <t>OHSA AR 2025 Table 1</t>
        </is>
      </c>
      <c r="G1237" s="2" t="inlineStr"/>
      <c r="H1237" s="2" t="inlineStr"/>
    </row>
    <row r="1238">
      <c r="A1238" s="5" t="inlineStr">
        <is>
          <t>CC-091</t>
        </is>
      </c>
      <c r="B1238" s="2" t="inlineStr">
        <is>
          <t>CC-091:18</t>
        </is>
      </c>
      <c r="C1238" s="2" t="inlineStr">
        <is>
          <t>Fatal accidents 2025, by sector (Table 5) sum</t>
        </is>
      </c>
      <c r="D1238" s="2" t="inlineStr">
        <is>
          <t>9.0</t>
        </is>
      </c>
      <c r="E1238" s="2" t="inlineStr">
        <is>
          <t>deaths</t>
        </is>
      </c>
      <c r="F1238" s="2" t="inlineStr">
        <is>
          <t>OHSA AR 2025 Table 5</t>
        </is>
      </c>
      <c r="G1238" s="2" t="inlineStr"/>
      <c r="H1238" s="2" t="inlineStr"/>
    </row>
    <row r="1239">
      <c r="A1239" s="5" t="inlineStr">
        <is>
          <t>CC-091</t>
        </is>
      </c>
      <c r="B1239" s="2" t="inlineStr">
        <is>
          <t>CC-091:19</t>
        </is>
      </c>
      <c r="C1239" s="2" t="inlineStr">
        <is>
          <t>Fatal accidents 2025, by nationality sum</t>
        </is>
      </c>
      <c r="D1239" s="2" t="inlineStr">
        <is>
          <t>9.0</t>
        </is>
      </c>
      <c r="E1239" s="2" t="inlineStr">
        <is>
          <t>deaths</t>
        </is>
      </c>
      <c r="F1239" s="2" t="inlineStr">
        <is>
          <t>OHSA AR 2025 s.4.2.6</t>
        </is>
      </c>
      <c r="G1239" s="2" t="inlineStr"/>
      <c r="H1239" s="2" t="inlineStr"/>
    </row>
    <row r="1240">
      <c r="A1240" s="5" t="inlineStr">
        <is>
          <t>CC-091</t>
        </is>
      </c>
      <c r="B1240" s="2" t="inlineStr">
        <is>
          <t>CC-091:20</t>
        </is>
      </c>
      <c r="C1240" s="2" t="inlineStr">
        <is>
          <t>Third-country nationals, share of 2025 deaths</t>
        </is>
      </c>
      <c r="D1240" s="2" t="inlineStr">
        <is>
          <t>55.6</t>
        </is>
      </c>
      <c r="E1240" s="2" t="inlineStr">
        <is>
          <t>%</t>
        </is>
      </c>
      <c r="F1240" s="2" t="inlineStr">
        <is>
          <t>OHSA AR 2025 s.4.2.6</t>
        </is>
      </c>
      <c r="G1240" s="2" t="inlineStr"/>
      <c r="H1240" s="2" t="inlineStr"/>
    </row>
    <row r="1241">
      <c r="A1241" s="5" t="inlineStr">
        <is>
          <t>CC-091</t>
        </is>
      </c>
      <c r="B1241" s="2" t="inlineStr">
        <is>
          <t>CC-091:21</t>
        </is>
      </c>
      <c r="C1241" s="2" t="inlineStr">
        <is>
          <t>Eurostat fatal accidents at work, Malta, all activities, 2022</t>
        </is>
      </c>
      <c r="D1241" s="2" t="inlineStr">
        <is>
          <t>15.0</t>
        </is>
      </c>
      <c r="E1241" s="2" t="inlineStr">
        <is>
          <t>deaths</t>
        </is>
      </c>
      <c r="F1241" s="2" t="inlineStr">
        <is>
          <t>Eurostat hsw_n2_02 (fatal accidents at work), retrieved 5 Oct 2026</t>
        </is>
      </c>
      <c r="G1241" s="2" t="inlineStr">
        <is>
          <t>2025 not yet published by Eurostat</t>
        </is>
      </c>
      <c r="H1241" s="2" t="inlineStr"/>
    </row>
    <row r="1242">
      <c r="A1242" s="5" t="inlineStr">
        <is>
          <t>CC-091</t>
        </is>
      </c>
      <c r="B1242" s="2" t="inlineStr">
        <is>
          <t>CC-091:22</t>
        </is>
      </c>
      <c r="C1242" s="2" t="inlineStr">
        <is>
          <t>Eurostat fatal accidents at work, Malta, all activities, 2023</t>
        </is>
      </c>
      <c r="D1242" s="2" t="inlineStr">
        <is>
          <t>5.0</t>
        </is>
      </c>
      <c r="E1242" s="2" t="inlineStr">
        <is>
          <t>deaths</t>
        </is>
      </c>
      <c r="F1242" s="2" t="inlineStr">
        <is>
          <t>Eurostat hsw_n2_02 (fatal accidents at work), retrieved 5 Oct 2026</t>
        </is>
      </c>
      <c r="G1242" s="2" t="inlineStr">
        <is>
          <t>2025 not yet published by Eurostat</t>
        </is>
      </c>
      <c r="H1242" s="2" t="inlineStr"/>
    </row>
    <row r="1243">
      <c r="A1243" s="5" t="inlineStr">
        <is>
          <t>CC-091</t>
        </is>
      </c>
      <c r="B1243" s="2" t="inlineStr">
        <is>
          <t>CC-091:23</t>
        </is>
      </c>
      <c r="C1243" s="2" t="inlineStr">
        <is>
          <t>Eurostat fatal accidents at work, Malta, all activities, 2024</t>
        </is>
      </c>
      <c r="D1243" s="2" t="inlineStr">
        <is>
          <t>4.0</t>
        </is>
      </c>
      <c r="E1243" s="2" t="inlineStr">
        <is>
          <t>deaths</t>
        </is>
      </c>
      <c r="F1243" s="2" t="inlineStr">
        <is>
          <t>Eurostat hsw_n2_02 (fatal accidents at work), retrieved 5 Oct 2026</t>
        </is>
      </c>
      <c r="G1243" s="2" t="inlineStr">
        <is>
          <t>2025 not yet published by Eurostat</t>
        </is>
      </c>
      <c r="H1243" s="2" t="inlineStr"/>
    </row>
    <row r="1244">
      <c r="A1244" s="5" t="inlineStr">
        <is>
          <t>CC-091</t>
        </is>
      </c>
      <c r="B1244" s="2" t="inlineStr">
        <is>
          <t>CC-091:24</t>
        </is>
      </c>
      <c r="C1244" s="2" t="inlineStr">
        <is>
          <t>Eurostat fatal accidents at work, Malta, construction, 2024</t>
        </is>
      </c>
      <c r="D1244" s="2" t="inlineStr">
        <is>
          <t>2.0</t>
        </is>
      </c>
      <c r="E1244" s="2" t="inlineStr">
        <is>
          <t>deaths</t>
        </is>
      </c>
      <c r="F1244" s="2" t="inlineStr">
        <is>
          <t>Eurostat hsw_n2_02 (fatal accidents at work), retrieved 5 Oct 2026</t>
        </is>
      </c>
      <c r="G1244" s="2" t="inlineStr"/>
      <c r="H1244" s="2" t="inlineStr"/>
    </row>
    <row r="1245">
      <c r="A1245" s="5" t="inlineStr">
        <is>
          <t>CC-091</t>
        </is>
      </c>
      <c r="B1245" s="2" t="inlineStr">
        <is>
          <t>CC-091:25</t>
        </is>
      </c>
      <c r="C1245" s="2" t="inlineStr">
        <is>
          <t>Crude fatality rate per 100,000 persons employed, 2023 (OHSA deaths / Eurostat employment)</t>
        </is>
      </c>
      <c r="D1245" s="2" t="inlineStr">
        <is>
          <t>1.61</t>
        </is>
      </c>
      <c r="E1245" s="2" t="inlineStr">
        <is>
          <t>per 100,000</t>
        </is>
      </c>
      <c r="F1245" s="2" t="inlineStr">
        <is>
          <t>OHSA AR 2023-2025; Eurostat nama_10_pe EMP_DC</t>
        </is>
      </c>
      <c r="G1245" s="2" t="inlineStr">
        <is>
          <t>crude, domestic-concept employment; OHSA's own 2024 figure is 1.22 (denominator unstated)</t>
        </is>
      </c>
      <c r="H1245" s="2" t="inlineStr"/>
    </row>
    <row r="1246">
      <c r="A1246" s="5" t="inlineStr">
        <is>
          <t>CC-091</t>
        </is>
      </c>
      <c r="B1246" s="2" t="inlineStr">
        <is>
          <t>CC-091:26</t>
        </is>
      </c>
      <c r="C1246" s="2" t="inlineStr">
        <is>
          <t>Crude fatality rate per 100,000 persons employed, 2024 (OHSA deaths / Eurostat employment)</t>
        </is>
      </c>
      <c r="D1246" s="2" t="inlineStr">
        <is>
          <t>1.54</t>
        </is>
      </c>
      <c r="E1246" s="2" t="inlineStr">
        <is>
          <t>per 100,000</t>
        </is>
      </c>
      <c r="F1246" s="2" t="inlineStr">
        <is>
          <t>OHSA AR 2023-2025; Eurostat nama_10_pe EMP_DC</t>
        </is>
      </c>
      <c r="G1246" s="2" t="inlineStr">
        <is>
          <t>crude, domestic-concept employment; OHSA's own 2024 figure is 1.22 (denominator unstated)</t>
        </is>
      </c>
      <c r="H1246" s="2" t="inlineStr"/>
    </row>
    <row r="1247">
      <c r="A1247" s="5" t="inlineStr">
        <is>
          <t>CC-091</t>
        </is>
      </c>
      <c r="B1247" s="2" t="inlineStr">
        <is>
          <t>CC-091:27</t>
        </is>
      </c>
      <c r="C1247" s="2" t="inlineStr">
        <is>
          <t>Crude fatality rate per 100,000 persons employed, 2025 (OHSA deaths / Eurostat employment)</t>
        </is>
      </c>
      <c r="D1247" s="2" t="inlineStr">
        <is>
          <t>2.66</t>
        </is>
      </c>
      <c r="E1247" s="2" t="inlineStr">
        <is>
          <t>per 100,000</t>
        </is>
      </c>
      <c r="F1247" s="2" t="inlineStr">
        <is>
          <t>OHSA AR 2023-2025; Eurostat nama_10_pe EMP_DC</t>
        </is>
      </c>
      <c r="G1247" s="2" t="inlineStr">
        <is>
          <t>crude, domestic-concept employment; OHSA's own 2024 figure is 1.22 (denominator unstated)</t>
        </is>
      </c>
      <c r="H1247" s="2" t="inlineStr"/>
    </row>
    <row r="1248">
      <c r="A1248" s="5" t="inlineStr">
        <is>
          <t>CC-091</t>
        </is>
      </c>
      <c r="B1248" s="2" t="inlineStr">
        <is>
          <t>CC-091:28</t>
        </is>
      </c>
      <c r="C1248" s="2" t="inlineStr">
        <is>
          <t>Deaths 2025 vs 2024 (OHSA)</t>
        </is>
      </c>
      <c r="D1248" s="2" t="inlineStr">
        <is>
          <t>9 vs 5</t>
        </is>
      </c>
      <c r="E1248" s="2" t="inlineStr">
        <is>
          <t>deaths</t>
        </is>
      </c>
      <c r="F1248" s="2" t="inlineStr">
        <is>
          <t>OHSA AR 2024 s.3.2.4; AR 2025 Table 1</t>
        </is>
      </c>
      <c r="G1248" s="2" t="inlineStr">
        <is>
          <t>up four while inspections rose 2.5 times</t>
        </is>
      </c>
      <c r="H1248" s="2" t="inlineStr"/>
    </row>
    <row r="1249">
      <c r="A1249" s="5" t="inlineStr">
        <is>
          <t>CC-094</t>
        </is>
      </c>
      <c r="B1249" s="2" t="inlineStr">
        <is>
          <t>CC-094:2</t>
        </is>
      </c>
      <c r="C1249" s="2" t="inlineStr">
        <is>
          <t>Malta 2005 effort-sharing emissions used for the targets</t>
        </is>
      </c>
      <c r="D1249" s="2" t="inlineStr">
        <is>
          <t>1020.6</t>
        </is>
      </c>
      <c r="E1249" s="2" t="inlineStr">
        <is>
          <t>kt CO2e</t>
        </is>
      </c>
      <c r="F1249" s="2" t="inlineStr">
        <is>
          <t>Decision 2020/2126 Annex I</t>
        </is>
      </c>
      <c r="G1249" s="2" t="inlineStr"/>
      <c r="H1249" s="2" t="inlineStr"/>
    </row>
    <row r="1250">
      <c r="A1250" s="5" t="inlineStr">
        <is>
          <t>CC-094</t>
        </is>
      </c>
      <c r="B1250" s="2" t="inlineStr">
        <is>
          <t>CC-094:3</t>
        </is>
      </c>
      <c r="C1250" s="2" t="inlineStr">
        <is>
          <t>Malta 2030 target</t>
        </is>
      </c>
      <c r="D1250" s="2" t="inlineStr">
        <is>
          <t>-19.0</t>
        </is>
      </c>
      <c r="E1250" s="2" t="inlineStr">
        <is>
          <t>% vs 2005</t>
        </is>
      </c>
      <c r="F1250" s="2" t="inlineStr">
        <is>
          <t>Regulation (EU) 2023/857 Annex I</t>
        </is>
      </c>
      <c r="G1250" s="2" t="inlineStr">
        <is>
          <t>COM p. 30 says 19% reduction target</t>
        </is>
      </c>
      <c r="H1250" s="2" t="inlineStr"/>
    </row>
    <row r="1251">
      <c r="A1251" s="5" t="inlineStr">
        <is>
          <t>CC-094</t>
        </is>
      </c>
      <c r="B1251" s="2" t="inlineStr">
        <is>
          <t>CC-094:4</t>
        </is>
      </c>
      <c r="C1251" s="2" t="inlineStr">
        <is>
          <t>Malta 2030 limit = 2005 base x (1 + target)</t>
        </is>
      </c>
      <c r="D1251" s="2" t="inlineStr">
        <is>
          <t>826.7</t>
        </is>
      </c>
      <c r="E1251" s="2" t="inlineStr">
        <is>
          <t>kt CO2e</t>
        </is>
      </c>
      <c r="F1251" s="2" t="inlineStr">
        <is>
          <t>calculated</t>
        </is>
      </c>
      <c r="G1251" s="2" t="inlineStr">
        <is>
          <t>2030 allocation in Decision 2026/895: 826.7 kt; Malta's NECP p. 54: 826.7 kt</t>
        </is>
      </c>
      <c r="H1251" s="2" t="inlineStr"/>
    </row>
    <row r="1252">
      <c r="A1252" s="5" t="inlineStr">
        <is>
          <t>CC-094</t>
        </is>
      </c>
      <c r="B1252" s="2" t="inlineStr">
        <is>
          <t>CC-094:5</t>
        </is>
      </c>
      <c r="C1252" s="2" t="inlineStr">
        <is>
          <t>Malta 2030 projection, WEM (existing measures)</t>
        </is>
      </c>
      <c r="D1252" s="2" t="inlineStr">
        <is>
          <t>1450.1</t>
        </is>
      </c>
      <c r="E1252" s="2" t="inlineStr">
        <is>
          <t>kt CO2e</t>
        </is>
      </c>
      <c r="F1252" s="2" t="inlineStr">
        <is>
          <t>EEA, GHG projections 2025 submission (GHG_projections_2025_EEA_incl_pivots.xlsx), retrieved 6 Oct 2026</t>
        </is>
      </c>
      <c r="G1252" s="2" t="inlineStr"/>
      <c r="H1252" s="2" t="inlineStr"/>
    </row>
    <row r="1253">
      <c r="A1253" s="5" t="inlineStr">
        <is>
          <t>CC-094</t>
        </is>
      </c>
      <c r="B1253" s="2" t="inlineStr">
        <is>
          <t>CC-094:6</t>
        </is>
      </c>
      <c r="C1253" s="2" t="inlineStr">
        <is>
          <t>Malta 2030 vs 2005, WEM (existing measures)</t>
        </is>
      </c>
      <c r="D1253" s="2" t="inlineStr">
        <is>
          <t>42.1</t>
        </is>
      </c>
      <c r="E1253" s="2" t="inlineStr">
        <is>
          <t>%</t>
        </is>
      </c>
      <c r="F1253" s="2" t="inlineStr">
        <is>
          <t>calculated</t>
        </is>
      </c>
      <c r="G1253" s="2" t="inlineStr">
        <is>
          <t>1450.1 / 1020.6</t>
        </is>
      </c>
      <c r="H1253" s="2" t="inlineStr"/>
    </row>
    <row r="1254">
      <c r="A1254" s="5" t="inlineStr">
        <is>
          <t>CC-094</t>
        </is>
      </c>
      <c r="B1254" s="2" t="inlineStr">
        <is>
          <t>CC-094:7</t>
        </is>
      </c>
      <c r="C1254" s="2" t="inlineStr">
        <is>
          <t>Malta gap to the 2030 target, WEM (existing measures)</t>
        </is>
      </c>
      <c r="D1254" s="2" t="inlineStr">
        <is>
          <t>61.1</t>
        </is>
      </c>
      <c r="E1254" s="2" t="inlineStr">
        <is>
          <t>pp</t>
        </is>
      </c>
      <c r="F1254" s="2" t="inlineStr">
        <is>
          <t>calculated</t>
        </is>
      </c>
      <c r="G1254" s="2" t="inlineStr">
        <is>
          <t>Commission: 61 pp (COM p. 30); SWD Table 25 p. 114: -61 pp</t>
        </is>
      </c>
      <c r="H1254" s="2" t="inlineStr"/>
    </row>
    <row r="1255">
      <c r="A1255" s="5" t="inlineStr">
        <is>
          <t>CC-094</t>
        </is>
      </c>
      <c r="B1255" s="2" t="inlineStr">
        <is>
          <t>CC-094:8</t>
        </is>
      </c>
      <c r="C1255" s="2" t="inlineStr">
        <is>
          <t>Malta 2030 excess over the limit, WEM (existing measures)</t>
        </is>
      </c>
      <c r="D1255" s="2" t="inlineStr">
        <is>
          <t>623.4</t>
        </is>
      </c>
      <c r="E1255" s="2" t="inlineStr">
        <is>
          <t>kt CO2e</t>
        </is>
      </c>
      <c r="F1255" s="2" t="inlineStr">
        <is>
          <t>calculated</t>
        </is>
      </c>
      <c r="G1255" s="2" t="inlineStr"/>
      <c r="H1255" s="2" t="inlineStr"/>
    </row>
    <row r="1256">
      <c r="A1256" s="5" t="inlineStr">
        <is>
          <t>CC-094</t>
        </is>
      </c>
      <c r="B1256" s="2" t="inlineStr">
        <is>
          <t>CC-094:9</t>
        </is>
      </c>
      <c r="C1256" s="2" t="inlineStr">
        <is>
          <t>Malta 2030 projection, WAM (additional measures)</t>
        </is>
      </c>
      <c r="D1256" s="2" t="inlineStr">
        <is>
          <t>1323.8</t>
        </is>
      </c>
      <c r="E1256" s="2" t="inlineStr">
        <is>
          <t>kt CO2e</t>
        </is>
      </c>
      <c r="F1256" s="2" t="inlineStr">
        <is>
          <t>EEA, GHG projections 2025 submission (GHG_projections_2025_EEA_incl_pivots.xlsx), retrieved 6 Oct 2026</t>
        </is>
      </c>
      <c r="G1256" s="2" t="inlineStr"/>
      <c r="H1256" s="2" t="inlineStr"/>
    </row>
    <row r="1257">
      <c r="A1257" s="5" t="inlineStr">
        <is>
          <t>CC-094</t>
        </is>
      </c>
      <c r="B1257" s="2" t="inlineStr">
        <is>
          <t>CC-094:10</t>
        </is>
      </c>
      <c r="C1257" s="2" t="inlineStr">
        <is>
          <t>Malta 2030 vs 2005, WAM (additional measures)</t>
        </is>
      </c>
      <c r="D1257" s="2" t="inlineStr">
        <is>
          <t>29.7</t>
        </is>
      </c>
      <c r="E1257" s="2" t="inlineStr">
        <is>
          <t>%</t>
        </is>
      </c>
      <c r="F1257" s="2" t="inlineStr">
        <is>
          <t>calculated</t>
        </is>
      </c>
      <c r="G1257" s="2" t="inlineStr">
        <is>
          <t>1323.8 / 1020.6</t>
        </is>
      </c>
      <c r="H1257" s="2" t="inlineStr"/>
    </row>
    <row r="1258">
      <c r="A1258" s="5" t="inlineStr">
        <is>
          <t>CC-094</t>
        </is>
      </c>
      <c r="B1258" s="2" t="inlineStr">
        <is>
          <t>CC-094:11</t>
        </is>
      </c>
      <c r="C1258" s="2" t="inlineStr">
        <is>
          <t>Malta gap to the 2030 target, WAM (additional measures)</t>
        </is>
      </c>
      <c r="D1258" s="2" t="inlineStr">
        <is>
          <t>48.7</t>
        </is>
      </c>
      <c r="E1258" s="2" t="inlineStr">
        <is>
          <t>pp</t>
        </is>
      </c>
      <c r="F1258" s="2" t="inlineStr">
        <is>
          <t>calculated</t>
        </is>
      </c>
      <c r="G1258" s="2" t="inlineStr">
        <is>
          <t>Commission: 49 pp (COM p. 30); SWD Table 25 p. 114: -49 pp</t>
        </is>
      </c>
      <c r="H1258" s="2" t="inlineStr"/>
    </row>
    <row r="1259">
      <c r="A1259" s="5" t="inlineStr">
        <is>
          <t>CC-094</t>
        </is>
      </c>
      <c r="B1259" s="2" t="inlineStr">
        <is>
          <t>CC-094:12</t>
        </is>
      </c>
      <c r="C1259" s="2" t="inlineStr">
        <is>
          <t>Malta 2030 excess over the limit, WAM (additional measures)</t>
        </is>
      </c>
      <c r="D1259" s="2" t="inlineStr">
        <is>
          <t>497.1</t>
        </is>
      </c>
      <c r="E1259" s="2" t="inlineStr">
        <is>
          <t>kt CO2e</t>
        </is>
      </c>
      <c r="F1259" s="2" t="inlineStr">
        <is>
          <t>calculated</t>
        </is>
      </c>
      <c r="G1259" s="2" t="inlineStr"/>
      <c r="H1259" s="2" t="inlineStr"/>
    </row>
    <row r="1260">
      <c r="A1260" s="5" t="inlineStr">
        <is>
          <t>CC-094</t>
        </is>
      </c>
      <c r="B1260" s="2" t="inlineStr">
        <is>
          <t>CC-094:13</t>
        </is>
      </c>
      <c r="C1260" s="2" t="inlineStr">
        <is>
          <t>Commission's 49 and 61 reproduced to the nearest point</t>
        </is>
      </c>
      <c r="D1260" s="2" t="inlineStr">
        <is>
          <t>yes</t>
        </is>
      </c>
      <c r="E1260" s="2" t="inlineStr"/>
      <c r="F1260" s="2" t="inlineStr">
        <is>
          <t>calculated</t>
        </is>
      </c>
      <c r="G1260" s="2" t="inlineStr"/>
      <c r="H1260" s="2" t="inlineStr"/>
    </row>
    <row r="1261">
      <c r="A1261" s="5" t="inlineStr">
        <is>
          <t>CC-094</t>
        </is>
      </c>
      <c r="B1261" s="2" t="inlineStr">
        <is>
          <t>CC-094:14</t>
        </is>
      </c>
      <c r="C1261" s="2" t="inlineStr">
        <is>
          <t>Malta 2030 WAM vs 2005, using the EEA 2005 estimate (ESD basis, AR4 GWPs)</t>
        </is>
      </c>
      <c r="D1261" s="2" t="inlineStr">
        <is>
          <t>31.4</t>
        </is>
      </c>
      <c r="E1261" s="2" t="inlineStr">
        <is>
          <t>%</t>
        </is>
      </c>
      <c r="F1261" s="2" t="inlineStr">
        <is>
          <t>calculated</t>
        </is>
      </c>
      <c r="G1261" s="2" t="inlineStr">
        <is>
          <t>2005 = 1007.4 kt; WEM: +43.9%</t>
        </is>
      </c>
      <c r="H1261" s="2" t="inlineStr"/>
    </row>
    <row r="1262">
      <c r="A1262" s="5" t="inlineStr">
        <is>
          <t>CC-094</t>
        </is>
      </c>
      <c r="B1262" s="2" t="inlineStr">
        <is>
          <t>CC-094:15</t>
        </is>
      </c>
      <c r="C1262" s="2" t="inlineStr">
        <is>
          <t>Malta 2030 WAM vs 2005, using the ESD base year 2005 (2013-2020 rules)</t>
        </is>
      </c>
      <c r="D1262" s="2" t="inlineStr">
        <is>
          <t>18.6</t>
        </is>
      </c>
      <c r="E1262" s="2" t="inlineStr">
        <is>
          <t>%</t>
        </is>
      </c>
      <c r="F1262" s="2" t="inlineStr">
        <is>
          <t>calculated</t>
        </is>
      </c>
      <c r="G1262" s="2" t="inlineStr">
        <is>
          <t>2005 = 1116.1 kt; WEM: +29.9%</t>
        </is>
      </c>
      <c r="H1262" s="2" t="inlineStr"/>
    </row>
    <row r="1263">
      <c r="A1263" s="5" t="inlineStr">
        <is>
          <t>CC-094</t>
        </is>
      </c>
      <c r="B1263" s="2" t="inlineStr">
        <is>
          <t>CC-094:16</t>
        </is>
      </c>
      <c r="C1263" s="2" t="inlineStr">
        <is>
          <t>Projection's 2023 starting value vs reviewed 2023 emissions</t>
        </is>
      </c>
      <c r="D1263" s="2" t="inlineStr">
        <is>
          <t>2.6</t>
        </is>
      </c>
      <c r="E1263" s="2" t="inlineStr">
        <is>
          <t>%</t>
        </is>
      </c>
      <c r="F1263" s="2" t="inlineStr">
        <is>
          <t>calculated</t>
        </is>
      </c>
      <c r="G1263" s="2" t="inlineStr">
        <is>
          <t>projection 1482.3 kt; reviewed 1445.0 kt (EEA, ESR review)</t>
        </is>
      </c>
      <c r="H1263" s="2" t="inlineStr"/>
    </row>
    <row r="1264">
      <c r="A1264" s="5" t="inlineStr">
        <is>
          <t>CC-094</t>
        </is>
      </c>
      <c r="B1264" s="2" t="inlineStr">
        <is>
          <t>CC-094:17</t>
        </is>
      </c>
      <c r="C1264" s="2" t="inlineStr">
        <is>
          <t>Malta 2030 WEM rescaled to reviewed 2023, vs 2005</t>
        </is>
      </c>
      <c r="D1264" s="2" t="inlineStr">
        <is>
          <t>38.5</t>
        </is>
      </c>
      <c r="E1264" s="2" t="inlineStr">
        <is>
          <t>%</t>
        </is>
      </c>
      <c r="F1264" s="2" t="inlineStr">
        <is>
          <t>calculated</t>
        </is>
      </c>
      <c r="G1264" s="2" t="inlineStr">
        <is>
          <t>sensitivity: projection x (reviewed 2023 / projected 2023)</t>
        </is>
      </c>
      <c r="H1264" s="2" t="inlineStr"/>
    </row>
    <row r="1265">
      <c r="A1265" s="5" t="inlineStr">
        <is>
          <t>CC-094</t>
        </is>
      </c>
      <c r="B1265" s="2" t="inlineStr">
        <is>
          <t>CC-094:18</t>
        </is>
      </c>
      <c r="C1265" s="2" t="inlineStr">
        <is>
          <t>Malta 2030 WAM rescaled to reviewed 2023, vs 2005</t>
        </is>
      </c>
      <c r="D1265" s="2" t="inlineStr">
        <is>
          <t>26.4</t>
        </is>
      </c>
      <c r="E1265" s="2" t="inlineStr">
        <is>
          <t>%</t>
        </is>
      </c>
      <c r="F1265" s="2" t="inlineStr">
        <is>
          <t>calculated</t>
        </is>
      </c>
      <c r="G1265" s="2" t="inlineStr">
        <is>
          <t>sensitivity: projection x (reviewed 2023 / projected 2023)</t>
        </is>
      </c>
      <c r="H1265" s="2" t="inlineStr"/>
    </row>
    <row r="1266">
      <c r="A1266" s="5" t="inlineStr">
        <is>
          <t>CC-094</t>
        </is>
      </c>
      <c r="B1266" s="2" t="inlineStr">
        <is>
          <t>CC-094:19</t>
        </is>
      </c>
      <c r="C1266" s="2" t="inlineStr">
        <is>
          <t>Malta 2030 WEM, 2023 submission, vs 2005</t>
        </is>
      </c>
      <c r="D1266" s="2" t="inlineStr">
        <is>
          <t>46.3</t>
        </is>
      </c>
      <c r="E1266" s="2" t="inlineStr">
        <is>
          <t>%</t>
        </is>
      </c>
      <c r="F1266" s="2" t="inlineStr">
        <is>
          <t>EEA, GHG projections 2023 submission (GHG_projections_2025_EEA_incl_pivots.xlsx), retrieved 6 Oct 2026</t>
        </is>
      </c>
      <c r="G1266" s="2" t="inlineStr">
        <is>
          <t>1493.2 kt</t>
        </is>
      </c>
      <c r="H1266" s="2" t="inlineStr"/>
    </row>
    <row r="1267">
      <c r="A1267" s="5" t="inlineStr">
        <is>
          <t>CC-094</t>
        </is>
      </c>
      <c r="B1267" s="2" t="inlineStr">
        <is>
          <t>CC-094:20</t>
        </is>
      </c>
      <c r="C1267" s="2" t="inlineStr">
        <is>
          <t>Malta 2030 WAM, 2023 submission, vs 2005</t>
        </is>
      </c>
      <c r="D1267" s="2" t="inlineStr">
        <is>
          <t>46.3</t>
        </is>
      </c>
      <c r="E1267" s="2" t="inlineStr">
        <is>
          <t>%</t>
        </is>
      </c>
      <c r="F1267" s="2" t="inlineStr">
        <is>
          <t>EEA, GHG projections 2023 submission (GHG_projections_2025_EEA_incl_pivots.xlsx), retrieved 6 Oct 2026</t>
        </is>
      </c>
      <c r="G1267" s="2" t="inlineStr">
        <is>
          <t>1493.2 kt</t>
        </is>
      </c>
      <c r="H1267" s="2" t="inlineStr"/>
    </row>
    <row r="1268">
      <c r="A1268" s="5" t="inlineStr">
        <is>
          <t>CC-094</t>
        </is>
      </c>
      <c r="B1268" s="2" t="inlineStr">
        <is>
          <t>CC-094:21</t>
        </is>
      </c>
      <c r="C1268" s="2" t="inlineStr">
        <is>
          <t>Malta effort-sharing emissions 2021 vs 2005</t>
        </is>
      </c>
      <c r="D1268" s="2" t="inlineStr">
        <is>
          <t>29.8</t>
        </is>
      </c>
      <c r="E1268" s="2" t="inlineStr">
        <is>
          <t>%</t>
        </is>
      </c>
      <c r="F1268" s="2" t="inlineStr">
        <is>
          <t>EEA, ESR emissions 2005-2024 (GHG_ESD-ESR_2025.xlsx), retrieved 6 Oct 2026</t>
        </is>
      </c>
      <c r="G1268" s="2" t="inlineStr">
        <is>
          <t>1324.7 kt; ESR review (2025 comprehensive review); SWD Table 25: 30%</t>
        </is>
      </c>
      <c r="H1268" s="2" t="inlineStr"/>
    </row>
    <row r="1269">
      <c r="A1269" s="5" t="inlineStr">
        <is>
          <t>CC-094</t>
        </is>
      </c>
      <c r="B1269" s="2" t="inlineStr">
        <is>
          <t>CC-094:22</t>
        </is>
      </c>
      <c r="C1269" s="2" t="inlineStr">
        <is>
          <t>Malta effort-sharing emissions 2022 vs 2005</t>
        </is>
      </c>
      <c r="D1269" s="2" t="inlineStr">
        <is>
          <t>43.0</t>
        </is>
      </c>
      <c r="E1269" s="2" t="inlineStr">
        <is>
          <t>%</t>
        </is>
      </c>
      <c r="F1269" s="2" t="inlineStr">
        <is>
          <t>EEA, ESR emissions 2005-2024 (GHG_ESD-ESR_2025.xlsx), retrieved 6 Oct 2026</t>
        </is>
      </c>
      <c r="G1269" s="2" t="inlineStr">
        <is>
          <t>1459.7 kt; ESR review (2025 comprehensive review); SWD Table 25: 43%</t>
        </is>
      </c>
      <c r="H1269" s="2" t="inlineStr"/>
    </row>
    <row r="1270">
      <c r="A1270" s="5" t="inlineStr">
        <is>
          <t>CC-094</t>
        </is>
      </c>
      <c r="B1270" s="2" t="inlineStr">
        <is>
          <t>CC-094:23</t>
        </is>
      </c>
      <c r="C1270" s="2" t="inlineStr">
        <is>
          <t>Malta effort-sharing emissions 2023 vs 2005</t>
        </is>
      </c>
      <c r="D1270" s="2" t="inlineStr">
        <is>
          <t>41.6</t>
        </is>
      </c>
      <c r="E1270" s="2" t="inlineStr">
        <is>
          <t>%</t>
        </is>
      </c>
      <c r="F1270" s="2" t="inlineStr">
        <is>
          <t>EEA, ESR emissions 2005-2024 (GHG_ESD-ESR_2025.xlsx), retrieved 6 Oct 2026</t>
        </is>
      </c>
      <c r="G1270" s="2" t="inlineStr">
        <is>
          <t>1445.0 kt; ESR review (2025 comprehensive review); SWD Table 25: 42%</t>
        </is>
      </c>
      <c r="H1270" s="2" t="inlineStr"/>
    </row>
    <row r="1271">
      <c r="A1271" s="5" t="inlineStr">
        <is>
          <t>CC-094</t>
        </is>
      </c>
      <c r="B1271" s="2" t="inlineStr">
        <is>
          <t>CC-094:24</t>
        </is>
      </c>
      <c r="C1271" s="2" t="inlineStr">
        <is>
          <t>Malta effort-sharing emissions 2024 vs 2005</t>
        </is>
      </c>
      <c r="D1271" s="2" t="inlineStr">
        <is>
          <t>40.8</t>
        </is>
      </c>
      <c r="E1271" s="2" t="inlineStr">
        <is>
          <t>%</t>
        </is>
      </c>
      <c r="F1271" s="2" t="inlineStr">
        <is>
          <t>EEA, ESR emissions 2005-2024 (GHG_ESD-ESR_2025.xlsx), retrieved 6 Oct 2026</t>
        </is>
      </c>
      <c r="G1271" s="2" t="inlineStr">
        <is>
          <t>1437.4 kt; approximated inventory (proxy); SWD Table 25: 41%</t>
        </is>
      </c>
      <c r="H1271" s="2" t="inlineStr"/>
    </row>
    <row r="1272">
      <c r="A1272" s="5" t="inlineStr">
        <is>
          <t>CC-094</t>
        </is>
      </c>
      <c r="B1272" s="2" t="inlineStr">
        <is>
          <t>CC-094:25</t>
        </is>
      </c>
      <c r="C1272" s="2" t="inlineStr">
        <is>
          <t>Malta 2021: emissions minus annual allocation</t>
        </is>
      </c>
      <c r="D1272" s="2" t="inlineStr">
        <is>
          <t>-740.3</t>
        </is>
      </c>
      <c r="E1272" s="2" t="inlineStr">
        <is>
          <t>kt CO2e</t>
        </is>
      </c>
      <c r="F1272" s="2" t="inlineStr">
        <is>
          <t>calculated</t>
        </is>
      </c>
      <c r="G1272" s="2" t="inlineStr">
        <is>
          <t>allocation 2065.0 kt</t>
        </is>
      </c>
      <c r="H1272" s="2" t="inlineStr"/>
    </row>
    <row r="1273">
      <c r="A1273" s="5" t="inlineStr">
        <is>
          <t>CC-094</t>
        </is>
      </c>
      <c r="B1273" s="2" t="inlineStr">
        <is>
          <t>CC-094:26</t>
        </is>
      </c>
      <c r="C1273" s="2" t="inlineStr">
        <is>
          <t>Malta 2022: emissions minus annual allocation</t>
        </is>
      </c>
      <c r="D1273" s="2" t="inlineStr">
        <is>
          <t>220.3</t>
        </is>
      </c>
      <c r="E1273" s="2" t="inlineStr">
        <is>
          <t>kt CO2e</t>
        </is>
      </c>
      <c r="F1273" s="2" t="inlineStr">
        <is>
          <t>calculated</t>
        </is>
      </c>
      <c r="G1273" s="2" t="inlineStr">
        <is>
          <t>allocation 1239.4 kt</t>
        </is>
      </c>
      <c r="H1273" s="2" t="inlineStr"/>
    </row>
    <row r="1274">
      <c r="A1274" s="5" t="inlineStr">
        <is>
          <t>CC-094</t>
        </is>
      </c>
      <c r="B1274" s="2" t="inlineStr">
        <is>
          <t>CC-094:27</t>
        </is>
      </c>
      <c r="C1274" s="2" t="inlineStr">
        <is>
          <t>Malta 2023: emissions minus annual allocation</t>
        </is>
      </c>
      <c r="D1274" s="2" t="inlineStr">
        <is>
          <t>257.2</t>
        </is>
      </c>
      <c r="E1274" s="2" t="inlineStr">
        <is>
          <t>kt CO2e</t>
        </is>
      </c>
      <c r="F1274" s="2" t="inlineStr">
        <is>
          <t>calculated</t>
        </is>
      </c>
      <c r="G1274" s="2" t="inlineStr">
        <is>
          <t>allocation 1187.9 kt</t>
        </is>
      </c>
      <c r="H1274" s="2" t="inlineStr"/>
    </row>
    <row r="1275">
      <c r="A1275" s="5" t="inlineStr">
        <is>
          <t>CC-094</t>
        </is>
      </c>
      <c r="B1275" s="2" t="inlineStr">
        <is>
          <t>CC-094:28</t>
        </is>
      </c>
      <c r="C1275" s="2" t="inlineStr">
        <is>
          <t>Malta 2024: emissions minus annual allocation</t>
        </is>
      </c>
      <c r="D1275" s="2" t="inlineStr">
        <is>
          <t>301.2</t>
        </is>
      </c>
      <c r="E1275" s="2" t="inlineStr">
        <is>
          <t>kt CO2e</t>
        </is>
      </c>
      <c r="F1275" s="2" t="inlineStr">
        <is>
          <t>calculated</t>
        </is>
      </c>
      <c r="G1275" s="2" t="inlineStr">
        <is>
          <t>allocation 1136.3 kt</t>
        </is>
      </c>
      <c r="H1275" s="2" t="inlineStr"/>
    </row>
    <row r="1276">
      <c r="A1276" s="5" t="inlineStr">
        <is>
          <t>CC-094</t>
        </is>
      </c>
      <c r="B1276" s="2" t="inlineStr">
        <is>
          <t>CC-094:29</t>
        </is>
      </c>
      <c r="C1276" s="2" t="inlineStr">
        <is>
          <t>2024 approximated emissions vs the 2025 projection's value for 2024</t>
        </is>
      </c>
      <c r="D1276" s="2" t="inlineStr">
        <is>
          <t>-3.3</t>
        </is>
      </c>
      <c r="E1276" s="2" t="inlineStr">
        <is>
          <t>%</t>
        </is>
      </c>
      <c r="F1276" s="2" t="inlineStr">
        <is>
          <t>calculated</t>
        </is>
      </c>
      <c r="G1276" s="2" t="inlineStr">
        <is>
          <t>1437.4 vs 1487.2 kt (WEM = WAM in 2024)</t>
        </is>
      </c>
      <c r="H1276" s="2" t="inlineStr"/>
    </row>
    <row r="1277">
      <c r="A1277" s="5" t="inlineStr">
        <is>
          <t>CC-094</t>
        </is>
      </c>
      <c r="B1277" s="2" t="inlineStr">
        <is>
          <t>CC-094:30</t>
        </is>
      </c>
      <c r="C1277" s="2" t="inlineStr">
        <is>
          <t>WAM 2030 projection minus the 2005 level</t>
        </is>
      </c>
      <c r="D1277" s="2" t="inlineStr">
        <is>
          <t>303.2</t>
        </is>
      </c>
      <c r="E1277" s="2" t="inlineStr">
        <is>
          <t>kt CO2e</t>
        </is>
      </c>
      <c r="F1277" s="2" t="inlineStr">
        <is>
          <t>calculated</t>
        </is>
      </c>
      <c r="G1277" s="2" t="inlineStr">
        <is>
          <t>how far 2030 sits above 2005 with planned measures</t>
        </is>
      </c>
      <c r="H1277" s="2" t="inlineStr"/>
    </row>
    <row r="1278">
      <c r="A1278" s="5" t="inlineStr">
        <is>
          <t>CC-094</t>
        </is>
      </c>
      <c r="B1278" s="2" t="inlineStr">
        <is>
          <t>CC-094:31</t>
        </is>
      </c>
      <c r="C1278" s="2" t="inlineStr">
        <is>
          <t>Cut needed from 2024 to reach the 2030 limit</t>
        </is>
      </c>
      <c r="D1278" s="2" t="inlineStr">
        <is>
          <t>-42.5</t>
        </is>
      </c>
      <c r="E1278" s="2" t="inlineStr">
        <is>
          <t>%</t>
        </is>
      </c>
      <c r="F1278" s="2" t="inlineStr">
        <is>
          <t>calculated</t>
        </is>
      </c>
      <c r="G1278" s="2" t="inlineStr">
        <is>
          <t>1437.4 -&gt; 826.7 kt; -8.8% a year</t>
        </is>
      </c>
      <c r="H1278" s="2" t="inlineStr"/>
    </row>
    <row r="1279">
      <c r="A1279" s="5" t="inlineStr">
        <is>
          <t>CC-094</t>
        </is>
      </c>
      <c r="B1279" s="2" t="inlineStr">
        <is>
          <t>CC-094:32</t>
        </is>
      </c>
      <c r="C1279" s="2" t="inlineStr">
        <is>
          <t>Malta effort-sharing emissions, average yearly change 2005-2024</t>
        </is>
      </c>
      <c r="D1279" s="2" t="inlineStr">
        <is>
          <t>1.8</t>
        </is>
      </c>
      <c r="E1279" s="2" t="inlineStr">
        <is>
          <t>% a year</t>
        </is>
      </c>
      <c r="F1279" s="2" t="inlineStr">
        <is>
          <t>calculated</t>
        </is>
      </c>
      <c r="G1279" s="2" t="inlineStr">
        <is>
          <t>from the 2005 base to the 2024 approximated value</t>
        </is>
      </c>
      <c r="H1279" s="2" t="inlineStr"/>
    </row>
    <row r="1280">
      <c r="A1280" s="5" t="inlineStr">
        <is>
          <t>CC-094</t>
        </is>
      </c>
      <c r="B1280" s="2" t="inlineStr">
        <is>
          <t>CC-094:33</t>
        </is>
      </c>
      <c r="C1280" s="2" t="inlineStr">
        <is>
          <t>Projected change 2024-2030, WAM</t>
        </is>
      </c>
      <c r="D1280" s="2" t="inlineStr">
        <is>
          <t>-7.9</t>
        </is>
      </c>
      <c r="E1280" s="2" t="inlineStr">
        <is>
          <t>%</t>
        </is>
      </c>
      <c r="F1280" s="2" t="inlineStr">
        <is>
          <t>calculated</t>
        </is>
      </c>
      <c r="G1280" s="2" t="inlineStr"/>
      <c r="H1280" s="2" t="inlineStr"/>
    </row>
    <row r="1281">
      <c r="A1281" s="5" t="inlineStr">
        <is>
          <t>CC-094</t>
        </is>
      </c>
      <c r="B1281" s="2" t="inlineStr">
        <is>
          <t>CC-094:34</t>
        </is>
      </c>
      <c r="C1281" s="2" t="inlineStr">
        <is>
          <t>Projected change 2024-2030, WEM</t>
        </is>
      </c>
      <c r="D1281" s="2" t="inlineStr">
        <is>
          <t>0.9</t>
        </is>
      </c>
      <c r="E1281" s="2" t="inlineStr">
        <is>
          <t>%</t>
        </is>
      </c>
      <c r="F1281" s="2" t="inlineStr">
        <is>
          <t>calculated</t>
        </is>
      </c>
      <c r="G1281" s="2" t="inlineStr"/>
      <c r="H1281" s="2" t="inlineStr"/>
    </row>
    <row r="1282">
      <c r="A1282" s="5" t="inlineStr">
        <is>
          <t>CC-094</t>
        </is>
      </c>
      <c r="B1282" s="2" t="inlineStr">
        <is>
          <t>CC-094:35</t>
        </is>
      </c>
      <c r="C1282" s="2" t="inlineStr">
        <is>
          <t>Malta effort-sharing emissions per person, 2005</t>
        </is>
      </c>
      <c r="D1282" s="2" t="inlineStr">
        <is>
          <t>2.53</t>
        </is>
      </c>
      <c r="E1282" s="2" t="inlineStr">
        <is>
          <t>t CO2e</t>
        </is>
      </c>
      <c r="F1282" s="2" t="inlineStr">
        <is>
          <t>calculated</t>
        </is>
      </c>
      <c r="G1282" s="2" t="inlineStr">
        <is>
          <t>1020.6 kt / 403.94 thousand people (Eurostat nama_10_pe)</t>
        </is>
      </c>
      <c r="H1282" s="2" t="inlineStr"/>
    </row>
    <row r="1283">
      <c r="A1283" s="5" t="inlineStr">
        <is>
          <t>CC-094</t>
        </is>
      </c>
      <c r="B1283" s="2" t="inlineStr">
        <is>
          <t>CC-094:36</t>
        </is>
      </c>
      <c r="C1283" s="2" t="inlineStr">
        <is>
          <t>Malta effort-sharing emissions per person, 2024</t>
        </is>
      </c>
      <c r="D1283" s="2" t="inlineStr">
        <is>
          <t>2.53</t>
        </is>
      </c>
      <c r="E1283" s="2" t="inlineStr">
        <is>
          <t>t CO2e</t>
        </is>
      </c>
      <c r="F1283" s="2" t="inlineStr">
        <is>
          <t>calculated</t>
        </is>
      </c>
      <c r="G1283" s="2" t="inlineStr">
        <is>
          <t>1437.4 kt / 569.25 thousand people (Eurostat nama_10_pe)</t>
        </is>
      </c>
      <c r="H1283" s="2" t="inlineStr"/>
    </row>
    <row r="1284">
      <c r="A1284" s="5" t="inlineStr">
        <is>
          <t>CC-094</t>
        </is>
      </c>
      <c r="B1284" s="2" t="inlineStr">
        <is>
          <t>CC-094:37</t>
        </is>
      </c>
      <c r="C1284" s="2" t="inlineStr">
        <is>
          <t>Change per person 2005-2024</t>
        </is>
      </c>
      <c r="D1284" s="2" t="inlineStr">
        <is>
          <t>-0.1</t>
        </is>
      </c>
      <c r="E1284" s="2" t="inlineStr">
        <is>
          <t>%</t>
        </is>
      </c>
      <c r="F1284" s="2" t="inlineStr">
        <is>
          <t>calculated</t>
        </is>
      </c>
      <c r="G1284" s="2" t="inlineStr">
        <is>
          <t>CC-003 proxy (national total minus power generation): 2.50 -&gt; 2.52 t</t>
        </is>
      </c>
      <c r="H1284" s="2" t="inlineStr"/>
    </row>
    <row r="1285">
      <c r="A1285" s="5" t="inlineStr">
        <is>
          <t>CC-094</t>
        </is>
      </c>
      <c r="B1285" s="2" t="inlineStr">
        <is>
          <t>CC-094:38</t>
        </is>
      </c>
      <c r="C1285" s="2" t="inlineStr">
        <is>
          <t>Population change 2005-2024</t>
        </is>
      </c>
      <c r="D1285" s="2" t="inlineStr">
        <is>
          <t>40.9</t>
        </is>
      </c>
      <c r="E1285" s="2" t="inlineStr">
        <is>
          <t>%</t>
        </is>
      </c>
      <c r="F1285" s="2" t="inlineStr">
        <is>
          <t>Eurostat nama_10_pe (via data/cc-003)</t>
        </is>
      </c>
      <c r="G1285" s="2" t="inlineStr"/>
      <c r="H1285" s="2" t="inlineStr"/>
    </row>
    <row r="1286">
      <c r="A1286" s="5" t="inlineStr">
        <is>
          <t>CC-094</t>
        </is>
      </c>
      <c r="B1286" s="2" t="inlineStr">
        <is>
          <t>CC-094:39</t>
        </is>
      </c>
      <c r="C1286" s="2" t="inlineStr">
        <is>
          <t>2030 limit per person at the 2024 population</t>
        </is>
      </c>
      <c r="D1286" s="2" t="inlineStr">
        <is>
          <t>1.45</t>
        </is>
      </c>
      <c r="E1286" s="2" t="inlineStr">
        <is>
          <t>t CO2e</t>
        </is>
      </c>
      <c r="F1286" s="2" t="inlineStr">
        <is>
          <t>calculated</t>
        </is>
      </c>
      <c r="G1286" s="2" t="inlineStr"/>
      <c r="H1286" s="2" t="inlineStr"/>
    </row>
    <row r="1287">
      <c r="A1287" s="5" t="inlineStr">
        <is>
          <t>CC-094</t>
        </is>
      </c>
      <c r="B1287" s="2" t="inlineStr">
        <is>
          <t>CC-094:40</t>
        </is>
      </c>
      <c r="C1287" s="2" t="inlineStr">
        <is>
          <t>WEM 2023: Transport</t>
        </is>
      </c>
      <c r="D1287" s="2" t="inlineStr">
        <is>
          <t>744.9</t>
        </is>
      </c>
      <c r="E1287" s="2" t="inlineStr">
        <is>
          <t>kt CO2e</t>
        </is>
      </c>
      <c r="F1287" s="2" t="inlineStr">
        <is>
          <t>EEA, GHG projections 2025 submission (GHG_projections_2025_EEA_incl_pivots.xlsx), retrieved 6 Oct 2026</t>
        </is>
      </c>
      <c r="G1287" s="2" t="inlineStr">
        <is>
          <t>50% of the total</t>
        </is>
      </c>
      <c r="H1287" s="2" t="inlineStr"/>
    </row>
    <row r="1288">
      <c r="A1288" s="5" t="inlineStr">
        <is>
          <t>CC-094</t>
        </is>
      </c>
      <c r="B1288" s="2" t="inlineStr">
        <is>
          <t>CC-094:41</t>
        </is>
      </c>
      <c r="C1288" s="2" t="inlineStr">
        <is>
          <t>WEM 2023: Manufacturing and construction (fuel)</t>
        </is>
      </c>
      <c r="D1288" s="2" t="inlineStr">
        <is>
          <t>100.3</t>
        </is>
      </c>
      <c r="E1288" s="2" t="inlineStr">
        <is>
          <t>kt CO2e</t>
        </is>
      </c>
      <c r="F1288" s="2" t="inlineStr">
        <is>
          <t>EEA, GHG projections 2025 submission (GHG_projections_2025_EEA_incl_pivots.xlsx), retrieved 6 Oct 2026</t>
        </is>
      </c>
      <c r="G1288" s="2" t="inlineStr">
        <is>
          <t>7% of the total</t>
        </is>
      </c>
      <c r="H1288" s="2" t="inlineStr"/>
    </row>
    <row r="1289">
      <c r="A1289" s="5" t="inlineStr">
        <is>
          <t>CC-094</t>
        </is>
      </c>
      <c r="B1289" s="2" t="inlineStr">
        <is>
          <t>CC-094:42</t>
        </is>
      </c>
      <c r="C1289" s="2" t="inlineStr">
        <is>
          <t>WEM 2023: Industrial processes (mainly F-gases)</t>
        </is>
      </c>
      <c r="D1289" s="2" t="inlineStr">
        <is>
          <t>208.7</t>
        </is>
      </c>
      <c r="E1289" s="2" t="inlineStr">
        <is>
          <t>kt CO2e</t>
        </is>
      </c>
      <c r="F1289" s="2" t="inlineStr">
        <is>
          <t>EEA, GHG projections 2025 submission (GHG_projections_2025_EEA_incl_pivots.xlsx), retrieved 6 Oct 2026</t>
        </is>
      </c>
      <c r="G1289" s="2" t="inlineStr">
        <is>
          <t>14% of the total</t>
        </is>
      </c>
      <c r="H1289" s="2" t="inlineStr"/>
    </row>
    <row r="1290">
      <c r="A1290" s="5" t="inlineStr">
        <is>
          <t>CC-094</t>
        </is>
      </c>
      <c r="B1290" s="2" t="inlineStr">
        <is>
          <t>CC-094:43</t>
        </is>
      </c>
      <c r="C1290" s="2" t="inlineStr">
        <is>
          <t>WEM 2023: Agriculture</t>
        </is>
      </c>
      <c r="D1290" s="2" t="inlineStr">
        <is>
          <t>86.6</t>
        </is>
      </c>
      <c r="E1290" s="2" t="inlineStr">
        <is>
          <t>kt CO2e</t>
        </is>
      </c>
      <c r="F1290" s="2" t="inlineStr">
        <is>
          <t>EEA, GHG projections 2025 submission (GHG_projections_2025_EEA_incl_pivots.xlsx), retrieved 6 Oct 2026</t>
        </is>
      </c>
      <c r="G1290" s="2" t="inlineStr">
        <is>
          <t>6% of the total</t>
        </is>
      </c>
      <c r="H1290" s="2" t="inlineStr"/>
    </row>
    <row r="1291">
      <c r="A1291" s="5" t="inlineStr">
        <is>
          <t>CC-094</t>
        </is>
      </c>
      <c r="B1291" s="2" t="inlineStr">
        <is>
          <t>CC-094:44</t>
        </is>
      </c>
      <c r="C1291" s="2" t="inlineStr">
        <is>
          <t>WEM 2023: Waste</t>
        </is>
      </c>
      <c r="D1291" s="2" t="inlineStr">
        <is>
          <t>186.8</t>
        </is>
      </c>
      <c r="E1291" s="2" t="inlineStr">
        <is>
          <t>kt CO2e</t>
        </is>
      </c>
      <c r="F1291" s="2" t="inlineStr">
        <is>
          <t>EEA, GHG projections 2025 submission (GHG_projections_2025_EEA_incl_pivots.xlsx), retrieved 6 Oct 2026</t>
        </is>
      </c>
      <c r="G1291" s="2" t="inlineStr">
        <is>
          <t>13% of the total</t>
        </is>
      </c>
      <c r="H1291" s="2" t="inlineStr"/>
    </row>
    <row r="1292">
      <c r="A1292" s="5" t="inlineStr">
        <is>
          <t>CC-094</t>
        </is>
      </c>
      <c r="B1292" s="2" t="inlineStr">
        <is>
          <t>CC-094:45</t>
        </is>
      </c>
      <c r="C1292" s="2" t="inlineStr">
        <is>
          <t>WEM 2023: Buildings and other fuel use</t>
        </is>
      </c>
      <c r="D1292" s="2" t="inlineStr">
        <is>
          <t>155.1</t>
        </is>
      </c>
      <c r="E1292" s="2" t="inlineStr">
        <is>
          <t>kt CO2e</t>
        </is>
      </c>
      <c r="F1292" s="2" t="inlineStr">
        <is>
          <t>EEA, GHG projections 2025 submission (GHG_projections_2025_EEA_incl_pivots.xlsx), retrieved 6 Oct 2026</t>
        </is>
      </c>
      <c r="G1292" s="2" t="inlineStr">
        <is>
          <t>10% of the total; 1. Energy minus 1.A.3 and 1.A.2</t>
        </is>
      </c>
      <c r="H1292" s="2" t="inlineStr"/>
    </row>
    <row r="1293">
      <c r="A1293" s="5" t="inlineStr">
        <is>
          <t>CC-094</t>
        </is>
      </c>
      <c r="B1293" s="2" t="inlineStr">
        <is>
          <t>CC-094:46</t>
        </is>
      </c>
      <c r="C1293" s="2" t="inlineStr">
        <is>
          <t>WEM 2023: sum of sectors minus total</t>
        </is>
      </c>
      <c r="D1293" s="2" t="inlineStr">
        <is>
          <t>0.0</t>
        </is>
      </c>
      <c r="E1293" s="2" t="inlineStr">
        <is>
          <t>kt CO2e</t>
        </is>
      </c>
      <c r="F1293" s="2" t="inlineStr">
        <is>
          <t>calculated</t>
        </is>
      </c>
      <c r="G1293" s="2" t="inlineStr">
        <is>
          <t>should be 0</t>
        </is>
      </c>
      <c r="H1293" s="2" t="inlineStr"/>
    </row>
    <row r="1294">
      <c r="A1294" s="5" t="inlineStr">
        <is>
          <t>CC-094</t>
        </is>
      </c>
      <c r="B1294" s="2" t="inlineStr">
        <is>
          <t>CC-094:47</t>
        </is>
      </c>
      <c r="C1294" s="2" t="inlineStr">
        <is>
          <t>WEM 2030: Transport</t>
        </is>
      </c>
      <c r="D1294" s="2" t="inlineStr">
        <is>
          <t>737.2</t>
        </is>
      </c>
      <c r="E1294" s="2" t="inlineStr">
        <is>
          <t>kt CO2e</t>
        </is>
      </c>
      <c r="F1294" s="2" t="inlineStr">
        <is>
          <t>EEA, GHG projections 2025 submission (GHG_projections_2025_EEA_incl_pivots.xlsx), retrieved 6 Oct 2026</t>
        </is>
      </c>
      <c r="G1294" s="2" t="inlineStr">
        <is>
          <t>51% of the total</t>
        </is>
      </c>
      <c r="H1294" s="2" t="inlineStr"/>
    </row>
    <row r="1295">
      <c r="A1295" s="5" t="inlineStr">
        <is>
          <t>CC-094</t>
        </is>
      </c>
      <c r="B1295" s="2" t="inlineStr">
        <is>
          <t>CC-094:48</t>
        </is>
      </c>
      <c r="C1295" s="2" t="inlineStr">
        <is>
          <t>WEM 2030: Manufacturing and construction (fuel)</t>
        </is>
      </c>
      <c r="D1295" s="2" t="inlineStr">
        <is>
          <t>115.9</t>
        </is>
      </c>
      <c r="E1295" s="2" t="inlineStr">
        <is>
          <t>kt CO2e</t>
        </is>
      </c>
      <c r="F1295" s="2" t="inlineStr">
        <is>
          <t>EEA, GHG projections 2025 submission (GHG_projections_2025_EEA_incl_pivots.xlsx), retrieved 6 Oct 2026</t>
        </is>
      </c>
      <c r="G1295" s="2" t="inlineStr">
        <is>
          <t>8% of the total</t>
        </is>
      </c>
      <c r="H1295" s="2" t="inlineStr"/>
    </row>
    <row r="1296">
      <c r="A1296" s="5" t="inlineStr">
        <is>
          <t>CC-094</t>
        </is>
      </c>
      <c r="B1296" s="2" t="inlineStr">
        <is>
          <t>CC-094:49</t>
        </is>
      </c>
      <c r="C1296" s="2" t="inlineStr">
        <is>
          <t>WEM 2030: Industrial processes (mainly F-gases)</t>
        </is>
      </c>
      <c r="D1296" s="2" t="inlineStr">
        <is>
          <t>197.5</t>
        </is>
      </c>
      <c r="E1296" s="2" t="inlineStr">
        <is>
          <t>kt CO2e</t>
        </is>
      </c>
      <c r="F1296" s="2" t="inlineStr">
        <is>
          <t>EEA, GHG projections 2025 submission (GHG_projections_2025_EEA_incl_pivots.xlsx), retrieved 6 Oct 2026</t>
        </is>
      </c>
      <c r="G1296" s="2" t="inlineStr">
        <is>
          <t>14% of the total</t>
        </is>
      </c>
      <c r="H1296" s="2" t="inlineStr"/>
    </row>
    <row r="1297">
      <c r="A1297" s="5" t="inlineStr">
        <is>
          <t>CC-094</t>
        </is>
      </c>
      <c r="B1297" s="2" t="inlineStr">
        <is>
          <t>CC-094:50</t>
        </is>
      </c>
      <c r="C1297" s="2" t="inlineStr">
        <is>
          <t>WEM 2030: Agriculture</t>
        </is>
      </c>
      <c r="D1297" s="2" t="inlineStr">
        <is>
          <t>77.6</t>
        </is>
      </c>
      <c r="E1297" s="2" t="inlineStr">
        <is>
          <t>kt CO2e</t>
        </is>
      </c>
      <c r="F1297" s="2" t="inlineStr">
        <is>
          <t>EEA, GHG projections 2025 submission (GHG_projections_2025_EEA_incl_pivots.xlsx), retrieved 6 Oct 2026</t>
        </is>
      </c>
      <c r="G1297" s="2" t="inlineStr">
        <is>
          <t>5% of the total</t>
        </is>
      </c>
      <c r="H1297" s="2" t="inlineStr"/>
    </row>
    <row r="1298">
      <c r="A1298" s="5" t="inlineStr">
        <is>
          <t>CC-094</t>
        </is>
      </c>
      <c r="B1298" s="2" t="inlineStr">
        <is>
          <t>CC-094:51</t>
        </is>
      </c>
      <c r="C1298" s="2" t="inlineStr">
        <is>
          <t>WEM 2030: Waste</t>
        </is>
      </c>
      <c r="D1298" s="2" t="inlineStr">
        <is>
          <t>165.3</t>
        </is>
      </c>
      <c r="E1298" s="2" t="inlineStr">
        <is>
          <t>kt CO2e</t>
        </is>
      </c>
      <c r="F1298" s="2" t="inlineStr">
        <is>
          <t>EEA, GHG projections 2025 submission (GHG_projections_2025_EEA_incl_pivots.xlsx), retrieved 6 Oct 2026</t>
        </is>
      </c>
      <c r="G1298" s="2" t="inlineStr">
        <is>
          <t>11% of the total</t>
        </is>
      </c>
      <c r="H1298" s="2" t="inlineStr"/>
    </row>
    <row r="1299">
      <c r="A1299" s="5" t="inlineStr">
        <is>
          <t>CC-094</t>
        </is>
      </c>
      <c r="B1299" s="2" t="inlineStr">
        <is>
          <t>CC-094:52</t>
        </is>
      </c>
      <c r="C1299" s="2" t="inlineStr">
        <is>
          <t>WEM 2030: Buildings and other fuel use</t>
        </is>
      </c>
      <c r="D1299" s="2" t="inlineStr">
        <is>
          <t>156.6</t>
        </is>
      </c>
      <c r="E1299" s="2" t="inlineStr">
        <is>
          <t>kt CO2e</t>
        </is>
      </c>
      <c r="F1299" s="2" t="inlineStr">
        <is>
          <t>EEA, GHG projections 2025 submission (GHG_projections_2025_EEA_incl_pivots.xlsx), retrieved 6 Oct 2026</t>
        </is>
      </c>
      <c r="G1299" s="2" t="inlineStr">
        <is>
          <t>11% of the total; 1. Energy minus 1.A.3 and 1.A.2</t>
        </is>
      </c>
      <c r="H1299" s="2" t="inlineStr"/>
    </row>
    <row r="1300">
      <c r="A1300" s="5" t="inlineStr">
        <is>
          <t>CC-094</t>
        </is>
      </c>
      <c r="B1300" s="2" t="inlineStr">
        <is>
          <t>CC-094:53</t>
        </is>
      </c>
      <c r="C1300" s="2" t="inlineStr">
        <is>
          <t>WEM 2030: sum of sectors minus total</t>
        </is>
      </c>
      <c r="D1300" s="2" t="inlineStr">
        <is>
          <t>0.0</t>
        </is>
      </c>
      <c r="E1300" s="2" t="inlineStr">
        <is>
          <t>kt CO2e</t>
        </is>
      </c>
      <c r="F1300" s="2" t="inlineStr">
        <is>
          <t>calculated</t>
        </is>
      </c>
      <c r="G1300" s="2" t="inlineStr">
        <is>
          <t>should be 0</t>
        </is>
      </c>
      <c r="H1300" s="2" t="inlineStr"/>
    </row>
    <row r="1301">
      <c r="A1301" s="5" t="inlineStr">
        <is>
          <t>CC-094</t>
        </is>
      </c>
      <c r="B1301" s="2" t="inlineStr">
        <is>
          <t>CC-094:54</t>
        </is>
      </c>
      <c r="C1301" s="2" t="inlineStr">
        <is>
          <t>WAM 2023: Transport</t>
        </is>
      </c>
      <c r="D1301" s="2" t="inlineStr">
        <is>
          <t>744.9</t>
        </is>
      </c>
      <c r="E1301" s="2" t="inlineStr">
        <is>
          <t>kt CO2e</t>
        </is>
      </c>
      <c r="F1301" s="2" t="inlineStr">
        <is>
          <t>EEA, GHG projections 2025 submission (GHG_projections_2025_EEA_incl_pivots.xlsx), retrieved 6 Oct 2026</t>
        </is>
      </c>
      <c r="G1301" s="2" t="inlineStr">
        <is>
          <t>50% of the total</t>
        </is>
      </c>
      <c r="H1301" s="2" t="inlineStr"/>
    </row>
    <row r="1302">
      <c r="A1302" s="5" t="inlineStr">
        <is>
          <t>CC-094</t>
        </is>
      </c>
      <c r="B1302" s="2" t="inlineStr">
        <is>
          <t>CC-094:55</t>
        </is>
      </c>
      <c r="C1302" s="2" t="inlineStr">
        <is>
          <t>WAM 2023: Manufacturing and construction (fuel)</t>
        </is>
      </c>
      <c r="D1302" s="2" t="inlineStr">
        <is>
          <t>100.3</t>
        </is>
      </c>
      <c r="E1302" s="2" t="inlineStr">
        <is>
          <t>kt CO2e</t>
        </is>
      </c>
      <c r="F1302" s="2" t="inlineStr">
        <is>
          <t>EEA, GHG projections 2025 submission (GHG_projections_2025_EEA_incl_pivots.xlsx), retrieved 6 Oct 2026</t>
        </is>
      </c>
      <c r="G1302" s="2" t="inlineStr">
        <is>
          <t>7% of the total</t>
        </is>
      </c>
      <c r="H1302" s="2" t="inlineStr"/>
    </row>
    <row r="1303">
      <c r="A1303" s="5" t="inlineStr">
        <is>
          <t>CC-094</t>
        </is>
      </c>
      <c r="B1303" s="2" t="inlineStr">
        <is>
          <t>CC-094:56</t>
        </is>
      </c>
      <c r="C1303" s="2" t="inlineStr">
        <is>
          <t>WAM 2023: Industrial processes (mainly F-gases)</t>
        </is>
      </c>
      <c r="D1303" s="2" t="inlineStr">
        <is>
          <t>208.7</t>
        </is>
      </c>
      <c r="E1303" s="2" t="inlineStr">
        <is>
          <t>kt CO2e</t>
        </is>
      </c>
      <c r="F1303" s="2" t="inlineStr">
        <is>
          <t>EEA, GHG projections 2025 submission (GHG_projections_2025_EEA_incl_pivots.xlsx), retrieved 6 Oct 2026</t>
        </is>
      </c>
      <c r="G1303" s="2" t="inlineStr">
        <is>
          <t>14% of the total</t>
        </is>
      </c>
      <c r="H1303" s="2" t="inlineStr"/>
    </row>
    <row r="1304">
      <c r="A1304" s="5" t="inlineStr">
        <is>
          <t>CC-094</t>
        </is>
      </c>
      <c r="B1304" s="2" t="inlineStr">
        <is>
          <t>CC-094:57</t>
        </is>
      </c>
      <c r="C1304" s="2" t="inlineStr">
        <is>
          <t>WAM 2023: Agriculture</t>
        </is>
      </c>
      <c r="D1304" s="2" t="inlineStr">
        <is>
          <t>86.6</t>
        </is>
      </c>
      <c r="E1304" s="2" t="inlineStr">
        <is>
          <t>kt CO2e</t>
        </is>
      </c>
      <c r="F1304" s="2" t="inlineStr">
        <is>
          <t>EEA, GHG projections 2025 submission (GHG_projections_2025_EEA_incl_pivots.xlsx), retrieved 6 Oct 2026</t>
        </is>
      </c>
      <c r="G1304" s="2" t="inlineStr">
        <is>
          <t>6% of the total</t>
        </is>
      </c>
      <c r="H1304" s="2" t="inlineStr"/>
    </row>
    <row r="1305">
      <c r="A1305" s="5" t="inlineStr">
        <is>
          <t>CC-094</t>
        </is>
      </c>
      <c r="B1305" s="2" t="inlineStr">
        <is>
          <t>CC-094:58</t>
        </is>
      </c>
      <c r="C1305" s="2" t="inlineStr">
        <is>
          <t>WAM 2023: Waste</t>
        </is>
      </c>
      <c r="D1305" s="2" t="inlineStr">
        <is>
          <t>186.8</t>
        </is>
      </c>
      <c r="E1305" s="2" t="inlineStr">
        <is>
          <t>kt CO2e</t>
        </is>
      </c>
      <c r="F1305" s="2" t="inlineStr">
        <is>
          <t>EEA, GHG projections 2025 submission (GHG_projections_2025_EEA_incl_pivots.xlsx), retrieved 6 Oct 2026</t>
        </is>
      </c>
      <c r="G1305" s="2" t="inlineStr">
        <is>
          <t>13% of the total</t>
        </is>
      </c>
      <c r="H1305" s="2" t="inlineStr"/>
    </row>
    <row r="1306">
      <c r="A1306" s="5" t="inlineStr">
        <is>
          <t>CC-094</t>
        </is>
      </c>
      <c r="B1306" s="2" t="inlineStr">
        <is>
          <t>CC-094:59</t>
        </is>
      </c>
      <c r="C1306" s="2" t="inlineStr">
        <is>
          <t>WAM 2023: Buildings and other fuel use</t>
        </is>
      </c>
      <c r="D1306" s="2" t="inlineStr">
        <is>
          <t>155.1</t>
        </is>
      </c>
      <c r="E1306" s="2" t="inlineStr">
        <is>
          <t>kt CO2e</t>
        </is>
      </c>
      <c r="F1306" s="2" t="inlineStr">
        <is>
          <t>EEA, GHG projections 2025 submission (GHG_projections_2025_EEA_incl_pivots.xlsx), retrieved 6 Oct 2026</t>
        </is>
      </c>
      <c r="G1306" s="2" t="inlineStr">
        <is>
          <t>10% of the total; 1. Energy minus 1.A.3 and 1.A.2</t>
        </is>
      </c>
      <c r="H1306" s="2" t="inlineStr"/>
    </row>
    <row r="1307">
      <c r="A1307" s="5" t="inlineStr">
        <is>
          <t>CC-094</t>
        </is>
      </c>
      <c r="B1307" s="2" t="inlineStr">
        <is>
          <t>CC-094:60</t>
        </is>
      </c>
      <c r="C1307" s="2" t="inlineStr">
        <is>
          <t>WAM 2023: sum of sectors minus total</t>
        </is>
      </c>
      <c r="D1307" s="2" t="inlineStr">
        <is>
          <t>0.0</t>
        </is>
      </c>
      <c r="E1307" s="2" t="inlineStr">
        <is>
          <t>kt CO2e</t>
        </is>
      </c>
      <c r="F1307" s="2" t="inlineStr">
        <is>
          <t>calculated</t>
        </is>
      </c>
      <c r="G1307" s="2" t="inlineStr">
        <is>
          <t>should be 0</t>
        </is>
      </c>
      <c r="H1307" s="2" t="inlineStr"/>
    </row>
    <row r="1308">
      <c r="A1308" s="5" t="inlineStr">
        <is>
          <t>CC-094</t>
        </is>
      </c>
      <c r="B1308" s="2" t="inlineStr">
        <is>
          <t>CC-094:61</t>
        </is>
      </c>
      <c r="C1308" s="2" t="inlineStr">
        <is>
          <t>WAM 2030: Transport</t>
        </is>
      </c>
      <c r="D1308" s="2" t="inlineStr">
        <is>
          <t>737.2</t>
        </is>
      </c>
      <c r="E1308" s="2" t="inlineStr">
        <is>
          <t>kt CO2e</t>
        </is>
      </c>
      <c r="F1308" s="2" t="inlineStr">
        <is>
          <t>EEA, GHG projections 2025 submission (GHG_projections_2025_EEA_incl_pivots.xlsx), retrieved 6 Oct 2026</t>
        </is>
      </c>
      <c r="G1308" s="2" t="inlineStr">
        <is>
          <t>56% of the total</t>
        </is>
      </c>
      <c r="H1308" s="2" t="inlineStr"/>
    </row>
    <row r="1309">
      <c r="A1309" s="5" t="inlineStr">
        <is>
          <t>CC-094</t>
        </is>
      </c>
      <c r="B1309" s="2" t="inlineStr">
        <is>
          <t>CC-094:62</t>
        </is>
      </c>
      <c r="C1309" s="2" t="inlineStr">
        <is>
          <t>WAM 2030: Manufacturing and construction (fuel)</t>
        </is>
      </c>
      <c r="D1309" s="2" t="inlineStr">
        <is>
          <t>115.9</t>
        </is>
      </c>
      <c r="E1309" s="2" t="inlineStr">
        <is>
          <t>kt CO2e</t>
        </is>
      </c>
      <c r="F1309" s="2" t="inlineStr">
        <is>
          <t>EEA, GHG projections 2025 submission (GHG_projections_2025_EEA_incl_pivots.xlsx), retrieved 6 Oct 2026</t>
        </is>
      </c>
      <c r="G1309" s="2" t="inlineStr">
        <is>
          <t>9% of the total</t>
        </is>
      </c>
      <c r="H1309" s="2" t="inlineStr"/>
    </row>
    <row r="1310">
      <c r="A1310" s="5" t="inlineStr">
        <is>
          <t>CC-094</t>
        </is>
      </c>
      <c r="B1310" s="2" t="inlineStr">
        <is>
          <t>CC-094:63</t>
        </is>
      </c>
      <c r="C1310" s="2" t="inlineStr">
        <is>
          <t>WAM 2030: Industrial processes (mainly F-gases)</t>
        </is>
      </c>
      <c r="D1310" s="2" t="inlineStr">
        <is>
          <t>163.1</t>
        </is>
      </c>
      <c r="E1310" s="2" t="inlineStr">
        <is>
          <t>kt CO2e</t>
        </is>
      </c>
      <c r="F1310" s="2" t="inlineStr">
        <is>
          <t>EEA, GHG projections 2025 submission (GHG_projections_2025_EEA_incl_pivots.xlsx), retrieved 6 Oct 2026</t>
        </is>
      </c>
      <c r="G1310" s="2" t="inlineStr">
        <is>
          <t>12% of the total</t>
        </is>
      </c>
      <c r="H1310" s="2" t="inlineStr"/>
    </row>
    <row r="1311">
      <c r="A1311" s="5" t="inlineStr">
        <is>
          <t>CC-094</t>
        </is>
      </c>
      <c r="B1311" s="2" t="inlineStr">
        <is>
          <t>CC-094:64</t>
        </is>
      </c>
      <c r="C1311" s="2" t="inlineStr">
        <is>
          <t>WAM 2030: Agriculture</t>
        </is>
      </c>
      <c r="D1311" s="2" t="inlineStr">
        <is>
          <t>77.6</t>
        </is>
      </c>
      <c r="E1311" s="2" t="inlineStr">
        <is>
          <t>kt CO2e</t>
        </is>
      </c>
      <c r="F1311" s="2" t="inlineStr">
        <is>
          <t>EEA, GHG projections 2025 submission (GHG_projections_2025_EEA_incl_pivots.xlsx), retrieved 6 Oct 2026</t>
        </is>
      </c>
      <c r="G1311" s="2" t="inlineStr">
        <is>
          <t>6% of the total</t>
        </is>
      </c>
      <c r="H1311" s="2" t="inlineStr"/>
    </row>
    <row r="1312">
      <c r="A1312" s="5" t="inlineStr">
        <is>
          <t>CC-094</t>
        </is>
      </c>
      <c r="B1312" s="2" t="inlineStr">
        <is>
          <t>CC-094:65</t>
        </is>
      </c>
      <c r="C1312" s="2" t="inlineStr">
        <is>
          <t>WAM 2030: Waste</t>
        </is>
      </c>
      <c r="D1312" s="2" t="inlineStr">
        <is>
          <t>73.4</t>
        </is>
      </c>
      <c r="E1312" s="2" t="inlineStr">
        <is>
          <t>kt CO2e</t>
        </is>
      </c>
      <c r="F1312" s="2" t="inlineStr">
        <is>
          <t>EEA, GHG projections 2025 submission (GHG_projections_2025_EEA_incl_pivots.xlsx), retrieved 6 Oct 2026</t>
        </is>
      </c>
      <c r="G1312" s="2" t="inlineStr">
        <is>
          <t>6% of the total</t>
        </is>
      </c>
      <c r="H1312" s="2" t="inlineStr"/>
    </row>
    <row r="1313">
      <c r="A1313" s="5" t="inlineStr">
        <is>
          <t>CC-094</t>
        </is>
      </c>
      <c r="B1313" s="2" t="inlineStr">
        <is>
          <t>CC-094:66</t>
        </is>
      </c>
      <c r="C1313" s="2" t="inlineStr">
        <is>
          <t>WAM 2030: Buildings and other fuel use</t>
        </is>
      </c>
      <c r="D1313" s="2" t="inlineStr">
        <is>
          <t>156.6</t>
        </is>
      </c>
      <c r="E1313" s="2" t="inlineStr">
        <is>
          <t>kt CO2e</t>
        </is>
      </c>
      <c r="F1313" s="2" t="inlineStr">
        <is>
          <t>EEA, GHG projections 2025 submission (GHG_projections_2025_EEA_incl_pivots.xlsx), retrieved 6 Oct 2026</t>
        </is>
      </c>
      <c r="G1313" s="2" t="inlineStr">
        <is>
          <t>12% of the total; 1. Energy minus 1.A.3 and 1.A.2</t>
        </is>
      </c>
      <c r="H1313" s="2" t="inlineStr"/>
    </row>
    <row r="1314">
      <c r="A1314" s="5" t="inlineStr">
        <is>
          <t>CC-094</t>
        </is>
      </c>
      <c r="B1314" s="2" t="inlineStr">
        <is>
          <t>CC-094:67</t>
        </is>
      </c>
      <c r="C1314" s="2" t="inlineStr">
        <is>
          <t>WAM 2030: sum of sectors minus total</t>
        </is>
      </c>
      <c r="D1314" s="2" t="inlineStr">
        <is>
          <t>0.0</t>
        </is>
      </c>
      <c r="E1314" s="2" t="inlineStr">
        <is>
          <t>kt CO2e</t>
        </is>
      </c>
      <c r="F1314" s="2" t="inlineStr">
        <is>
          <t>calculated</t>
        </is>
      </c>
      <c r="G1314" s="2" t="inlineStr">
        <is>
          <t>should be 0</t>
        </is>
      </c>
      <c r="H1314" s="2" t="inlineStr"/>
    </row>
    <row r="1315">
      <c r="A1315" s="5" t="inlineStr">
        <is>
          <t>CC-094</t>
        </is>
      </c>
      <c r="B1315" s="2" t="inlineStr">
        <is>
          <t>CC-094:68</t>
        </is>
      </c>
      <c r="C1315" s="2" t="inlineStr">
        <is>
          <t>2030 WEM minus WAM: Transport</t>
        </is>
      </c>
      <c r="D1315" s="2" t="inlineStr">
        <is>
          <t>0.0</t>
        </is>
      </c>
      <c r="E1315" s="2" t="inlineStr">
        <is>
          <t>kt CO2e</t>
        </is>
      </c>
      <c r="F1315" s="2" t="inlineStr">
        <is>
          <t>calculated</t>
        </is>
      </c>
      <c r="G1315" s="2" t="inlineStr"/>
      <c r="H1315" s="2" t="inlineStr"/>
    </row>
    <row r="1316">
      <c r="A1316" s="5" t="inlineStr">
        <is>
          <t>CC-094</t>
        </is>
      </c>
      <c r="B1316" s="2" t="inlineStr">
        <is>
          <t>CC-094:69</t>
        </is>
      </c>
      <c r="C1316" s="2" t="inlineStr">
        <is>
          <t>2030 WEM minus WAM: Manufacturing and construction (fuel)</t>
        </is>
      </c>
      <c r="D1316" s="2" t="inlineStr">
        <is>
          <t>0.0</t>
        </is>
      </c>
      <c r="E1316" s="2" t="inlineStr">
        <is>
          <t>kt CO2e</t>
        </is>
      </c>
      <c r="F1316" s="2" t="inlineStr">
        <is>
          <t>calculated</t>
        </is>
      </c>
      <c r="G1316" s="2" t="inlineStr"/>
      <c r="H1316" s="2" t="inlineStr"/>
    </row>
    <row r="1317">
      <c r="A1317" s="5" t="inlineStr">
        <is>
          <t>CC-094</t>
        </is>
      </c>
      <c r="B1317" s="2" t="inlineStr">
        <is>
          <t>CC-094:70</t>
        </is>
      </c>
      <c r="C1317" s="2" t="inlineStr">
        <is>
          <t>2030 WEM minus WAM: Industrial processes (mainly F-gases)</t>
        </is>
      </c>
      <c r="D1317" s="2" t="inlineStr">
        <is>
          <t>34.4</t>
        </is>
      </c>
      <c r="E1317" s="2" t="inlineStr">
        <is>
          <t>kt CO2e</t>
        </is>
      </c>
      <c r="F1317" s="2" t="inlineStr">
        <is>
          <t>calculated</t>
        </is>
      </c>
      <c r="G1317" s="2" t="inlineStr"/>
      <c r="H1317" s="2" t="inlineStr"/>
    </row>
    <row r="1318">
      <c r="A1318" s="5" t="inlineStr">
        <is>
          <t>CC-094</t>
        </is>
      </c>
      <c r="B1318" s="2" t="inlineStr">
        <is>
          <t>CC-094:71</t>
        </is>
      </c>
      <c r="C1318" s="2" t="inlineStr">
        <is>
          <t>2030 WEM minus WAM: Agriculture</t>
        </is>
      </c>
      <c r="D1318" s="2" t="inlineStr">
        <is>
          <t>0.0</t>
        </is>
      </c>
      <c r="E1318" s="2" t="inlineStr">
        <is>
          <t>kt CO2e</t>
        </is>
      </c>
      <c r="F1318" s="2" t="inlineStr">
        <is>
          <t>calculated</t>
        </is>
      </c>
      <c r="G1318" s="2" t="inlineStr"/>
      <c r="H1318" s="2" t="inlineStr"/>
    </row>
    <row r="1319">
      <c r="A1319" s="5" t="inlineStr">
        <is>
          <t>CC-094</t>
        </is>
      </c>
      <c r="B1319" s="2" t="inlineStr">
        <is>
          <t>CC-094:72</t>
        </is>
      </c>
      <c r="C1319" s="2" t="inlineStr">
        <is>
          <t>2030 WEM minus WAM: Waste</t>
        </is>
      </c>
      <c r="D1319" s="2" t="inlineStr">
        <is>
          <t>91.9</t>
        </is>
      </c>
      <c r="E1319" s="2" t="inlineStr">
        <is>
          <t>kt CO2e</t>
        </is>
      </c>
      <c r="F1319" s="2" t="inlineStr">
        <is>
          <t>calculated</t>
        </is>
      </c>
      <c r="G1319" s="2" t="inlineStr"/>
      <c r="H1319" s="2" t="inlineStr"/>
    </row>
    <row r="1320">
      <c r="A1320" s="5" t="inlineStr">
        <is>
          <t>CC-094</t>
        </is>
      </c>
      <c r="B1320" s="2" t="inlineStr">
        <is>
          <t>CC-094:73</t>
        </is>
      </c>
      <c r="C1320" s="2" t="inlineStr">
        <is>
          <t>Transport in 2030 as a share of the 2030 limit</t>
        </is>
      </c>
      <c r="D1320" s="2" t="inlineStr">
        <is>
          <t>89.2</t>
        </is>
      </c>
      <c r="E1320" s="2" t="inlineStr">
        <is>
          <t>%</t>
        </is>
      </c>
      <c r="F1320" s="2" t="inlineStr">
        <is>
          <t>calculated</t>
        </is>
      </c>
      <c r="G1320" s="2" t="inlineStr">
        <is>
          <t>transport is the same in WEM and WAM</t>
        </is>
      </c>
      <c r="H1320" s="2" t="inlineStr"/>
    </row>
    <row r="1321">
      <c r="A1321" s="5" t="inlineStr">
        <is>
          <t>CC-094</t>
        </is>
      </c>
      <c r="B1321" s="2" t="inlineStr">
        <is>
          <t>CC-094:74</t>
        </is>
      </c>
      <c r="C1321" s="2" t="inlineStr">
        <is>
          <t>Largest 2030 gaps in percentage points, WAM</t>
        </is>
      </c>
      <c r="D1321" s="2" t="inlineStr">
        <is>
          <t>MT 48.7, IE 20.3, DE 13.2, AT 8.0</t>
        </is>
      </c>
      <c r="E1321" s="2" t="inlineStr">
        <is>
          <t>pp</t>
        </is>
      </c>
      <c r="F1321" s="2" t="inlineStr">
        <is>
          <t>calculated</t>
        </is>
      </c>
      <c r="G1321" s="2" t="inlineStr">
        <is>
          <t>Commission (p. 30): DE, IE, MT</t>
        </is>
      </c>
      <c r="H1321" s="2" t="inlineStr"/>
    </row>
    <row r="1322">
      <c r="A1322" s="5" t="inlineStr">
        <is>
          <t>CC-094</t>
        </is>
      </c>
      <c r="B1322" s="2" t="inlineStr">
        <is>
          <t>CC-094:75</t>
        </is>
      </c>
      <c r="C1322" s="2" t="inlineStr">
        <is>
          <t>Largest 2030 overachievement, WAM</t>
        </is>
      </c>
      <c r="D1322" s="2" t="inlineStr">
        <is>
          <t>BG -25.6, EL -20.6, PT -11.4</t>
        </is>
      </c>
      <c r="E1322" s="2" t="inlineStr">
        <is>
          <t>pp</t>
        </is>
      </c>
      <c r="F1322" s="2" t="inlineStr">
        <is>
          <t>calculated</t>
        </is>
      </c>
      <c r="G1322" s="2" t="inlineStr">
        <is>
          <t>Commission (p. 30): BG, EL, PT</t>
        </is>
      </c>
      <c r="H1322" s="2" t="inlineStr"/>
    </row>
    <row r="1323">
      <c r="A1323" s="5" t="inlineStr">
        <is>
          <t>CC-094</t>
        </is>
      </c>
      <c r="B1323" s="2" t="inlineStr">
        <is>
          <t>CC-094:76</t>
        </is>
      </c>
      <c r="C1323" s="2" t="inlineStr">
        <is>
          <t>Gap ranking in percentage points, WAM, top 8</t>
        </is>
      </c>
      <c r="D1323" s="2" t="inlineStr">
        <is>
          <t>MT 48.7, IE 20.3, DE 13.2, AT 8.0, CY 6.1, EE 5.9, SE 5.1, FI 4.8</t>
        </is>
      </c>
      <c r="E1323" s="2" t="inlineStr">
        <is>
          <t>pp</t>
        </is>
      </c>
      <c r="F1323" s="2" t="inlineStr">
        <is>
          <t>calculated</t>
        </is>
      </c>
      <c r="G1323" s="2" t="inlineStr">
        <is>
          <t>Germany ranks 3 of 27; Ireland 2</t>
        </is>
      </c>
      <c r="H1323" s="2" t="inlineStr"/>
    </row>
    <row r="1324">
      <c r="A1324" s="5" t="inlineStr">
        <is>
          <t>CC-094</t>
        </is>
      </c>
      <c r="B1324" s="2" t="inlineStr">
        <is>
          <t>CC-094:77</t>
        </is>
      </c>
      <c r="C1324" s="2" t="inlineStr">
        <is>
          <t>Largest 2030 gaps in tonnes, WAM</t>
        </is>
      </c>
      <c r="D1324" s="2" t="inlineStr">
        <is>
          <t>DE 64.1, IT 10.9, IE 9.7</t>
        </is>
      </c>
      <c r="E1324" s="2" t="inlineStr">
        <is>
          <t>Mt CO2e</t>
        </is>
      </c>
      <c r="F1324" s="2" t="inlineStr">
        <is>
          <t>calculated</t>
        </is>
      </c>
      <c r="G1324" s="2" t="inlineStr">
        <is>
          <t>Malta 0.50 Mt, rank 10 of 27</t>
        </is>
      </c>
      <c r="H1324" s="2" t="inlineStr"/>
    </row>
    <row r="1325">
      <c r="A1325" s="5" t="inlineStr">
        <is>
          <t>CC-094</t>
        </is>
      </c>
      <c r="B1325" s="2" t="inlineStr">
        <is>
          <t>CC-094:78</t>
        </is>
      </c>
      <c r="C1325" s="2" t="inlineStr">
        <is>
          <t>Largest 2030 gaps in percentage points, WEM</t>
        </is>
      </c>
      <c r="D1325" s="2" t="inlineStr">
        <is>
          <t>MT 61.1, IE 32.5, CY 28.2, BE 25.3</t>
        </is>
      </c>
      <c r="E1325" s="2" t="inlineStr">
        <is>
          <t>pp</t>
        </is>
      </c>
      <c r="F1325" s="2" t="inlineStr">
        <is>
          <t>calculated</t>
        </is>
      </c>
      <c r="G1325" s="2" t="inlineStr">
        <is>
          <t>Commission (p. 30): DE, IE, MT</t>
        </is>
      </c>
      <c r="H1325" s="2" t="inlineStr"/>
    </row>
    <row r="1326">
      <c r="A1326" s="5" t="inlineStr">
        <is>
          <t>CC-094</t>
        </is>
      </c>
      <c r="B1326" s="2" t="inlineStr">
        <is>
          <t>CC-094:79</t>
        </is>
      </c>
      <c r="C1326" s="2" t="inlineStr">
        <is>
          <t>Largest 2030 overachievement, WEM</t>
        </is>
      </c>
      <c r="D1326" s="2" t="inlineStr">
        <is>
          <t>BG -25.6, EL -20.6, CZ -1.6</t>
        </is>
      </c>
      <c r="E1326" s="2" t="inlineStr">
        <is>
          <t>pp</t>
        </is>
      </c>
      <c r="F1326" s="2" t="inlineStr">
        <is>
          <t>calculated</t>
        </is>
      </c>
      <c r="G1326" s="2" t="inlineStr">
        <is>
          <t>Commission (p. 30): BG, EL, PT</t>
        </is>
      </c>
      <c r="H1326" s="2" t="inlineStr"/>
    </row>
    <row r="1327">
      <c r="A1327" s="5" t="inlineStr">
        <is>
          <t>CC-094</t>
        </is>
      </c>
      <c r="B1327" s="2" t="inlineStr">
        <is>
          <t>CC-094:80</t>
        </is>
      </c>
      <c r="C1327" s="2" t="inlineStr">
        <is>
          <t>Gap ranking in percentage points, WEM, top 8</t>
        </is>
      </c>
      <c r="D1327" s="2" t="inlineStr">
        <is>
          <t>MT 61.1, IE 32.5, CY 28.2, BE 25.3, SI 17.6, LU 17.0, AT 15.8, DE 13.6</t>
        </is>
      </c>
      <c r="E1327" s="2" t="inlineStr">
        <is>
          <t>pp</t>
        </is>
      </c>
      <c r="F1327" s="2" t="inlineStr">
        <is>
          <t>calculated</t>
        </is>
      </c>
      <c r="G1327" s="2" t="inlineStr">
        <is>
          <t>Germany ranks 8 of 27; Ireland 2</t>
        </is>
      </c>
      <c r="H1327" s="2" t="inlineStr"/>
    </row>
    <row r="1328">
      <c r="A1328" s="5" t="inlineStr">
        <is>
          <t>CC-094</t>
        </is>
      </c>
      <c r="B1328" s="2" t="inlineStr">
        <is>
          <t>CC-094:81</t>
        </is>
      </c>
      <c r="C1328" s="2" t="inlineStr">
        <is>
          <t>Largest 2030 gaps in tonnes, WEM</t>
        </is>
      </c>
      <c r="D1328" s="2" t="inlineStr">
        <is>
          <t>DE 66.1, IT 45.9, FR 42.0</t>
        </is>
      </c>
      <c r="E1328" s="2" t="inlineStr">
        <is>
          <t>Mt CO2e</t>
        </is>
      </c>
      <c r="F1328" s="2" t="inlineStr">
        <is>
          <t>calculated</t>
        </is>
      </c>
      <c r="G1328" s="2" t="inlineStr">
        <is>
          <t>Malta 0.62 Mt, rank 19 of 27</t>
        </is>
      </c>
      <c r="H1328" s="2" t="inlineStr"/>
    </row>
    <row r="1329">
      <c r="A1329" s="5" t="inlineStr">
        <is>
          <t>CC-094</t>
        </is>
      </c>
      <c r="B1329" s="2" t="inlineStr">
        <is>
          <t>CC-094:82</t>
        </is>
      </c>
      <c r="C1329" s="2" t="inlineStr">
        <is>
          <t>Belgium's projection is from its 2024 submission (gap-filled by the EEA)</t>
        </is>
      </c>
      <c r="D1329" s="2" t="inlineStr">
        <is>
          <t>2024</t>
        </is>
      </c>
      <c r="E1329" s="2" t="inlineStr">
        <is>
          <t>submission year</t>
        </is>
      </c>
      <c r="F1329" s="2" t="inlineStr">
        <is>
          <t>EEA, GHG projections 2025 submission (GHG_projections_2025_EEA_incl_pivots.xlsx), retrieved 6 Oct 2026</t>
        </is>
      </c>
      <c r="G1329" s="2" t="inlineStr">
        <is>
          <t>COM p. 17: Belgium had not submitted in 2025</t>
        </is>
      </c>
      <c r="H1329" s="2" t="inlineStr"/>
    </row>
    <row r="1330">
      <c r="A1330" s="5" t="inlineStr">
        <is>
          <t>CC-094</t>
        </is>
      </c>
      <c r="B1330" s="2" t="inlineStr">
        <is>
          <t>CC-094:83</t>
        </is>
      </c>
      <c r="C1330" s="2" t="inlineStr">
        <is>
          <t>Cumulative allocations minus emissions 2021-2025, WAM</t>
        </is>
      </c>
      <c r="D1330" s="2" t="inlineStr">
        <is>
          <t>-0.44</t>
        </is>
      </c>
      <c r="E1330" s="2" t="inlineStr">
        <is>
          <t>Mt CO2e</t>
        </is>
      </c>
      <c r="F1330" s="2" t="inlineStr">
        <is>
          <t>calculated</t>
        </is>
      </c>
      <c r="G1330" s="2" t="inlineStr">
        <is>
          <t>2021-2024 reviewed/approximated, 2025 projected; SWD Table 26: -0.4 Mt</t>
        </is>
      </c>
      <c r="H1330" s="2" t="inlineStr"/>
    </row>
    <row r="1331">
      <c r="A1331" s="5" t="inlineStr">
        <is>
          <t>CC-094</t>
        </is>
      </c>
      <c r="B1331" s="2" t="inlineStr">
        <is>
          <t>CC-094:84</t>
        </is>
      </c>
      <c r="C1331" s="2" t="inlineStr">
        <is>
          <t>Cumulative allocations minus emissions 2021-2030, WAM</t>
        </is>
      </c>
      <c r="D1331" s="2" t="inlineStr">
        <is>
          <t>-2.09</t>
        </is>
      </c>
      <c r="E1331" s="2" t="inlineStr">
        <is>
          <t>Mt CO2e</t>
        </is>
      </c>
      <c r="F1331" s="2" t="inlineStr">
        <is>
          <t>calculated</t>
        </is>
      </c>
      <c r="G1331" s="2" t="inlineStr">
        <is>
          <t>allocations from Decision 2026/895; SWD Table 26 (Commission estimate, WAM): -2.1 Mt</t>
        </is>
      </c>
      <c r="H1331" s="2" t="inlineStr"/>
    </row>
    <row r="1332">
      <c r="A1332" s="5" t="inlineStr">
        <is>
          <t>CC-094</t>
        </is>
      </c>
      <c r="B1332" s="2" t="inlineStr">
        <is>
          <t>CC-094:85</t>
        </is>
      </c>
      <c r="C1332" s="2" t="inlineStr">
        <is>
          <t>Same, 2021-2025, after the ETS flexibility, WAM</t>
        </is>
      </c>
      <c r="D1332" s="2" t="inlineStr">
        <is>
          <t>0.07</t>
        </is>
      </c>
      <c r="E1332" s="2" t="inlineStr">
        <is>
          <t>Mt CO2e</t>
        </is>
      </c>
      <c r="F1332" s="2" t="inlineStr">
        <is>
          <t>calculated</t>
        </is>
      </c>
      <c r="G1332" s="2" t="inlineStr">
        <is>
          <t>ETS flexibility 510.3 kt (Decision 2024/1884), assumed usable when needed, as the Commission assumes (COM p. 31)</t>
        </is>
      </c>
      <c r="H1332" s="2" t="inlineStr"/>
    </row>
    <row r="1333">
      <c r="A1333" s="5" t="inlineStr">
        <is>
          <t>CC-094</t>
        </is>
      </c>
      <c r="B1333" s="2" t="inlineStr">
        <is>
          <t>CC-094:86</t>
        </is>
      </c>
      <c r="C1333" s="2" t="inlineStr">
        <is>
          <t>Same, 2021-2030, after the ETS flexibility, WAM</t>
        </is>
      </c>
      <c r="D1333" s="2" t="inlineStr">
        <is>
          <t>-1.58</t>
        </is>
      </c>
      <c r="E1333" s="2" t="inlineStr">
        <is>
          <t>Mt CO2e</t>
        </is>
      </c>
      <c r="F1333" s="2" t="inlineStr">
        <is>
          <t>calculated</t>
        </is>
      </c>
      <c r="G1333" s="2" t="inlineStr"/>
      <c r="H1333" s="2" t="inlineStr"/>
    </row>
    <row r="1334">
      <c r="A1334" s="5" t="inlineStr">
        <is>
          <t>CC-094</t>
        </is>
      </c>
      <c r="B1334" s="2" t="inlineStr">
        <is>
          <t>CC-094:87</t>
        </is>
      </c>
      <c r="C1334" s="2" t="inlineStr">
        <is>
          <t>Same, 2021-2030, after ETS and the maximum LULUCF flexibility, WAM</t>
        </is>
      </c>
      <c r="D1334" s="2" t="inlineStr">
        <is>
          <t>-1.55</t>
        </is>
      </c>
      <c r="E1334" s="2" t="inlineStr">
        <is>
          <t>Mt CO2e</t>
        </is>
      </c>
      <c r="F1334" s="2" t="inlineStr">
        <is>
          <t>calculated</t>
        </is>
      </c>
      <c r="G1334" s="2" t="inlineStr">
        <is>
          <t>LULUCF maximum 30 kt (Annex III), only if credits exist</t>
        </is>
      </c>
      <c r="H1334" s="2" t="inlineStr"/>
    </row>
    <row r="1335">
      <c r="A1335" s="5" t="inlineStr">
        <is>
          <t>CC-094</t>
        </is>
      </c>
      <c r="B1335" s="2" t="inlineStr">
        <is>
          <t>CC-094:88</t>
        </is>
      </c>
      <c r="C1335" s="2" t="inlineStr">
        <is>
          <t>Share of the 2021-2030 excess covered by Malta's own flexibilities, WAM</t>
        </is>
      </c>
      <c r="D1335" s="2" t="inlineStr">
        <is>
          <t>25.8</t>
        </is>
      </c>
      <c r="E1335" s="2" t="inlineStr">
        <is>
          <t>%</t>
        </is>
      </c>
      <c r="F1335" s="2" t="inlineStr">
        <is>
          <t>calculated</t>
        </is>
      </c>
      <c r="G1335" s="2" t="inlineStr">
        <is>
          <t>own flexibilities 0.54 Mt (ETS 0.51 + LULUCF maximum 0.03)</t>
        </is>
      </c>
      <c r="H1335" s="2" t="inlineStr"/>
    </row>
    <row r="1336">
      <c r="A1336" s="5" t="inlineStr">
        <is>
          <t>CC-094</t>
        </is>
      </c>
      <c r="B1336" s="2" t="inlineStr">
        <is>
          <t>CC-094:89</t>
        </is>
      </c>
      <c r="C1336" s="2" t="inlineStr">
        <is>
          <t>EU surplus as a multiple of Malta's remaining shortfall, WAM</t>
        </is>
      </c>
      <c r="D1336" s="2" t="inlineStr">
        <is>
          <t>80.5-112.7</t>
        </is>
      </c>
      <c r="E1336" s="2" t="inlineStr">
        <is>
          <t>times</t>
        </is>
      </c>
      <c r="F1336" s="2" t="inlineStr">
        <is>
          <t>calculated</t>
        </is>
      </c>
      <c r="G1336" s="2" t="inlineStr">
        <is>
          <t>125-175 Mt / 1.55 Mt</t>
        </is>
      </c>
      <c r="H1336" s="2" t="inlineStr"/>
    </row>
    <row r="1337">
      <c r="A1337" s="5" t="inlineStr">
        <is>
          <t>CC-094</t>
        </is>
      </c>
      <c r="B1337" s="2" t="inlineStr">
        <is>
          <t>CC-094:90</t>
        </is>
      </c>
      <c r="C1337" s="2" t="inlineStr">
        <is>
          <t>Shortfall to cover by buying allocations, WAM, as a share of the EU surplus</t>
        </is>
      </c>
      <c r="D1337" s="2" t="inlineStr">
        <is>
          <t>0.9-1.2</t>
        </is>
      </c>
      <c r="E1337" s="2" t="inlineStr">
        <is>
          <t>%</t>
        </is>
      </c>
      <c r="F1337" s="2" t="inlineStr">
        <is>
          <t>calculated</t>
        </is>
      </c>
      <c r="G1337" s="2" t="inlineStr">
        <is>
          <t>1.55 Mt against 125-175 Mt (COM p. 31)</t>
        </is>
      </c>
      <c r="H1337" s="2" t="inlineStr"/>
    </row>
    <row r="1338">
      <c r="A1338" s="5" t="inlineStr">
        <is>
          <t>CC-094</t>
        </is>
      </c>
      <c r="B1338" s="2" t="inlineStr">
        <is>
          <t>CC-094:91</t>
        </is>
      </c>
      <c r="C1338" s="2" t="inlineStr">
        <is>
          <t>Cumulative allocations minus emissions 2021-2025, WEM</t>
        </is>
      </c>
      <c r="D1338" s="2" t="inlineStr">
        <is>
          <t>-0.44</t>
        </is>
      </c>
      <c r="E1338" s="2" t="inlineStr">
        <is>
          <t>Mt CO2e</t>
        </is>
      </c>
      <c r="F1338" s="2" t="inlineStr">
        <is>
          <t>calculated</t>
        </is>
      </c>
      <c r="G1338" s="2" t="inlineStr">
        <is>
          <t>2021-2024 reviewed/approximated, 2025 projected; SWD Table 26: -0.4 Mt</t>
        </is>
      </c>
      <c r="H1338" s="2" t="inlineStr"/>
    </row>
    <row r="1339">
      <c r="A1339" s="5" t="inlineStr">
        <is>
          <t>CC-094</t>
        </is>
      </c>
      <c r="B1339" s="2" t="inlineStr">
        <is>
          <t>CC-094:92</t>
        </is>
      </c>
      <c r="C1339" s="2" t="inlineStr">
        <is>
          <t>Cumulative allocations minus emissions 2021-2030, WEM</t>
        </is>
      </c>
      <c r="D1339" s="2" t="inlineStr">
        <is>
          <t>-2.71</t>
        </is>
      </c>
      <c r="E1339" s="2" t="inlineStr">
        <is>
          <t>Mt CO2e</t>
        </is>
      </c>
      <c r="F1339" s="2" t="inlineStr">
        <is>
          <t>calculated</t>
        </is>
      </c>
      <c r="G1339" s="2" t="inlineStr">
        <is>
          <t>allocations from Decision 2026/895; SWD Table 26 (Commission estimate, WAM): -2.1 Mt</t>
        </is>
      </c>
      <c r="H1339" s="2" t="inlineStr"/>
    </row>
    <row r="1340">
      <c r="A1340" s="5" t="inlineStr">
        <is>
          <t>CC-094</t>
        </is>
      </c>
      <c r="B1340" s="2" t="inlineStr">
        <is>
          <t>CC-094:93</t>
        </is>
      </c>
      <c r="C1340" s="2" t="inlineStr">
        <is>
          <t>Same, 2021-2025, after the ETS flexibility, WEM</t>
        </is>
      </c>
      <c r="D1340" s="2" t="inlineStr">
        <is>
          <t>0.07</t>
        </is>
      </c>
      <c r="E1340" s="2" t="inlineStr">
        <is>
          <t>Mt CO2e</t>
        </is>
      </c>
      <c r="F1340" s="2" t="inlineStr">
        <is>
          <t>calculated</t>
        </is>
      </c>
      <c r="G1340" s="2" t="inlineStr">
        <is>
          <t>ETS flexibility 510.3 kt (Decision 2024/1884), assumed usable when needed, as the Commission assumes (COM p. 31)</t>
        </is>
      </c>
      <c r="H1340" s="2" t="inlineStr"/>
    </row>
    <row r="1341">
      <c r="A1341" s="5" t="inlineStr">
        <is>
          <t>CC-094</t>
        </is>
      </c>
      <c r="B1341" s="2" t="inlineStr">
        <is>
          <t>CC-094:94</t>
        </is>
      </c>
      <c r="C1341" s="2" t="inlineStr">
        <is>
          <t>Same, 2021-2030, after the ETS flexibility, WEM</t>
        </is>
      </c>
      <c r="D1341" s="2" t="inlineStr">
        <is>
          <t>-2.2</t>
        </is>
      </c>
      <c r="E1341" s="2" t="inlineStr">
        <is>
          <t>Mt CO2e</t>
        </is>
      </c>
      <c r="F1341" s="2" t="inlineStr">
        <is>
          <t>calculated</t>
        </is>
      </c>
      <c r="G1341" s="2" t="inlineStr"/>
      <c r="H1341" s="2" t="inlineStr"/>
    </row>
    <row r="1342">
      <c r="A1342" s="5" t="inlineStr">
        <is>
          <t>CC-094</t>
        </is>
      </c>
      <c r="B1342" s="2" t="inlineStr">
        <is>
          <t>CC-094:95</t>
        </is>
      </c>
      <c r="C1342" s="2" t="inlineStr">
        <is>
          <t>Same, 2021-2030, after ETS and the maximum LULUCF flexibility, WEM</t>
        </is>
      </c>
      <c r="D1342" s="2" t="inlineStr">
        <is>
          <t>-2.17</t>
        </is>
      </c>
      <c r="E1342" s="2" t="inlineStr">
        <is>
          <t>Mt CO2e</t>
        </is>
      </c>
      <c r="F1342" s="2" t="inlineStr">
        <is>
          <t>calculated</t>
        </is>
      </c>
      <c r="G1342" s="2" t="inlineStr">
        <is>
          <t>LULUCF maximum 30 kt (Annex III), only if credits exist</t>
        </is>
      </c>
      <c r="H1342" s="2" t="inlineStr"/>
    </row>
    <row r="1343">
      <c r="A1343" s="5" t="inlineStr">
        <is>
          <t>CC-094</t>
        </is>
      </c>
      <c r="B1343" s="2" t="inlineStr">
        <is>
          <t>CC-094:96</t>
        </is>
      </c>
      <c r="C1343" s="2" t="inlineStr">
        <is>
          <t>Share of the 2021-2030 excess covered by Malta's own flexibilities, WEM</t>
        </is>
      </c>
      <c r="D1343" s="2" t="inlineStr">
        <is>
          <t>20.0</t>
        </is>
      </c>
      <c r="E1343" s="2" t="inlineStr">
        <is>
          <t>%</t>
        </is>
      </c>
      <c r="F1343" s="2" t="inlineStr">
        <is>
          <t>calculated</t>
        </is>
      </c>
      <c r="G1343" s="2" t="inlineStr">
        <is>
          <t>own flexibilities 0.54 Mt (ETS 0.51 + LULUCF maximum 0.03)</t>
        </is>
      </c>
      <c r="H1343" s="2" t="inlineStr"/>
    </row>
    <row r="1344">
      <c r="A1344" s="5" t="inlineStr">
        <is>
          <t>CC-094</t>
        </is>
      </c>
      <c r="B1344" s="2" t="inlineStr">
        <is>
          <t>CC-094:97</t>
        </is>
      </c>
      <c r="C1344" s="2" t="inlineStr">
        <is>
          <t>EU surplus as a multiple of Malta's remaining shortfall, WEM</t>
        </is>
      </c>
      <c r="D1344" s="2" t="inlineStr">
        <is>
          <t>57.7-80.8</t>
        </is>
      </c>
      <c r="E1344" s="2" t="inlineStr">
        <is>
          <t>times</t>
        </is>
      </c>
      <c r="F1344" s="2" t="inlineStr">
        <is>
          <t>calculated</t>
        </is>
      </c>
      <c r="G1344" s="2" t="inlineStr">
        <is>
          <t>125-175 Mt / 2.17 Mt</t>
        </is>
      </c>
      <c r="H1344" s="2" t="inlineStr"/>
    </row>
    <row r="1345">
      <c r="A1345" s="5" t="inlineStr">
        <is>
          <t>CC-094</t>
        </is>
      </c>
      <c r="B1345" s="2" t="inlineStr">
        <is>
          <t>CC-094:98</t>
        </is>
      </c>
      <c r="C1345" s="2" t="inlineStr">
        <is>
          <t>Shortfall to cover by buying allocations, WEM, as a share of the EU surplus</t>
        </is>
      </c>
      <c r="D1345" s="2" t="inlineStr">
        <is>
          <t>1.2-1.7</t>
        </is>
      </c>
      <c r="E1345" s="2" t="inlineStr">
        <is>
          <t>%</t>
        </is>
      </c>
      <c r="F1345" s="2" t="inlineStr">
        <is>
          <t>calculated</t>
        </is>
      </c>
      <c r="G1345" s="2" t="inlineStr">
        <is>
          <t>2.17 Mt against 125-175 Mt (COM p. 31)</t>
        </is>
      </c>
      <c r="H1345" s="2" t="inlineStr"/>
    </row>
    <row r="1346">
      <c r="A1346" s="5" t="inlineStr">
        <is>
          <t>CC-094</t>
        </is>
      </c>
      <c r="B1346" s="2" t="inlineStr">
        <is>
          <t>CC-094:99</t>
        </is>
      </c>
      <c r="C1346" s="2" t="inlineStr">
        <is>
          <t>2021 one-off adjustment in the 2021 allocation</t>
        </is>
      </c>
      <c r="D1346" s="2" t="inlineStr">
        <is>
          <t>774.0</t>
        </is>
      </c>
      <c r="E1346" s="2" t="inlineStr">
        <is>
          <t>kt CO2e</t>
        </is>
      </c>
      <c r="F1346" s="2" t="inlineStr">
        <is>
          <t>Regulation (EU) 2018/842, Annex IV</t>
        </is>
      </c>
      <c r="G1346" s="2" t="inlineStr">
        <is>
          <t>2021 surplus 740.3 kt; without the adjustment: -33.7 kt</t>
        </is>
      </c>
      <c r="H1346" s="2" t="inlineStr"/>
    </row>
    <row r="1347">
      <c r="A1347" s="5" t="inlineStr">
        <is>
          <t>CC-094</t>
        </is>
      </c>
      <c r="B1347" s="2" t="inlineStr">
        <is>
          <t>CC-094:100</t>
        </is>
      </c>
      <c r="C1347" s="2" t="inlineStr">
        <is>
          <t>2021 surplus vs the 75% banking limit</t>
        </is>
      </c>
      <c r="D1347" s="2" t="inlineStr">
        <is>
          <t>740.3 / 1548.8</t>
        </is>
      </c>
      <c r="E1347" s="2" t="inlineStr">
        <is>
          <t>kt CO2e</t>
        </is>
      </c>
      <c r="F1347" s="2" t="inlineStr">
        <is>
          <t>calculated</t>
        </is>
      </c>
      <c r="G1347" s="2" t="inlineStr">
        <is>
          <t>the whole 2021 surplus can be banked (Regulation 2023/857, Article 5(3)(a))</t>
        </is>
      </c>
      <c r="H1347" s="2" t="inlineStr"/>
    </row>
    <row r="1348">
      <c r="A1348" s="5" t="inlineStr">
        <is>
          <t>CC-094</t>
        </is>
      </c>
      <c r="B1348" s="2" t="inlineStr">
        <is>
          <t>CC-094:101</t>
        </is>
      </c>
      <c r="C1348" s="2" t="inlineStr">
        <is>
          <t>ETS flexibility check: 2% x 4 years + 7% x 6 years of the 2005 base</t>
        </is>
      </c>
      <c r="D1348" s="2" t="inlineStr">
        <is>
          <t>510.3</t>
        </is>
      </c>
      <c r="E1348" s="2" t="inlineStr">
        <is>
          <t>kt CO2e</t>
        </is>
      </c>
      <c r="F1348" s="2" t="inlineStr">
        <is>
          <t>calculated</t>
        </is>
      </c>
      <c r="G1348" s="2" t="inlineStr">
        <is>
          <t>Decision 2024/1884: 510.3 kt</t>
        </is>
      </c>
      <c r="H1348" s="2" t="inlineStr"/>
    </row>
    <row r="1349">
      <c r="A1349" s="5" t="inlineStr">
        <is>
          <t>CC-094</t>
        </is>
      </c>
      <c r="B1349" s="2" t="inlineStr">
        <is>
          <t>CC-094:102</t>
        </is>
      </c>
      <c r="C1349" s="2" t="inlineStr">
        <is>
          <t>Malta eligible for the safety reserve</t>
        </is>
      </c>
      <c r="D1349" s="2" t="inlineStr">
        <is>
          <t>no</t>
        </is>
      </c>
      <c r="E1349" s="2" t="inlineStr"/>
      <c r="F1349" s="2" t="inlineStr">
        <is>
          <t>Commission Decision (EU) 2023/863, recital (5)</t>
        </is>
      </c>
      <c r="G1349" s="2" t="inlineStr">
        <is>
          <t>2013-2020 emissions above allocations</t>
        </is>
      </c>
      <c r="H1349" s="2" t="inlineStr"/>
    </row>
    <row r="1350">
      <c r="A1350" s="5" t="inlineStr">
        <is>
          <t>CC-094</t>
        </is>
      </c>
      <c r="B1350" s="2" t="inlineStr">
        <is>
          <t>CC-094:103</t>
        </is>
      </c>
      <c r="C1350" s="2" t="inlineStr">
        <is>
          <t>Allocation 2026: adopted (Decision 2026/895) vs Commission estimate (SWD Table 26)</t>
        </is>
      </c>
      <c r="D1350" s="2" t="inlineStr">
        <is>
          <t>1.200 / 1.2</t>
        </is>
      </c>
      <c r="E1350" s="2" t="inlineStr">
        <is>
          <t>Mt CO2e</t>
        </is>
      </c>
      <c r="F1350" s="2" t="inlineStr">
        <is>
          <t>Implementing Decisions (EU) 2020/2126, 2024/1884, 2026/895; Regulations (EU) 2018/842, 2023/857</t>
        </is>
      </c>
      <c r="G1350" s="2" t="inlineStr"/>
      <c r="H1350" s="2" t="inlineStr"/>
    </row>
    <row r="1351">
      <c r="A1351" s="5" t="inlineStr">
        <is>
          <t>CC-094</t>
        </is>
      </c>
      <c r="B1351" s="2" t="inlineStr">
        <is>
          <t>CC-094:104</t>
        </is>
      </c>
      <c r="C1351" s="2" t="inlineStr">
        <is>
          <t>Allocation 2027: adopted (Decision 2026/895) vs Commission estimate (SWD Table 26)</t>
        </is>
      </c>
      <c r="D1351" s="2" t="inlineStr">
        <is>
          <t>1.107 / 1.1</t>
        </is>
      </c>
      <c r="E1351" s="2" t="inlineStr">
        <is>
          <t>Mt CO2e</t>
        </is>
      </c>
      <c r="F1351" s="2" t="inlineStr">
        <is>
          <t>Implementing Decisions (EU) 2020/2126, 2024/1884, 2026/895; Regulations (EU) 2018/842, 2023/857</t>
        </is>
      </c>
      <c r="G1351" s="2" t="inlineStr"/>
      <c r="H1351" s="2" t="inlineStr"/>
    </row>
    <row r="1352">
      <c r="A1352" s="5" t="inlineStr">
        <is>
          <t>CC-094</t>
        </is>
      </c>
      <c r="B1352" s="2" t="inlineStr">
        <is>
          <t>CC-094:105</t>
        </is>
      </c>
      <c r="C1352" s="2" t="inlineStr">
        <is>
          <t>Allocation 2028: adopted (Decision 2026/895) vs Commission estimate (SWD Table 26)</t>
        </is>
      </c>
      <c r="D1352" s="2" t="inlineStr">
        <is>
          <t>1.013 / 1.0</t>
        </is>
      </c>
      <c r="E1352" s="2" t="inlineStr">
        <is>
          <t>Mt CO2e</t>
        </is>
      </c>
      <c r="F1352" s="2" t="inlineStr">
        <is>
          <t>Implementing Decisions (EU) 2020/2126, 2024/1884, 2026/895; Regulations (EU) 2018/842, 2023/857</t>
        </is>
      </c>
      <c r="G1352" s="2" t="inlineStr"/>
      <c r="H1352" s="2" t="inlineStr"/>
    </row>
    <row r="1353">
      <c r="A1353" s="5" t="inlineStr">
        <is>
          <t>CC-094</t>
        </is>
      </c>
      <c r="B1353" s="2" t="inlineStr">
        <is>
          <t>CC-094:106</t>
        </is>
      </c>
      <c r="C1353" s="2" t="inlineStr">
        <is>
          <t>Allocation 2029: adopted (Decision 2026/895) vs Commission estimate (SWD Table 26)</t>
        </is>
      </c>
      <c r="D1353" s="2" t="inlineStr">
        <is>
          <t>0.920 / 0.9</t>
        </is>
      </c>
      <c r="E1353" s="2" t="inlineStr">
        <is>
          <t>Mt CO2e</t>
        </is>
      </c>
      <c r="F1353" s="2" t="inlineStr">
        <is>
          <t>Implementing Decisions (EU) 2020/2126, 2024/1884, 2026/895; Regulations (EU) 2018/842, 2023/857</t>
        </is>
      </c>
      <c r="G1353" s="2" t="inlineStr"/>
      <c r="H1353" s="2" t="inlineStr"/>
    </row>
    <row r="1354">
      <c r="A1354" s="5" t="inlineStr">
        <is>
          <t>CC-094</t>
        </is>
      </c>
      <c r="B1354" s="2" t="inlineStr">
        <is>
          <t>CC-094:107</t>
        </is>
      </c>
      <c r="C1354" s="2" t="inlineStr">
        <is>
          <t>Allocation 2030: adopted (Decision 2026/895) vs Commission estimate (SWD Table 26)</t>
        </is>
      </c>
      <c r="D1354" s="2" t="inlineStr">
        <is>
          <t>0.827 / 0.8</t>
        </is>
      </c>
      <c r="E1354" s="2" t="inlineStr">
        <is>
          <t>Mt CO2e</t>
        </is>
      </c>
      <c r="F1354" s="2" t="inlineStr">
        <is>
          <t>Implementing Decisions (EU) 2020/2126, 2024/1884, 2026/895; Regulations (EU) 2018/842, 2023/857</t>
        </is>
      </c>
      <c r="G1354" s="2" t="inlineStr"/>
      <c r="H1354" s="2" t="inlineStr"/>
    </row>
    <row r="1355">
      <c r="A1355" s="5" t="inlineStr">
        <is>
          <t>CC-099</t>
        </is>
      </c>
      <c r="B1355" s="2" t="inlineStr">
        <is>
          <t>CC-099:2</t>
        </is>
      </c>
      <c r="C1355" s="2" t="inlineStr">
        <is>
          <t>Population on 1 January 2026 (= end of 2025)</t>
        </is>
      </c>
      <c r="D1355" s="2" t="inlineStr">
        <is>
          <t>588254</t>
        </is>
      </c>
      <c r="E1355" s="2" t="inlineStr">
        <is>
          <t>persons</t>
        </is>
      </c>
      <c r="F1355" s="2" t="inlineStr">
        <is>
          <t>Eurostat demo_gind, retrieved 6 Oct 2026</t>
        </is>
      </c>
      <c r="G1355" s="2" t="inlineStr">
        <is>
          <t>no Eurostat flag; PwC: 588,254 at year-end 2025</t>
        </is>
      </c>
      <c r="H1355" s="2" t="inlineStr"/>
    </row>
    <row r="1356">
      <c r="A1356" s="5" t="inlineStr">
        <is>
          <t>CC-099</t>
        </is>
      </c>
      <c r="B1356" s="2" t="inlineStr">
        <is>
          <t>CC-099:3</t>
        </is>
      </c>
      <c r="C1356" s="2" t="inlineStr">
        <is>
          <t>Population change in 2025</t>
        </is>
      </c>
      <c r="D1356" s="2" t="inlineStr">
        <is>
          <t>14004</t>
        </is>
      </c>
      <c r="E1356" s="2" t="inlineStr">
        <is>
          <t>persons</t>
        </is>
      </c>
      <c r="F1356" s="2" t="inlineStr">
        <is>
          <t>Eurostat demo_gind, retrieved 6 Oct 2026</t>
        </is>
      </c>
      <c r="G1356" s="2" t="inlineStr">
        <is>
          <t>PwC: approximately 14,000</t>
        </is>
      </c>
      <c r="H1356" s="2" t="inlineStr"/>
    </row>
    <row r="1357">
      <c r="A1357" s="5" t="inlineStr">
        <is>
          <t>CC-099</t>
        </is>
      </c>
      <c r="B1357" s="2" t="inlineStr">
        <is>
          <t>CC-099:4</t>
        </is>
      </c>
      <c r="C1357" s="2" t="inlineStr">
        <is>
          <t>Population change in 2025, % of 1 January 2025</t>
        </is>
      </c>
      <c r="D1357" s="2" t="inlineStr">
        <is>
          <t>2.44</t>
        </is>
      </c>
      <c r="E1357" s="2" t="inlineStr">
        <is>
          <t>%</t>
        </is>
      </c>
      <c r="F1357" s="2" t="inlineStr">
        <is>
          <t>Eurostat demo_gind, retrieved 6 Oct 2026</t>
        </is>
      </c>
      <c r="G1357" s="2" t="inlineStr">
        <is>
          <t>PwC: 2.4%</t>
        </is>
      </c>
      <c r="H1357" s="2" t="inlineStr"/>
    </row>
    <row r="1358">
      <c r="A1358" s="5" t="inlineStr">
        <is>
          <t>CC-099</t>
        </is>
      </c>
      <c r="B1358" s="2" t="inlineStr">
        <is>
          <t>CC-099:5</t>
        </is>
      </c>
      <c r="C1358" s="2" t="inlineStr">
        <is>
          <t>Net migration (plus statistical adjustment), 2025</t>
        </is>
      </c>
      <c r="D1358" s="2" t="inlineStr">
        <is>
          <t>13906</t>
        </is>
      </c>
      <c r="E1358" s="2" t="inlineStr">
        <is>
          <t>persons</t>
        </is>
      </c>
      <c r="F1358" s="2" t="inlineStr">
        <is>
          <t>Eurostat demo_gind, retrieved 6 Oct 2026</t>
        </is>
      </c>
      <c r="G1358" s="2" t="inlineStr"/>
      <c r="H1358" s="2" t="inlineStr"/>
    </row>
    <row r="1359">
      <c r="A1359" s="5" t="inlineStr">
        <is>
          <t>CC-099</t>
        </is>
      </c>
      <c r="B1359" s="2" t="inlineStr">
        <is>
          <t>CC-099:6</t>
        </is>
      </c>
      <c r="C1359" s="2" t="inlineStr">
        <is>
          <t>Natural change, 2025</t>
        </is>
      </c>
      <c r="D1359" s="2" t="inlineStr">
        <is>
          <t>98</t>
        </is>
      </c>
      <c r="E1359" s="2" t="inlineStr">
        <is>
          <t>persons</t>
        </is>
      </c>
      <c r="F1359" s="2" t="inlineStr">
        <is>
          <t>Eurostat demo_gind, retrieved 6 Oct 2026</t>
        </is>
      </c>
      <c r="G1359" s="2" t="inlineStr"/>
      <c r="H1359" s="2" t="inlineStr"/>
    </row>
    <row r="1360">
      <c r="A1360" s="5" t="inlineStr">
        <is>
          <t>CC-099</t>
        </is>
      </c>
      <c r="B1360" s="2" t="inlineStr">
        <is>
          <t>CC-099:7</t>
        </is>
      </c>
      <c r="C1360" s="2" t="inlineStr">
        <is>
          <t>Latest year with Eurostat's split by citizenship (1 January)</t>
        </is>
      </c>
      <c r="D1360" s="2" t="inlineStr">
        <is>
          <t>2025</t>
        </is>
      </c>
      <c r="E1360" s="2" t="inlineStr">
        <is>
          <t>year</t>
        </is>
      </c>
      <c r="F1360" s="2" t="inlineStr">
        <is>
          <t>Eurostat migr_pop1ctz (1 January, by citizenship), retrieved 6 Oct 2026</t>
        </is>
      </c>
      <c r="G1360" s="2" t="inlineStr">
        <is>
          <t>1 January 2026 not yet published by Eurostat</t>
        </is>
      </c>
      <c r="H1360" s="2" t="inlineStr"/>
    </row>
    <row r="1361">
      <c r="A1361" s="5" t="inlineStr">
        <is>
          <t>CC-099</t>
        </is>
      </c>
      <c r="B1361" s="2" t="inlineStr">
        <is>
          <t>CC-099:8</t>
        </is>
      </c>
      <c r="C1361" s="2" t="inlineStr">
        <is>
          <t>Non-Maltese citizens' share, 1 January 2010</t>
        </is>
      </c>
      <c r="D1361" s="2" t="inlineStr">
        <is>
          <t>4.58</t>
        </is>
      </c>
      <c r="E1361" s="2" t="inlineStr">
        <is>
          <t>%</t>
        </is>
      </c>
      <c r="F1361" s="2" t="inlineStr">
        <is>
          <t>Eurostat migr_pop1ctz (1 January, by citizenship), retrieved 6 Oct 2026</t>
        </is>
      </c>
      <c r="G1361" s="2" t="inlineStr">
        <is>
          <t>18,952 of 414,027</t>
        </is>
      </c>
      <c r="H1361" s="2" t="inlineStr"/>
    </row>
    <row r="1362">
      <c r="A1362" s="5" t="inlineStr">
        <is>
          <t>CC-099</t>
        </is>
      </c>
      <c r="B1362" s="2" t="inlineStr">
        <is>
          <t>CC-099:9</t>
        </is>
      </c>
      <c r="C1362" s="2" t="inlineStr">
        <is>
          <t>Non-Maltese citizens' share, 1 January 2015</t>
        </is>
      </c>
      <c r="D1362" s="2" t="inlineStr">
        <is>
          <t>8.93</t>
        </is>
      </c>
      <c r="E1362" s="2" t="inlineStr">
        <is>
          <t>%</t>
        </is>
      </c>
      <c r="F1362" s="2" t="inlineStr">
        <is>
          <t>Eurostat migr_pop1ctz (1 January, by citizenship), retrieved 6 Oct 2026</t>
        </is>
      </c>
      <c r="G1362" s="2" t="inlineStr">
        <is>
          <t>39,173 of 438,805</t>
        </is>
      </c>
      <c r="H1362" s="2" t="inlineStr"/>
    </row>
    <row r="1363">
      <c r="A1363" s="5" t="inlineStr">
        <is>
          <t>CC-099</t>
        </is>
      </c>
      <c r="B1363" s="2" t="inlineStr">
        <is>
          <t>CC-099:10</t>
        </is>
      </c>
      <c r="C1363" s="2" t="inlineStr">
        <is>
          <t>Non-Maltese citizens' share, 1 January 2019</t>
        </is>
      </c>
      <c r="D1363" s="2" t="inlineStr">
        <is>
          <t>18.35</t>
        </is>
      </c>
      <c r="E1363" s="2" t="inlineStr">
        <is>
          <t>%</t>
        </is>
      </c>
      <c r="F1363" s="2" t="inlineStr">
        <is>
          <t>Eurostat migr_pop1ctz (1 January, by citizenship), retrieved 6 Oct 2026</t>
        </is>
      </c>
      <c r="G1363" s="2" t="inlineStr">
        <is>
          <t>90,470 of 492,968</t>
        </is>
      </c>
      <c r="H1363" s="2" t="inlineStr"/>
    </row>
    <row r="1364">
      <c r="A1364" s="5" t="inlineStr">
        <is>
          <t>CC-099</t>
        </is>
      </c>
      <c r="B1364" s="2" t="inlineStr">
        <is>
          <t>CC-099:11</t>
        </is>
      </c>
      <c r="C1364" s="2" t="inlineStr">
        <is>
          <t>Non-Maltese citizens' share, 1 January 2020</t>
        </is>
      </c>
      <c r="D1364" s="2" t="inlineStr">
        <is>
          <t>21.74</t>
        </is>
      </c>
      <c r="E1364" s="2" t="inlineStr">
        <is>
          <t>%</t>
        </is>
      </c>
      <c r="F1364" s="2" t="inlineStr">
        <is>
          <t>Eurostat migr_pop1ctz (1 January, by citizenship), retrieved 6 Oct 2026</t>
        </is>
      </c>
      <c r="G1364" s="2" t="inlineStr">
        <is>
          <t>111,915 of 514,855</t>
        </is>
      </c>
      <c r="H1364" s="2" t="inlineStr"/>
    </row>
    <row r="1365">
      <c r="A1365" s="5" t="inlineStr">
        <is>
          <t>CC-099</t>
        </is>
      </c>
      <c r="B1365" s="2" t="inlineStr">
        <is>
          <t>CC-099:12</t>
        </is>
      </c>
      <c r="C1365" s="2" t="inlineStr">
        <is>
          <t>Non-Maltese citizens' share, 1 January 2021</t>
        </is>
      </c>
      <c r="D1365" s="2" t="inlineStr">
        <is>
          <t>21.83</t>
        </is>
      </c>
      <c r="E1365" s="2" t="inlineStr">
        <is>
          <t>%</t>
        </is>
      </c>
      <c r="F1365" s="2" t="inlineStr">
        <is>
          <t>Eurostat migr_pop1ctz (1 January, by citizenship), retrieved 6 Oct 2026</t>
        </is>
      </c>
      <c r="G1365" s="2" t="inlineStr">
        <is>
          <t>112,662 of 516,125</t>
        </is>
      </c>
      <c r="H1365" s="2" t="inlineStr"/>
    </row>
    <row r="1366">
      <c r="A1366" s="5" t="inlineStr">
        <is>
          <t>CC-099</t>
        </is>
      </c>
      <c r="B1366" s="2" t="inlineStr">
        <is>
          <t>CC-099:13</t>
        </is>
      </c>
      <c r="C1366" s="2" t="inlineStr">
        <is>
          <t>Non-Maltese citizens' share, 1 January 2022</t>
        </is>
      </c>
      <c r="D1366" s="2" t="inlineStr">
        <is>
          <t>22.37</t>
        </is>
      </c>
      <c r="E1366" s="2" t="inlineStr">
        <is>
          <t>%</t>
        </is>
      </c>
      <c r="F1366" s="2" t="inlineStr">
        <is>
          <t>Eurostat migr_pop1ctz (1 January, by citizenship), retrieved 6 Oct 2026</t>
        </is>
      </c>
      <c r="G1366" s="2" t="inlineStr">
        <is>
          <t>116,380 of 520,174</t>
        </is>
      </c>
      <c r="H1366" s="2" t="inlineStr"/>
    </row>
    <row r="1367">
      <c r="A1367" s="5" t="inlineStr">
        <is>
          <t>CC-099</t>
        </is>
      </c>
      <c r="B1367" s="2" t="inlineStr">
        <is>
          <t>CC-099:14</t>
        </is>
      </c>
      <c r="C1367" s="2" t="inlineStr">
        <is>
          <t>Non-Maltese citizens' share, 1 January 2023</t>
        </is>
      </c>
      <c r="D1367" s="2" t="inlineStr">
        <is>
          <t>25.34</t>
        </is>
      </c>
      <c r="E1367" s="2" t="inlineStr">
        <is>
          <t>%</t>
        </is>
      </c>
      <c r="F1367" s="2" t="inlineStr">
        <is>
          <t>Eurostat migr_pop1ctz (1 January, by citizenship), retrieved 6 Oct 2026</t>
        </is>
      </c>
      <c r="G1367" s="2" t="inlineStr">
        <is>
          <t>137,376 of 542,051</t>
        </is>
      </c>
      <c r="H1367" s="2" t="inlineStr"/>
    </row>
    <row r="1368">
      <c r="A1368" s="5" t="inlineStr">
        <is>
          <t>CC-099</t>
        </is>
      </c>
      <c r="B1368" s="2" t="inlineStr">
        <is>
          <t>CC-099:15</t>
        </is>
      </c>
      <c r="C1368" s="2" t="inlineStr">
        <is>
          <t>Non-Maltese citizens' share, 1 January 2024</t>
        </is>
      </c>
      <c r="D1368" s="2" t="inlineStr">
        <is>
          <t>28.11</t>
        </is>
      </c>
      <c r="E1368" s="2" t="inlineStr">
        <is>
          <t>%</t>
        </is>
      </c>
      <c r="F1368" s="2" t="inlineStr">
        <is>
          <t>Eurostat migr_pop1ctz (1 January, by citizenship), retrieved 6 Oct 2026</t>
        </is>
      </c>
      <c r="G1368" s="2" t="inlineStr">
        <is>
          <t>158,368 of 563,443</t>
        </is>
      </c>
      <c r="H1368" s="2" t="inlineStr"/>
    </row>
    <row r="1369">
      <c r="A1369" s="5" t="inlineStr">
        <is>
          <t>CC-099</t>
        </is>
      </c>
      <c r="B1369" s="2" t="inlineStr">
        <is>
          <t>CC-099:16</t>
        </is>
      </c>
      <c r="C1369" s="2" t="inlineStr">
        <is>
          <t>Non-Maltese citizens' share, 1 January 2025</t>
        </is>
      </c>
      <c r="D1369" s="2" t="inlineStr">
        <is>
          <t>29.42</t>
        </is>
      </c>
      <c r="E1369" s="2" t="inlineStr">
        <is>
          <t>%</t>
        </is>
      </c>
      <c r="F1369" s="2" t="inlineStr">
        <is>
          <t>Eurostat migr_pop1ctz (1 January, by citizenship), retrieved 6 Oct 2026</t>
        </is>
      </c>
      <c r="G1369" s="2" t="inlineStr">
        <is>
          <t>168,938 of 574,250</t>
        </is>
      </c>
      <c r="H1369" s="2" t="inlineStr"/>
    </row>
    <row r="1370">
      <c r="A1370" s="5" t="inlineStr">
        <is>
          <t>CC-099</t>
        </is>
      </c>
      <c r="B1370" s="2" t="inlineStr">
        <is>
          <t>CC-099:17</t>
        </is>
      </c>
      <c r="C1370" s="2" t="inlineStr">
        <is>
          <t>Of which other EU citizens, 1 January 2025</t>
        </is>
      </c>
      <c r="D1370" s="2" t="inlineStr">
        <is>
          <t>7.97</t>
        </is>
      </c>
      <c r="E1370" s="2" t="inlineStr">
        <is>
          <t>%</t>
        </is>
      </c>
      <c r="F1370" s="2" t="inlineStr">
        <is>
          <t>Eurostat migr_pop1ctz (1 January, by citizenship), retrieved 6 Oct 2026</t>
        </is>
      </c>
      <c r="G1370" s="2" t="inlineStr">
        <is>
          <t>45,771</t>
        </is>
      </c>
      <c r="H1370" s="2" t="inlineStr"/>
    </row>
    <row r="1371">
      <c r="A1371" s="5" t="inlineStr">
        <is>
          <t>CC-099</t>
        </is>
      </c>
      <c r="B1371" s="2" t="inlineStr">
        <is>
          <t>CC-099:18</t>
        </is>
      </c>
      <c r="C1371" s="2" t="inlineStr">
        <is>
          <t>Of which non-EU citizens, 1 January 2025</t>
        </is>
      </c>
      <c r="D1371" s="2" t="inlineStr">
        <is>
          <t>21.45</t>
        </is>
      </c>
      <c r="E1371" s="2" t="inlineStr">
        <is>
          <t>%</t>
        </is>
      </c>
      <c r="F1371" s="2" t="inlineStr">
        <is>
          <t>Eurostat migr_pop1ctz (1 January, by citizenship), retrieved 6 Oct 2026</t>
        </is>
      </c>
      <c r="G1371" s="2" t="inlineStr">
        <is>
          <t>123,167</t>
        </is>
      </c>
      <c r="H1371" s="2" t="inlineStr"/>
    </row>
    <row r="1372">
      <c r="A1372" s="5" t="inlineStr">
        <is>
          <t>CC-099</t>
        </is>
      </c>
      <c r="B1372" s="2" t="inlineStr">
        <is>
          <t>CC-099:19</t>
        </is>
      </c>
      <c r="C1372" s="2" t="inlineStr">
        <is>
          <t>Stateless, 1 January 2025</t>
        </is>
      </c>
      <c r="D1372" s="2" t="inlineStr">
        <is>
          <t>0</t>
        </is>
      </c>
      <c r="E1372" s="2" t="inlineStr">
        <is>
          <t>persons</t>
        </is>
      </c>
      <c r="F1372" s="2" t="inlineStr">
        <is>
          <t>Eurostat migr_pop1ctz (1 January, by citizenship), retrieved 6 Oct 2026</t>
        </is>
      </c>
      <c r="G1372" s="2" t="inlineStr"/>
      <c r="H1372" s="2" t="inlineStr"/>
    </row>
    <row r="1373">
      <c r="A1373" s="5" t="inlineStr">
        <is>
          <t>CC-099</t>
        </is>
      </c>
      <c r="B1373" s="2" t="inlineStr">
        <is>
          <t>CC-099:20</t>
        </is>
      </c>
      <c r="C1373" s="2" t="inlineStr">
        <is>
          <t>Flags on the 2010-2025 citizenship series</t>
        </is>
      </c>
      <c r="D1373" s="2" t="inlineStr">
        <is>
          <t>none</t>
        </is>
      </c>
      <c r="E1373" s="2" t="inlineStr">
        <is>
          <t>flags</t>
        </is>
      </c>
      <c r="F1373" s="2" t="inlineStr">
        <is>
          <t>Eurostat migr_pop1ctz (1 January, by citizenship), retrieved 6 Oct 2026</t>
        </is>
      </c>
      <c r="G1373" s="2" t="inlineStr">
        <is>
          <t>earlier years carry 'b' (2001, 2009 total) and 'e' (2006); not used</t>
        </is>
      </c>
      <c r="H1373" s="2" t="inlineStr"/>
    </row>
    <row r="1374">
      <c r="A1374" s="5" t="inlineStr">
        <is>
          <t>CC-099</t>
        </is>
      </c>
      <c r="B1374" s="2" t="inlineStr">
        <is>
          <t>CC-099:21</t>
        </is>
      </c>
      <c r="C1374" s="2" t="inlineStr">
        <is>
          <t>Born abroad, share, 1 January 2019</t>
        </is>
      </c>
      <c r="D1374" s="2" t="inlineStr">
        <is>
          <t>20.17</t>
        </is>
      </c>
      <c r="E1374" s="2" t="inlineStr">
        <is>
          <t>%</t>
        </is>
      </c>
      <c r="F1374" s="2" t="inlineStr">
        <is>
          <t>Eurostat migr_pop3ctb (1 January, by country of birth), retrieved 6 Oct 2026</t>
        </is>
      </c>
      <c r="G1374" s="2" t="inlineStr">
        <is>
          <t>99,436 of 492,968</t>
        </is>
      </c>
      <c r="H1374" s="2" t="inlineStr"/>
    </row>
    <row r="1375">
      <c r="A1375" s="5" t="inlineStr">
        <is>
          <t>CC-099</t>
        </is>
      </c>
      <c r="B1375" s="2" t="inlineStr">
        <is>
          <t>CC-099:22</t>
        </is>
      </c>
      <c r="C1375" s="2" t="inlineStr">
        <is>
          <t>Born abroad, share, 1 January 2022</t>
        </is>
      </c>
      <c r="D1375" s="2" t="inlineStr">
        <is>
          <t>23.6</t>
        </is>
      </c>
      <c r="E1375" s="2" t="inlineStr">
        <is>
          <t>%</t>
        </is>
      </c>
      <c r="F1375" s="2" t="inlineStr">
        <is>
          <t>Eurostat migr_pop3ctb (1 January, by country of birth), retrieved 6 Oct 2026</t>
        </is>
      </c>
      <c r="G1375" s="2" t="inlineStr">
        <is>
          <t>122,742 of 520,174</t>
        </is>
      </c>
      <c r="H1375" s="2" t="inlineStr"/>
    </row>
    <row r="1376">
      <c r="A1376" s="5" t="inlineStr">
        <is>
          <t>CC-099</t>
        </is>
      </c>
      <c r="B1376" s="2" t="inlineStr">
        <is>
          <t>CC-099:23</t>
        </is>
      </c>
      <c r="C1376" s="2" t="inlineStr">
        <is>
          <t>Born abroad, share, 1 January 2023</t>
        </is>
      </c>
      <c r="D1376" s="2" t="inlineStr">
        <is>
          <t>28.29</t>
        </is>
      </c>
      <c r="E1376" s="2" t="inlineStr">
        <is>
          <t>%</t>
        </is>
      </c>
      <c r="F1376" s="2" t="inlineStr">
        <is>
          <t>Eurostat migr_pop3ctb (1 January, by country of birth), retrieved 6 Oct 2026</t>
        </is>
      </c>
      <c r="G1376" s="2" t="inlineStr">
        <is>
          <t>153,361 of 542,051</t>
        </is>
      </c>
      <c r="H1376" s="2" t="inlineStr"/>
    </row>
    <row r="1377">
      <c r="A1377" s="5" t="inlineStr">
        <is>
          <t>CC-099</t>
        </is>
      </c>
      <c r="B1377" s="2" t="inlineStr">
        <is>
          <t>CC-099:24</t>
        </is>
      </c>
      <c r="C1377" s="2" t="inlineStr">
        <is>
          <t>Born abroad, share, 1 January 2024</t>
        </is>
      </c>
      <c r="D1377" s="2" t="inlineStr">
        <is>
          <t>30.84</t>
        </is>
      </c>
      <c r="E1377" s="2" t="inlineStr">
        <is>
          <t>%</t>
        </is>
      </c>
      <c r="F1377" s="2" t="inlineStr">
        <is>
          <t>Eurostat migr_pop3ctb (1 January, by country of birth), retrieved 6 Oct 2026</t>
        </is>
      </c>
      <c r="G1377" s="2" t="inlineStr">
        <is>
          <t>173,781 of 563,443</t>
        </is>
      </c>
      <c r="H1377" s="2" t="inlineStr"/>
    </row>
    <row r="1378">
      <c r="A1378" s="5" t="inlineStr">
        <is>
          <t>CC-099</t>
        </is>
      </c>
      <c r="B1378" s="2" t="inlineStr">
        <is>
          <t>CC-099:25</t>
        </is>
      </c>
      <c r="C1378" s="2" t="inlineStr">
        <is>
          <t>Born abroad, share, 1 January 2025</t>
        </is>
      </c>
      <c r="D1378" s="2" t="inlineStr">
        <is>
          <t>32.0</t>
        </is>
      </c>
      <c r="E1378" s="2" t="inlineStr">
        <is>
          <t>%</t>
        </is>
      </c>
      <c r="F1378" s="2" t="inlineStr">
        <is>
          <t>Eurostat migr_pop3ctb (1 January, by country of birth), retrieved 6 Oct 2026</t>
        </is>
      </c>
      <c r="G1378" s="2" t="inlineStr">
        <is>
          <t>183,765 of 574,250</t>
        </is>
      </c>
      <c r="H1378" s="2" t="inlineStr"/>
    </row>
    <row r="1379">
      <c r="A1379" s="5" t="inlineStr">
        <is>
          <t>CC-099</t>
        </is>
      </c>
      <c r="B1379" s="2" t="inlineStr">
        <is>
          <t>CC-099:26</t>
        </is>
      </c>
      <c r="C1379" s="2" t="inlineStr">
        <is>
          <t>Malta-born residents, 1 January 2022 and 1 January 2023 (born-abroad series, level shift)</t>
        </is>
      </c>
      <c r="D1379" s="2" t="inlineStr">
        <is>
          <t>397,432 -&gt; 388,690</t>
        </is>
      </c>
      <c r="E1379" s="2" t="inlineStr">
        <is>
          <t>persons</t>
        </is>
      </c>
      <c r="F1379" s="2" t="inlineStr">
        <is>
          <t>Eurostat migr_pop3ctb (1 January, by country of birth), retrieved 6 Oct 2026</t>
        </is>
      </c>
      <c r="G1379" s="2" t="inlineStr">
        <is>
          <t>-8,742; no Eurostat flag on either year (flags: none, none)</t>
        </is>
      </c>
      <c r="H1379" s="2" t="inlineStr"/>
    </row>
    <row r="1380">
      <c r="A1380" s="5" t="inlineStr">
        <is>
          <t>CC-099</t>
        </is>
      </c>
      <c r="B1380" s="2" t="inlineStr">
        <is>
          <t>CC-099:27</t>
        </is>
      </c>
      <c r="C1380" s="2" t="inlineStr">
        <is>
          <t>Born abroad: 1 January 2022 share minus Census 2021 share (21 Nov 2021)</t>
        </is>
      </c>
      <c r="D1380" s="2" t="inlineStr">
        <is>
          <t>23.6 vs 25.65</t>
        </is>
      </c>
      <c r="E1380" s="2" t="inlineStr">
        <is>
          <t>%</t>
        </is>
      </c>
      <c r="F1380" s="2" t="inlineStr">
        <is>
          <t>Eurostat migr_pop3ctb (1 January, by country of birth), retrieved 6 Oct 2026; Eurostat cens_21ctz_r3 / cens_21cob_r3 (Census 2021), retrieved 6 Oct 2026</t>
        </is>
      </c>
      <c r="G1380" s="2" t="inlineStr">
        <is>
          <t>1 January 2022 is six weeks after the census date, yet its share is lower; we use only the 2025 level of this series</t>
        </is>
      </c>
      <c r="H1380" s="2" t="inlineStr"/>
    </row>
    <row r="1381">
      <c r="A1381" s="5" t="inlineStr">
        <is>
          <t>CC-099</t>
        </is>
      </c>
      <c r="B1381" s="2" t="inlineStr">
        <is>
          <t>CC-099:28</t>
        </is>
      </c>
      <c r="C1381" s="2" t="inlineStr">
        <is>
          <t>Census 2021: non-Maltese citizens (incl. stateless), share</t>
        </is>
      </c>
      <c r="D1381" s="2" t="inlineStr">
        <is>
          <t>22.22</t>
        </is>
      </c>
      <c r="E1381" s="2" t="inlineStr">
        <is>
          <t>%</t>
        </is>
      </c>
      <c r="F1381" s="2" t="inlineStr">
        <is>
          <t>Eurostat cens_21ctz_r3 / cens_21cob_r3 (Census 2021), retrieved 6 Oct 2026</t>
        </is>
      </c>
      <c r="G1381" s="2" t="inlineStr">
        <is>
          <t>115,453 of 519,564</t>
        </is>
      </c>
      <c r="H1381" s="2" t="inlineStr"/>
    </row>
    <row r="1382">
      <c r="A1382" s="5" t="inlineStr">
        <is>
          <t>CC-099</t>
        </is>
      </c>
      <c r="B1382" s="2" t="inlineStr">
        <is>
          <t>CC-099:29</t>
        </is>
      </c>
      <c r="C1382" s="2" t="inlineStr">
        <is>
          <t>Census 2021: born abroad, share</t>
        </is>
      </c>
      <c r="D1382" s="2" t="inlineStr">
        <is>
          <t>25.65</t>
        </is>
      </c>
      <c r="E1382" s="2" t="inlineStr">
        <is>
          <t>%</t>
        </is>
      </c>
      <c r="F1382" s="2" t="inlineStr">
        <is>
          <t>Eurostat cens_21ctz_r3 / cens_21cob_r3 (Census 2021), retrieved 6 Oct 2026</t>
        </is>
      </c>
      <c r="G1382" s="2" t="inlineStr"/>
      <c r="H1382" s="2" t="inlineStr"/>
    </row>
    <row r="1383">
      <c r="A1383" s="5" t="inlineStr">
        <is>
          <t>CC-099</t>
        </is>
      </c>
      <c r="B1383" s="2" t="inlineStr">
        <is>
          <t>CC-099:30</t>
        </is>
      </c>
      <c r="C1383" s="2" t="inlineStr">
        <is>
          <t>Change in the share of non-Maltese citizens during 2024 (1 Jan 2024 to 1 Jan 2025)</t>
        </is>
      </c>
      <c r="D1383" s="2" t="inlineStr">
        <is>
          <t>1.31</t>
        </is>
      </c>
      <c r="E1383" s="2" t="inlineStr">
        <is>
          <t>points</t>
        </is>
      </c>
      <c r="F1383" s="2" t="inlineStr">
        <is>
          <t>calculated</t>
        </is>
      </c>
      <c r="G1383" s="2" t="inlineStr"/>
      <c r="H1383" s="2" t="inlineStr"/>
    </row>
    <row r="1384">
      <c r="A1384" s="5" t="inlineStr">
        <is>
          <t>CC-099</t>
        </is>
      </c>
      <c r="B1384" s="2" t="inlineStr">
        <is>
          <t>CC-099:31</t>
        </is>
      </c>
      <c r="C1384" s="2" t="inlineStr">
        <is>
          <t>Change in the share of non-Maltese citizens during 2023</t>
        </is>
      </c>
      <c r="D1384" s="2" t="inlineStr">
        <is>
          <t>2.76</t>
        </is>
      </c>
      <c r="E1384" s="2" t="inlineStr">
        <is>
          <t>points</t>
        </is>
      </c>
      <c r="F1384" s="2" t="inlineStr">
        <is>
          <t>calculated</t>
        </is>
      </c>
      <c r="G1384" s="2" t="inlineStr"/>
      <c r="H1384" s="2" t="inlineStr"/>
    </row>
    <row r="1385">
      <c r="A1385" s="5" t="inlineStr">
        <is>
          <t>CC-099</t>
        </is>
      </c>
      <c r="B1385" s="2" t="inlineStr">
        <is>
          <t>CC-099:32</t>
        </is>
      </c>
      <c r="C1385" s="2" t="inlineStr">
        <is>
          <t>Maltese citizens, 1 January 2010 and 1 January 2025</t>
        </is>
      </c>
      <c r="D1385" s="2" t="inlineStr">
        <is>
          <t>395,075 -&gt; 405,312</t>
        </is>
      </c>
      <c r="E1385" s="2" t="inlineStr">
        <is>
          <t>persons</t>
        </is>
      </c>
      <c r="F1385" s="2" t="inlineStr">
        <is>
          <t>Eurostat migr_pop1ctz (1 January, by citizenship), retrieved 6 Oct 2026</t>
        </is>
      </c>
      <c r="G1385" s="2" t="inlineStr"/>
      <c r="H1385" s="2" t="inlineStr"/>
    </row>
    <row r="1386">
      <c r="A1386" s="5" t="inlineStr">
        <is>
          <t>CC-099</t>
        </is>
      </c>
      <c r="B1386" s="2" t="inlineStr">
        <is>
          <t>CC-099:33</t>
        </is>
      </c>
      <c r="C1386" s="2" t="inlineStr">
        <is>
          <t>Annual change in Maltese citizens, 2010-2024: smallest</t>
        </is>
      </c>
      <c r="D1386" s="2" t="inlineStr">
        <is>
          <t>237</t>
        </is>
      </c>
      <c r="E1386" s="2" t="inlineStr">
        <is>
          <t>persons a year</t>
        </is>
      </c>
      <c r="F1386" s="2" t="inlineStr">
        <is>
          <t>Eurostat migr_pop1ctz (1 January, by citizenship), retrieved 6 Oct 2026</t>
        </is>
      </c>
      <c r="G1386" s="2" t="inlineStr">
        <is>
          <t>in 2024</t>
        </is>
      </c>
      <c r="H1386" s="2" t="inlineStr"/>
    </row>
    <row r="1387">
      <c r="A1387" s="5" t="inlineStr">
        <is>
          <t>CC-099</t>
        </is>
      </c>
      <c r="B1387" s="2" t="inlineStr">
        <is>
          <t>CC-099:34</t>
        </is>
      </c>
      <c r="C1387" s="2" t="inlineStr">
        <is>
          <t>Annual change in Maltese citizens, 2010-2024: largest</t>
        </is>
      </c>
      <c r="D1387" s="2" t="inlineStr">
        <is>
          <t>1394</t>
        </is>
      </c>
      <c r="E1387" s="2" t="inlineStr">
        <is>
          <t>persons a year</t>
        </is>
      </c>
      <c r="F1387" s="2" t="inlineStr">
        <is>
          <t>Eurostat migr_pop1ctz (1 January, by citizenship), retrieved 6 Oct 2026</t>
        </is>
      </c>
      <c r="G1387" s="2" t="inlineStr">
        <is>
          <t>in 2011</t>
        </is>
      </c>
      <c r="H1387" s="2" t="inlineStr"/>
    </row>
    <row r="1388">
      <c r="A1388" s="5" t="inlineStr">
        <is>
          <t>CC-099</t>
        </is>
      </c>
      <c r="B1388" s="2" t="inlineStr">
        <is>
          <t>CC-099:35</t>
        </is>
      </c>
      <c r="C1388" s="2" t="inlineStr">
        <is>
          <t>Years 2010-2024 in which the number of Maltese citizens fell</t>
        </is>
      </c>
      <c r="D1388" s="2" t="inlineStr">
        <is>
          <t>0</t>
        </is>
      </c>
      <c r="E1388" s="2" t="inlineStr">
        <is>
          <t>years</t>
        </is>
      </c>
      <c r="F1388" s="2" t="inlineStr">
        <is>
          <t>Eurostat migr_pop1ctz (1 January, by citizenship), retrieved 6 Oct 2026</t>
        </is>
      </c>
      <c r="G1388" s="2" t="inlineStr">
        <is>
          <t>of 15</t>
        </is>
      </c>
      <c r="H1388" s="2" t="inlineStr"/>
    </row>
    <row r="1389">
      <c r="A1389" s="5" t="inlineStr">
        <is>
          <t>CC-099</t>
        </is>
      </c>
      <c r="B1389" s="2" t="inlineStr">
        <is>
          <t>CC-099:36</t>
        </is>
      </c>
      <c r="C1389" s="2" t="inlineStr">
        <is>
          <t>Non-Maltese share on 1 January 2026 if 2025's change in Maltese citizens lay within the 2010-2024 range</t>
        </is>
      </c>
      <c r="D1389" s="2" t="inlineStr">
        <is>
          <t>30.9-31.1</t>
        </is>
      </c>
      <c r="E1389" s="2" t="inlineStr">
        <is>
          <t>%</t>
        </is>
      </c>
      <c r="F1389" s="2" t="inlineStr">
        <is>
          <t>calculated from Eurostat (first-hand)</t>
        </is>
      </c>
      <c r="G1389" s="2" t="inlineStr">
        <is>
          <t>total 588,254; Maltese citizens 405,549-406,706; PwC: 31%</t>
        </is>
      </c>
      <c r="H1389" s="2" t="inlineStr"/>
    </row>
    <row r="1390">
      <c r="A1390" s="5" t="inlineStr">
        <is>
          <t>CC-099</t>
        </is>
      </c>
      <c r="B1390" s="2" t="inlineStr">
        <is>
          <t>CC-099:37</t>
        </is>
      </c>
      <c r="C1390" s="2" t="inlineStr">
        <is>
          <t>NSO: non-Maltese citizens at end-2025</t>
        </is>
      </c>
      <c r="D1390" s="2" t="inlineStr">
        <is>
          <t>182693</t>
        </is>
      </c>
      <c r="E1390" s="2" t="inlineStr">
        <is>
          <t>persons</t>
        </is>
      </c>
      <c r="F1390" s="2" t="inlineStr">
        <is>
          <t>◆ NSO World Population Day release (NR 120/2026, 9 Jul 2026) as reported by Newsbook, Lovin Malta, MEETinc</t>
        </is>
      </c>
      <c r="G1390" s="2" t="inlineStr">
        <is>
          <t>second-hand</t>
        </is>
      </c>
      <c r="H1390" s="2" t="inlineStr"/>
    </row>
    <row r="1391">
      <c r="A1391" s="5" t="inlineStr">
        <is>
          <t>CC-099</t>
        </is>
      </c>
      <c r="B1391" s="2" t="inlineStr">
        <is>
          <t>CC-099:38</t>
        </is>
      </c>
      <c r="C1391" s="2" t="inlineStr">
        <is>
          <t>NSO: share</t>
        </is>
      </c>
      <c r="D1391" s="2" t="inlineStr">
        <is>
          <t>31.06</t>
        </is>
      </c>
      <c r="E1391" s="2" t="inlineStr">
        <is>
          <t>%</t>
        </is>
      </c>
      <c r="F1391" s="2" t="inlineStr">
        <is>
          <t>◆ NSO World Population Day release (NR 120/2026, 9 Jul 2026) as reported by Newsbook, Lovin Malta, MEETinc</t>
        </is>
      </c>
      <c r="G1391" s="2" t="inlineStr">
        <is>
          <t>reported as 31.1%</t>
        </is>
      </c>
      <c r="H1391" s="2" t="inlineStr"/>
    </row>
    <row r="1392">
      <c r="A1392" s="5" t="inlineStr">
        <is>
          <t>CC-099</t>
        </is>
      </c>
      <c r="B1392" s="2" t="inlineStr">
        <is>
          <t>CC-099:39</t>
        </is>
      </c>
      <c r="C1392" s="2" t="inlineStr">
        <is>
          <t>Maltese citizens implied by the NSO figures, end-2025</t>
        </is>
      </c>
      <c r="D1392" s="2" t="inlineStr">
        <is>
          <t>405561</t>
        </is>
      </c>
      <c r="E1392" s="2" t="inlineStr">
        <is>
          <t>persons</t>
        </is>
      </c>
      <c r="F1392" s="2" t="inlineStr">
        <is>
          <t>calculated (◆ NSO via outlets)</t>
        </is>
      </c>
      <c r="G1392" s="2" t="inlineStr"/>
      <c r="H1392" s="2" t="inlineStr"/>
    </row>
    <row r="1393">
      <c r="A1393" s="5" t="inlineStr">
        <is>
          <t>CC-099</t>
        </is>
      </c>
      <c r="B1393" s="2" t="inlineStr">
        <is>
          <t>CC-099:40</t>
        </is>
      </c>
      <c r="C1393" s="2" t="inlineStr">
        <is>
          <t>Implied change in Maltese citizens during 2025</t>
        </is>
      </c>
      <c r="D1393" s="2" t="inlineStr">
        <is>
          <t>249</t>
        </is>
      </c>
      <c r="E1393" s="2" t="inlineStr">
        <is>
          <t>persons</t>
        </is>
      </c>
      <c r="F1393" s="2" t="inlineStr">
        <is>
          <t>calculated (◆)</t>
        </is>
      </c>
      <c r="G1393" s="2" t="inlineStr">
        <is>
          <t>within the 2010-2024 range of annual changes</t>
        </is>
      </c>
      <c r="H1393" s="2" t="inlineStr"/>
    </row>
    <row r="1394">
      <c r="A1394" s="5" t="inlineStr">
        <is>
          <t>CC-099</t>
        </is>
      </c>
      <c r="B1394" s="2" t="inlineStr">
        <is>
          <t>CC-099:41</t>
        </is>
      </c>
      <c r="C1394" s="2" t="inlineStr">
        <is>
          <t>Jobsplus: employed foreign nationals, December 2019</t>
        </is>
      </c>
      <c r="D1394" s="2" t="inlineStr">
        <is>
          <t>68036</t>
        </is>
      </c>
      <c r="E1394" s="2" t="inlineStr">
        <is>
          <t>persons</t>
        </is>
      </c>
      <c r="F1394" s="2" t="inlineStr">
        <is>
          <t>Jobsplus workbooks (December of each year), retrieved 6 Oct 2026</t>
        </is>
      </c>
      <c r="G1394" s="2" t="inlineStr"/>
      <c r="H1394" s="2" t="inlineStr"/>
    </row>
    <row r="1395">
      <c r="A1395" s="5" t="inlineStr">
        <is>
          <t>CC-099</t>
        </is>
      </c>
      <c r="B1395" s="2" t="inlineStr">
        <is>
          <t>CC-099:42</t>
        </is>
      </c>
      <c r="C1395" s="2" t="inlineStr">
        <is>
          <t>Jobsplus: foreign nationals' share of total employment, December 2019</t>
        </is>
      </c>
      <c r="D1395" s="2" t="inlineStr">
        <is>
          <t>25.9</t>
        </is>
      </c>
      <c r="E1395" s="2" t="inlineStr">
        <is>
          <t>%</t>
        </is>
      </c>
      <c r="F1395" s="2" t="inlineStr">
        <is>
          <t>Jobsplus workbooks (December of each year), retrieved 6 Oct 2026</t>
        </is>
      </c>
      <c r="G1395" s="2" t="inlineStr">
        <is>
          <t>68,036 of 262,750 (full- and part-time)</t>
        </is>
      </c>
      <c r="H1395" s="2" t="inlineStr"/>
    </row>
    <row r="1396">
      <c r="A1396" s="5" t="inlineStr">
        <is>
          <t>CC-099</t>
        </is>
      </c>
      <c r="B1396" s="2" t="inlineStr">
        <is>
          <t>CC-099:43</t>
        </is>
      </c>
      <c r="C1396" s="2" t="inlineStr">
        <is>
          <t>Jobsplus: employed foreign nationals, December 2025</t>
        </is>
      </c>
      <c r="D1396" s="2" t="inlineStr">
        <is>
          <t>135417</t>
        </is>
      </c>
      <c r="E1396" s="2" t="inlineStr">
        <is>
          <t>persons</t>
        </is>
      </c>
      <c r="F1396" s="2" t="inlineStr">
        <is>
          <t>Jobsplus workbooks (December of each year), retrieved 6 Oct 2026</t>
        </is>
      </c>
      <c r="G1396" s="2" t="inlineStr"/>
      <c r="H1396" s="2" t="inlineStr"/>
    </row>
    <row r="1397">
      <c r="A1397" s="5" t="inlineStr">
        <is>
          <t>CC-099</t>
        </is>
      </c>
      <c r="B1397" s="2" t="inlineStr">
        <is>
          <t>CC-099:44</t>
        </is>
      </c>
      <c r="C1397" s="2" t="inlineStr">
        <is>
          <t>Jobsplus: foreign nationals' share of total employment, December 2025</t>
        </is>
      </c>
      <c r="D1397" s="2" t="inlineStr">
        <is>
          <t>39.8</t>
        </is>
      </c>
      <c r="E1397" s="2" t="inlineStr">
        <is>
          <t>%</t>
        </is>
      </c>
      <c r="F1397" s="2" t="inlineStr">
        <is>
          <t>Jobsplus workbooks (December of each year), retrieved 6 Oct 2026</t>
        </is>
      </c>
      <c r="G1397" s="2" t="inlineStr">
        <is>
          <t>135,417 of 340,463 (full- and part-time)</t>
        </is>
      </c>
      <c r="H1397" s="2" t="inlineStr"/>
    </row>
    <row r="1398">
      <c r="A1398" s="5" t="inlineStr">
        <is>
          <t>CC-099</t>
        </is>
      </c>
      <c r="B1398" s="2" t="inlineStr">
        <is>
          <t>CC-099:45</t>
        </is>
      </c>
      <c r="C1398" s="2" t="inlineStr">
        <is>
          <t>Jobsplus: foreign nationals' share of full-time employment, December 2025</t>
        </is>
      </c>
      <c r="D1398" s="2" t="inlineStr">
        <is>
          <t>42.2</t>
        </is>
      </c>
      <c r="E1398" s="2" t="inlineStr">
        <is>
          <t>%</t>
        </is>
      </c>
      <c r="F1398" s="2" t="inlineStr">
        <is>
          <t>Jobsplus workbooks (December of each year), retrieved 6 Oct 2026</t>
        </is>
      </c>
      <c r="G1398" s="2" t="inlineStr">
        <is>
          <t>128,247 of 304,226</t>
        </is>
      </c>
      <c r="H1398" s="2" t="inlineStr"/>
    </row>
    <row r="1399">
      <c r="A1399" s="5" t="inlineStr">
        <is>
          <t>CC-099</t>
        </is>
      </c>
      <c r="B1399" s="2" t="inlineStr">
        <is>
          <t>CC-099:46</t>
        </is>
      </c>
      <c r="C1399" s="2" t="inlineStr">
        <is>
          <t>Jobsplus: third-country nationals' share of employed foreign nationals, December 2025</t>
        </is>
      </c>
      <c r="D1399" s="2" t="inlineStr">
        <is>
          <t>69.5</t>
        </is>
      </c>
      <c r="E1399" s="2" t="inlineStr">
        <is>
          <t>%</t>
        </is>
      </c>
      <c r="F1399" s="2" t="inlineStr">
        <is>
          <t>Jobsplus workbooks (December of each year), retrieved 6 Oct 2026</t>
        </is>
      </c>
      <c r="G1399" s="2" t="inlineStr"/>
      <c r="H1399" s="2" t="inlineStr"/>
    </row>
    <row r="1400">
      <c r="A1400" s="5" t="inlineStr">
        <is>
          <t>CC-099</t>
        </is>
      </c>
      <c r="B1400" s="2" t="inlineStr">
        <is>
          <t>CC-099:47</t>
        </is>
      </c>
      <c r="C1400" s="2" t="inlineStr">
        <is>
          <t>PwC base case for 2030</t>
        </is>
      </c>
      <c r="D1400" s="2" t="inlineStr">
        <is>
          <t>636000</t>
        </is>
      </c>
      <c r="E1400" s="2" t="inlineStr">
        <is>
          <t>persons</t>
        </is>
      </c>
      <c r="F1400" s="2" t="inlineStr">
        <is>
          <t>PwC Malta press release, as posted by Finance Malta, 17 Jul 2026</t>
        </is>
      </c>
      <c r="G1400" s="2" t="inlineStr"/>
      <c r="H1400" s="2" t="inlineStr"/>
    </row>
    <row r="1401">
      <c r="A1401" s="5" t="inlineStr">
        <is>
          <t>CC-099</t>
        </is>
      </c>
      <c r="B1401" s="2" t="inlineStr">
        <is>
          <t>CC-099:48</t>
        </is>
      </c>
      <c r="C1401" s="2" t="inlineStr">
        <is>
          <t>Local residents left by 37.5% of 636,000</t>
        </is>
      </c>
      <c r="D1401" s="2" t="inlineStr">
        <is>
          <t>397500</t>
        </is>
      </c>
      <c r="E1401" s="2" t="inlineStr">
        <is>
          <t>persons</t>
        </is>
      </c>
      <c r="F1401" s="2" t="inlineStr">
        <is>
          <t>calculated</t>
        </is>
      </c>
      <c r="G1401" s="2" t="inlineStr">
        <is>
          <t>foreign: 238,500</t>
        </is>
      </c>
      <c r="H1401" s="2" t="inlineStr"/>
    </row>
    <row r="1402">
      <c r="A1402" s="5" t="inlineStr">
        <is>
          <t>CC-099</t>
        </is>
      </c>
      <c r="B1402" s="2" t="inlineStr">
        <is>
          <t>CC-099:49</t>
        </is>
      </c>
      <c r="C1402" s="2" t="inlineStr">
        <is>
          <t>Local residents left by 38.0% of 636,000</t>
        </is>
      </c>
      <c r="D1402" s="2" t="inlineStr">
        <is>
          <t>394320</t>
        </is>
      </c>
      <c r="E1402" s="2" t="inlineStr">
        <is>
          <t>persons</t>
        </is>
      </c>
      <c r="F1402" s="2" t="inlineStr">
        <is>
          <t>calculated</t>
        </is>
      </c>
      <c r="G1402" s="2" t="inlineStr">
        <is>
          <t>foreign: 241,680</t>
        </is>
      </c>
      <c r="H1402" s="2" t="inlineStr"/>
    </row>
    <row r="1403">
      <c r="A1403" s="5" t="inlineStr">
        <is>
          <t>CC-099</t>
        </is>
      </c>
      <c r="B1403" s="2" t="inlineStr">
        <is>
          <t>CC-099:50</t>
        </is>
      </c>
      <c r="C1403" s="2" t="inlineStr">
        <is>
          <t>Local residents left by 38.5% of 636,000</t>
        </is>
      </c>
      <c r="D1403" s="2" t="inlineStr">
        <is>
          <t>391140</t>
        </is>
      </c>
      <c r="E1403" s="2" t="inlineStr">
        <is>
          <t>persons</t>
        </is>
      </c>
      <c r="F1403" s="2" t="inlineStr">
        <is>
          <t>calculated</t>
        </is>
      </c>
      <c r="G1403" s="2" t="inlineStr">
        <is>
          <t>foreign: 244,860</t>
        </is>
      </c>
      <c r="H1403" s="2" t="inlineStr"/>
    </row>
    <row r="1404">
      <c r="A1404" s="5" t="inlineStr">
        <is>
          <t>CC-099</t>
        </is>
      </c>
      <c r="B1404" s="2" t="inlineStr">
        <is>
          <t>CC-099:51</t>
        </is>
      </c>
      <c r="C1404" s="2" t="inlineStr">
        <is>
          <t>Start: Maltese citizens on 1 January 2026 (our calculation from Eurostat, 2010-24 range of yearly changes)</t>
        </is>
      </c>
      <c r="D1404" s="2" t="inlineStr">
        <is>
          <t>405,549-406,706</t>
        </is>
      </c>
      <c r="E1404" s="2" t="inlineStr">
        <is>
          <t>persons</t>
        </is>
      </c>
      <c r="F1404" s="2" t="inlineStr">
        <is>
          <t>calculated from Eurostat</t>
        </is>
      </c>
      <c r="G1404" s="2" t="inlineStr"/>
      <c r="H1404" s="2" t="inlineStr"/>
    </row>
    <row r="1405">
      <c r="A1405" s="5" t="inlineStr">
        <is>
          <t>CC-099</t>
        </is>
      </c>
      <c r="B1405" s="2" t="inlineStr">
        <is>
          <t>CC-099:52</t>
        </is>
      </c>
      <c r="C1405" s="2" t="inlineStr">
        <is>
          <t>Change in Maltese citizens a year needed for 37.5%, 2026-2030 (from our end-2025 range)</t>
        </is>
      </c>
      <c r="D1405" s="2" t="inlineStr">
        <is>
          <t>-1,610 to -1,841</t>
        </is>
      </c>
      <c r="E1405" s="2" t="inlineStr">
        <is>
          <t>persons a year</t>
        </is>
      </c>
      <c r="F1405" s="2" t="inlineStr">
        <is>
          <t>calculated</t>
        </is>
      </c>
      <c r="G1405" s="2" t="inlineStr">
        <is>
          <t>smaller fall from the lower start (405,549)</t>
        </is>
      </c>
      <c r="H1405" s="2" t="inlineStr"/>
    </row>
    <row r="1406">
      <c r="A1406" s="5" t="inlineStr">
        <is>
          <t>CC-099</t>
        </is>
      </c>
      <c r="B1406" s="2" t="inlineStr">
        <is>
          <t>CC-099:53</t>
        </is>
      </c>
      <c r="C1406" s="2" t="inlineStr">
        <is>
          <t>Change a year needed for 37.5%, counted from 1 January 2025 over six years (spreads the fall over 2025, when the count rose)</t>
        </is>
      </c>
      <c r="D1406" s="2" t="inlineStr">
        <is>
          <t>-1302</t>
        </is>
      </c>
      <c r="E1406" s="2" t="inlineStr">
        <is>
          <t>persons a year</t>
        </is>
      </c>
      <c r="F1406" s="2" t="inlineStr">
        <is>
          <t>calculated (comparison)</t>
        </is>
      </c>
      <c r="G1406" s="2" t="inlineStr"/>
      <c r="H1406" s="2" t="inlineStr"/>
    </row>
    <row r="1407">
      <c r="A1407" s="5" t="inlineStr">
        <is>
          <t>CC-099</t>
        </is>
      </c>
      <c r="B1407" s="2" t="inlineStr">
        <is>
          <t>CC-099:54</t>
        </is>
      </c>
      <c r="C1407" s="2" t="inlineStr">
        <is>
          <t>Change a year needed for 37.5%, from the NSO-implied end-2025 count</t>
        </is>
      </c>
      <c r="D1407" s="2" t="inlineStr">
        <is>
          <t>-1612</t>
        </is>
      </c>
      <c r="E1407" s="2" t="inlineStr">
        <is>
          <t>persons a year</t>
        </is>
      </c>
      <c r="F1407" s="2" t="inlineStr">
        <is>
          <t>calculated (◆ NSO via outlets)</t>
        </is>
      </c>
      <c r="G1407" s="2" t="inlineStr"/>
      <c r="H1407" s="2" t="inlineStr"/>
    </row>
    <row r="1408">
      <c r="A1408" s="5" t="inlineStr">
        <is>
          <t>CC-099</t>
        </is>
      </c>
      <c r="B1408" s="2" t="inlineStr">
        <is>
          <t>CC-099:55</t>
        </is>
      </c>
      <c r="C1408" s="2" t="inlineStr">
        <is>
          <t>Change in Maltese citizens a year needed for 38.0%, 2026-2030 (from our end-2025 range)</t>
        </is>
      </c>
      <c r="D1408" s="2" t="inlineStr">
        <is>
          <t>-2,246 to -2,477</t>
        </is>
      </c>
      <c r="E1408" s="2" t="inlineStr">
        <is>
          <t>persons a year</t>
        </is>
      </c>
      <c r="F1408" s="2" t="inlineStr">
        <is>
          <t>calculated</t>
        </is>
      </c>
      <c r="G1408" s="2" t="inlineStr">
        <is>
          <t>smaller fall from the lower start (405,549)</t>
        </is>
      </c>
      <c r="H1408" s="2" t="inlineStr"/>
    </row>
    <row r="1409">
      <c r="A1409" s="5" t="inlineStr">
        <is>
          <t>CC-099</t>
        </is>
      </c>
      <c r="B1409" s="2" t="inlineStr">
        <is>
          <t>CC-099:56</t>
        </is>
      </c>
      <c r="C1409" s="2" t="inlineStr">
        <is>
          <t>Change a year needed for 38.0%, counted from 1 January 2025 over six years (spreads the fall over 2025, when the count rose)</t>
        </is>
      </c>
      <c r="D1409" s="2" t="inlineStr">
        <is>
          <t>-1832</t>
        </is>
      </c>
      <c r="E1409" s="2" t="inlineStr">
        <is>
          <t>persons a year</t>
        </is>
      </c>
      <c r="F1409" s="2" t="inlineStr">
        <is>
          <t>calculated (comparison)</t>
        </is>
      </c>
      <c r="G1409" s="2" t="inlineStr"/>
      <c r="H1409" s="2" t="inlineStr"/>
    </row>
    <row r="1410">
      <c r="A1410" s="5" t="inlineStr">
        <is>
          <t>CC-099</t>
        </is>
      </c>
      <c r="B1410" s="2" t="inlineStr">
        <is>
          <t>CC-099:57</t>
        </is>
      </c>
      <c r="C1410" s="2" t="inlineStr">
        <is>
          <t>Change a year needed for 38.0%, from the NSO-implied end-2025 count</t>
        </is>
      </c>
      <c r="D1410" s="2" t="inlineStr">
        <is>
          <t>-2248</t>
        </is>
      </c>
      <c r="E1410" s="2" t="inlineStr">
        <is>
          <t>persons a year</t>
        </is>
      </c>
      <c r="F1410" s="2" t="inlineStr">
        <is>
          <t>calculated (◆ NSO via outlets)</t>
        </is>
      </c>
      <c r="G1410" s="2" t="inlineStr"/>
      <c r="H1410" s="2" t="inlineStr"/>
    </row>
    <row r="1411">
      <c r="A1411" s="5" t="inlineStr">
        <is>
          <t>CC-099</t>
        </is>
      </c>
      <c r="B1411" s="2" t="inlineStr">
        <is>
          <t>CC-099:58</t>
        </is>
      </c>
      <c r="C1411" s="2" t="inlineStr">
        <is>
          <t>Change in Maltese citizens a year needed for 38.5%, 2026-2030 (from our end-2025 range)</t>
        </is>
      </c>
      <c r="D1411" s="2" t="inlineStr">
        <is>
          <t>-2,882 to -3,113</t>
        </is>
      </c>
      <c r="E1411" s="2" t="inlineStr">
        <is>
          <t>persons a year</t>
        </is>
      </c>
      <c r="F1411" s="2" t="inlineStr">
        <is>
          <t>calculated</t>
        </is>
      </c>
      <c r="G1411" s="2" t="inlineStr">
        <is>
          <t>smaller fall from the lower start (405,549)</t>
        </is>
      </c>
      <c r="H1411" s="2" t="inlineStr"/>
    </row>
    <row r="1412">
      <c r="A1412" s="5" t="inlineStr">
        <is>
          <t>CC-099</t>
        </is>
      </c>
      <c r="B1412" s="2" t="inlineStr">
        <is>
          <t>CC-099:59</t>
        </is>
      </c>
      <c r="C1412" s="2" t="inlineStr">
        <is>
          <t>Change a year needed for 38.5%, counted from 1 January 2025 over six years (spreads the fall over 2025, when the count rose)</t>
        </is>
      </c>
      <c r="D1412" s="2" t="inlineStr">
        <is>
          <t>-2362</t>
        </is>
      </c>
      <c r="E1412" s="2" t="inlineStr">
        <is>
          <t>persons a year</t>
        </is>
      </c>
      <c r="F1412" s="2" t="inlineStr">
        <is>
          <t>calculated (comparison)</t>
        </is>
      </c>
      <c r="G1412" s="2" t="inlineStr"/>
      <c r="H1412" s="2" t="inlineStr"/>
    </row>
    <row r="1413">
      <c r="A1413" s="5" t="inlineStr">
        <is>
          <t>CC-099</t>
        </is>
      </c>
      <c r="B1413" s="2" t="inlineStr">
        <is>
          <t>CC-099:60</t>
        </is>
      </c>
      <c r="C1413" s="2" t="inlineStr">
        <is>
          <t>Change a year needed for 38.5%, from the NSO-implied end-2025 count</t>
        </is>
      </c>
      <c r="D1413" s="2" t="inlineStr">
        <is>
          <t>-2884</t>
        </is>
      </c>
      <c r="E1413" s="2" t="inlineStr">
        <is>
          <t>persons a year</t>
        </is>
      </c>
      <c r="F1413" s="2" t="inlineStr">
        <is>
          <t>calculated (◆ NSO via outlets)</t>
        </is>
      </c>
      <c r="G1413" s="2" t="inlineStr"/>
      <c r="H1413" s="2" t="inlineStr"/>
    </row>
    <row r="1414">
      <c r="A1414" s="5" t="inlineStr">
        <is>
          <t>CC-099</t>
        </is>
      </c>
      <c r="B1414" s="2" t="inlineStr">
        <is>
          <t>CC-099:61</t>
        </is>
      </c>
      <c r="C1414" s="2" t="inlineStr">
        <is>
          <t>Smallest yearly fall needed for 'around 38%' (37.5%, from the lower end-2025 start)</t>
        </is>
      </c>
      <c r="D1414" s="2" t="inlineStr">
        <is>
          <t>-1610</t>
        </is>
      </c>
      <c r="E1414" s="2" t="inlineStr">
        <is>
          <t>persons a year</t>
        </is>
      </c>
      <c r="F1414" s="2" t="inlineStr">
        <is>
          <t>calculated</t>
        </is>
      </c>
      <c r="G1414" s="2" t="inlineStr">
        <is>
          <t>the figure used in the report's text</t>
        </is>
      </c>
      <c r="H1414" s="2" t="inlineStr"/>
    </row>
    <row r="1415">
      <c r="A1415" s="5" t="inlineStr">
        <is>
          <t>CC-099</t>
        </is>
      </c>
      <c r="B1415" s="2" t="inlineStr">
        <is>
          <t>CC-099:62</t>
        </is>
      </c>
      <c r="C1415" s="2" t="inlineStr">
        <is>
          <t>Ratio of non-Maltese to Maltese citizens, 1 January 2025</t>
        </is>
      </c>
      <c r="D1415" s="2" t="inlineStr">
        <is>
          <t>41.7</t>
        </is>
      </c>
      <c r="E1415" s="2" t="inlineStr">
        <is>
          <t>%</t>
        </is>
      </c>
      <c r="F1415" s="2" t="inlineStr">
        <is>
          <t>Eurostat migr_pop1ctz (1 January, by citizenship), retrieved 6 Oct 2026</t>
        </is>
      </c>
      <c r="G1415" s="2" t="inlineStr">
        <is>
          <t>already above 38%, so 'mix of foreign to local' reaching 38% can only mean a share of all residents</t>
        </is>
      </c>
      <c r="H1415" s="2" t="inlineStr"/>
    </row>
    <row r="1416">
      <c r="A1416" s="5" t="inlineStr">
        <is>
          <t>CC-099</t>
        </is>
      </c>
      <c r="B1416" s="2" t="inlineStr">
        <is>
          <t>CC-099:63</t>
        </is>
      </c>
      <c r="C1416" s="2" t="inlineStr">
        <is>
          <t>Share of all residents if 38% were a ratio of foreign to local</t>
        </is>
      </c>
      <c r="D1416" s="2" t="inlineStr">
        <is>
          <t>27.5</t>
        </is>
      </c>
      <c r="E1416" s="2" t="inlineStr">
        <is>
          <t>%</t>
        </is>
      </c>
      <c r="F1416" s="2" t="inlineStr">
        <is>
          <t>calculated</t>
        </is>
      </c>
      <c r="G1416" s="2" t="inlineStr">
        <is>
          <t>below today's share: this reading would mean a fall, which the release does not describe</t>
        </is>
      </c>
      <c r="H1416" s="2" t="inlineStr"/>
    </row>
    <row r="1417">
      <c r="A1417" s="5" t="inlineStr">
        <is>
          <t>CC-099</t>
        </is>
      </c>
      <c r="B1417" s="2" t="inlineStr">
        <is>
          <t>CC-099:64</t>
        </is>
      </c>
      <c r="C1417" s="2" t="inlineStr">
        <is>
          <t>Non-Maltese share at 636,000 with Maltese citizens at their 1 January 2025 count</t>
        </is>
      </c>
      <c r="D1417" s="2" t="inlineStr">
        <is>
          <t>36.27</t>
        </is>
      </c>
      <c r="E1417" s="2" t="inlineStr">
        <is>
          <t>%</t>
        </is>
      </c>
      <c r="F1417" s="2" t="inlineStr">
        <is>
          <t>calculated (comparison, not a forecast)</t>
        </is>
      </c>
      <c r="G1417" s="2" t="inlineStr"/>
      <c r="H1417" s="2" t="inlineStr"/>
    </row>
    <row r="1418">
      <c r="A1418" s="5" t="inlineStr">
        <is>
          <t>CC-099</t>
        </is>
      </c>
      <c r="B1418" s="2" t="inlineStr">
        <is>
          <t>CC-099:65</t>
        </is>
      </c>
      <c r="C1418" s="2" t="inlineStr">
        <is>
          <t>Non-Maltese share at 636,000 with Maltese citizens at our end-2025 range</t>
        </is>
      </c>
      <c r="D1418" s="2" t="inlineStr">
        <is>
          <t>36.1-36.2</t>
        </is>
      </c>
      <c r="E1418" s="2" t="inlineStr">
        <is>
          <t>%</t>
        </is>
      </c>
      <c r="F1418" s="2" t="inlineStr">
        <is>
          <t>calculated (comparison, not a forecast)</t>
        </is>
      </c>
      <c r="G1418" s="2" t="inlineStr"/>
      <c r="H1418" s="2" t="inlineStr"/>
    </row>
    <row r="1419">
      <c r="A1419" s="5" t="inlineStr">
        <is>
          <t>CC-099</t>
        </is>
      </c>
      <c r="B1419" s="2" t="inlineStr">
        <is>
          <t>CC-099:66</t>
        </is>
      </c>
      <c r="C1419" s="2" t="inlineStr">
        <is>
          <t>Born-abroad share at 636,000 with Malta-born residents at their 1 January 2025 count</t>
        </is>
      </c>
      <c r="D1419" s="2" t="inlineStr">
        <is>
          <t>38.6</t>
        </is>
      </c>
      <c r="E1419" s="2" t="inlineStr">
        <is>
          <t>%</t>
        </is>
      </c>
      <c r="F1419" s="2" t="inlineStr">
        <is>
          <t>calculated (comparison, not a forecast)</t>
        </is>
      </c>
      <c r="G1419" s="2" t="inlineStr">
        <is>
          <t>Malta-born 390,485 on 1 January 2025</t>
        </is>
      </c>
      <c r="H1419" s="2" t="inlineStr"/>
    </row>
    <row r="1420">
      <c r="A1420" s="5" t="inlineStr">
        <is>
          <t>CC-099</t>
        </is>
      </c>
      <c r="B1420" s="2" t="inlineStr">
        <is>
          <t>CC-099:67</t>
        </is>
      </c>
      <c r="C1420" s="2" t="inlineStr">
        <is>
          <t>Change in Malta-born residents to 2030 for a 37.5-38.5% born-abroad share at 636,000</t>
        </is>
      </c>
      <c r="D1420" s="2" t="inlineStr">
        <is>
          <t>+655 to +7,015</t>
        </is>
      </c>
      <c r="E1420" s="2" t="inlineStr">
        <is>
          <t>persons</t>
        </is>
      </c>
      <c r="F1420" s="2" t="inlineStr">
        <is>
          <t>calculated (comparison)</t>
        </is>
      </c>
      <c r="G1420" s="2" t="inlineStr"/>
      <c r="H1420" s="2" t="inlineStr"/>
    </row>
    <row r="1421">
      <c r="A1421" s="5" t="inlineStr">
        <is>
          <t>CC-099</t>
        </is>
      </c>
      <c r="B1421" s="2" t="inlineStr">
        <is>
          <t>CC-099:68</t>
        </is>
      </c>
      <c r="C1421" s="2" t="inlineStr">
        <is>
          <t>◆ Non-Maltese share at PwC's low total (624,000) with Maltese citizens at their 1 Jan 2025 count</t>
        </is>
      </c>
      <c r="D1421" s="2" t="inlineStr">
        <is>
          <t>35.05</t>
        </is>
      </c>
      <c r="E1421" s="2" t="inlineStr">
        <is>
          <t>%</t>
        </is>
      </c>
      <c r="F1421" s="2" t="inlineStr">
        <is>
          <t>calculated (◆ range as reported by Business Now and Newsbook)</t>
        </is>
      </c>
      <c r="G1421" s="2" t="inlineStr"/>
      <c r="H1421" s="2" t="inlineStr"/>
    </row>
    <row r="1422">
      <c r="A1422" s="5" t="inlineStr">
        <is>
          <t>CC-099</t>
        </is>
      </c>
      <c r="B1422" s="2" t="inlineStr">
        <is>
          <t>CC-099:69</t>
        </is>
      </c>
      <c r="C1422" s="2" t="inlineStr">
        <is>
          <t>◆ Non-Maltese share at PwC's high total (660,000) with Maltese citizens at their 1 Jan 2025 count</t>
        </is>
      </c>
      <c r="D1422" s="2" t="inlineStr">
        <is>
          <t>38.59</t>
        </is>
      </c>
      <c r="E1422" s="2" t="inlineStr">
        <is>
          <t>%</t>
        </is>
      </c>
      <c r="F1422" s="2" t="inlineStr">
        <is>
          <t>calculated (◆ range as reported by Business Now and Newsbook)</t>
        </is>
      </c>
      <c r="G1422" s="2" t="inlineStr"/>
      <c r="H1422" s="2" t="inlineStr"/>
    </row>
    <row r="1423">
      <c r="A1423" s="5" t="inlineStr">
        <is>
          <t>CC-099</t>
        </is>
      </c>
      <c r="B1423" s="2" t="inlineStr">
        <is>
          <t>CC-099:70</t>
        </is>
      </c>
      <c r="C1423" s="2" t="inlineStr">
        <is>
          <t>Clue: non-Maltese citizens vs born abroad, 1 January 2019</t>
        </is>
      </c>
      <c r="D1423" s="2" t="inlineStr">
        <is>
          <t>18.35 vs 20.17</t>
        </is>
      </c>
      <c r="E1423" s="2" t="inlineStr">
        <is>
          <t>%</t>
        </is>
      </c>
      <c r="F1423" s="2" t="inlineStr">
        <is>
          <t>Eurostat migr_pop1ctz (1 January, by citizenship), retrieved 6 Oct 2026; Eurostat migr_pop3ctb (1 January, by country of birth), retrieved 6 Oct 2026</t>
        </is>
      </c>
      <c r="G1423" s="2" t="inlineStr">
        <is>
          <t>◆ Business Now: 'In 2019, it was 20 per cent' (outlet's paraphrase of the report)</t>
        </is>
      </c>
      <c r="H1423" s="2" t="inlineStr"/>
    </row>
    <row r="1424">
      <c r="A1424" s="5" t="inlineStr">
        <is>
          <t>CC-099</t>
        </is>
      </c>
      <c r="B1424" s="2" t="inlineStr">
        <is>
          <t>CC-099:71</t>
        </is>
      </c>
      <c r="C1424" s="2" t="inlineStr">
        <is>
          <t>Clue: born abroad, 1 January 2024</t>
        </is>
      </c>
      <c r="D1424" s="2" t="inlineStr">
        <is>
          <t>30.84</t>
        </is>
      </c>
      <c r="E1424" s="2" t="inlineStr">
        <is>
          <t>%</t>
        </is>
      </c>
      <c r="F1424" s="2" t="inlineStr">
        <is>
          <t>Eurostat migr_pop3ctb (1 January, by country of birth), retrieved 6 Oct 2026</t>
        </is>
      </c>
      <c r="G1424" s="2" t="inlineStr">
        <is>
          <t>31% also matches this</t>
        </is>
      </c>
      <c r="H1424" s="2" t="inlineStr"/>
    </row>
    <row r="1425">
      <c r="A1425" s="5" t="inlineStr">
        <is>
          <t>CC-099</t>
        </is>
      </c>
      <c r="B1425" s="2" t="inlineStr">
        <is>
          <t>CC-099:72</t>
        </is>
      </c>
      <c r="C1425" s="2" t="inlineStr">
        <is>
          <t>Clue: Maltese citizens vs Malta-born residents, 1 January 2025</t>
        </is>
      </c>
      <c r="D1425" s="2" t="inlineStr">
        <is>
          <t>405,312 vs 390,485</t>
        </is>
      </c>
      <c r="E1425" s="2" t="inlineStr">
        <is>
          <t>persons</t>
        </is>
      </c>
      <c r="F1425" s="2" t="inlineStr">
        <is>
          <t>Eurostat migr_pop1ctz (1 January, by citizenship), retrieved 6 Oct 2026; Eurostat migr_pop3ctb (1 January, by country of birth), retrieved 6 Oct 2026</t>
        </is>
      </c>
      <c r="G1425" s="2" t="inlineStr">
        <is>
          <t>◆ Business Now: local population 'has remained at just over 400,000' (outlet's paraphrase)</t>
        </is>
      </c>
      <c r="H1425" s="2" t="inlineStr"/>
    </row>
    <row r="1426">
      <c r="A1426" s="5" t="inlineStr">
        <is>
          <t>CC-099</t>
        </is>
      </c>
      <c r="B1426" s="2" t="inlineStr">
        <is>
          <t>CC-099:73</t>
        </is>
      </c>
      <c r="C1426" s="2" t="inlineStr">
        <is>
          <t>Maltese citizens, components of change 2021</t>
        </is>
      </c>
      <c r="D1426" s="2" t="inlineStr">
        <is>
          <t>331 = 306 + 1156 + -1131</t>
        </is>
      </c>
      <c r="E1426" s="2" t="inlineStr">
        <is>
          <t>persons</t>
        </is>
      </c>
      <c r="F1426" s="2" t="inlineStr">
        <is>
          <t>Eurostat migr_imm1ctz, migr_emi1ctz, migr_acq, retrieved 6 Oct 2026</t>
        </is>
      </c>
      <c r="G1426" s="2" t="inlineStr">
        <is>
          <t>total change = net migration of Maltese citizens + acquisitions of Maltese citizenship + residual (everything else: births minus deaths, losses of citizenship, statistical adjustment)</t>
        </is>
      </c>
      <c r="H1426" s="2" t="inlineStr"/>
    </row>
    <row r="1427">
      <c r="A1427" s="5" t="inlineStr">
        <is>
          <t>CC-099</t>
        </is>
      </c>
      <c r="B1427" s="2" t="inlineStr">
        <is>
          <t>CC-099:74</t>
        </is>
      </c>
      <c r="C1427" s="2" t="inlineStr">
        <is>
          <t>Births to Maltese mothers minus deaths of Maltese citizens, 2021</t>
        </is>
      </c>
      <c r="D1427" s="2" t="inlineStr">
        <is>
          <t>-900</t>
        </is>
      </c>
      <c r="E1427" s="2" t="inlineStr">
        <is>
          <t>persons</t>
        </is>
      </c>
      <c r="F1427" s="2" t="inlineStr">
        <is>
          <t>Eurostat demo_faczc, demo_maczc, retrieved 6 Oct 2026</t>
        </is>
      </c>
      <c r="G1427" s="2" t="inlineStr">
        <is>
          <t>3,050 births, 3,950 deaths; approximate (a child's citizenship can differ from the mother's)</t>
        </is>
      </c>
      <c r="H1427" s="2" t="inlineStr"/>
    </row>
    <row r="1428">
      <c r="A1428" s="5" t="inlineStr">
        <is>
          <t>CC-099</t>
        </is>
      </c>
      <c r="B1428" s="2" t="inlineStr">
        <is>
          <t>CC-099:75</t>
        </is>
      </c>
      <c r="C1428" s="2" t="inlineStr">
        <is>
          <t>Maltese citizens, components of change 2022</t>
        </is>
      </c>
      <c r="D1428" s="2" t="inlineStr">
        <is>
          <t>881 = 1039 + 842 + -1000</t>
        </is>
      </c>
      <c r="E1428" s="2" t="inlineStr">
        <is>
          <t>persons</t>
        </is>
      </c>
      <c r="F1428" s="2" t="inlineStr">
        <is>
          <t>Eurostat migr_imm1ctz, migr_emi1ctz, migr_acq, retrieved 6 Oct 2026</t>
        </is>
      </c>
      <c r="G1428" s="2" t="inlineStr">
        <is>
          <t>total change = net migration of Maltese citizens + acquisitions of Maltese citizenship + residual (everything else: births minus deaths, losses of citizenship, statistical adjustment)</t>
        </is>
      </c>
      <c r="H1428" s="2" t="inlineStr"/>
    </row>
    <row r="1429">
      <c r="A1429" s="5" t="inlineStr">
        <is>
          <t>CC-099</t>
        </is>
      </c>
      <c r="B1429" s="2" t="inlineStr">
        <is>
          <t>CC-099:76</t>
        </is>
      </c>
      <c r="C1429" s="2" t="inlineStr">
        <is>
          <t>Births to Maltese mothers minus deaths of Maltese citizens, 2022</t>
        </is>
      </c>
      <c r="D1429" s="2" t="inlineStr">
        <is>
          <t>-921</t>
        </is>
      </c>
      <c r="E1429" s="2" t="inlineStr">
        <is>
          <t>persons</t>
        </is>
      </c>
      <c r="F1429" s="2" t="inlineStr">
        <is>
          <t>Eurostat demo_faczc, demo_maczc, retrieved 6 Oct 2026</t>
        </is>
      </c>
      <c r="G1429" s="2" t="inlineStr">
        <is>
          <t>3,049 births, 3,970 deaths; approximate (a child's citizenship can differ from the mother's)</t>
        </is>
      </c>
      <c r="H1429" s="2" t="inlineStr"/>
    </row>
    <row r="1430">
      <c r="A1430" s="5" t="inlineStr">
        <is>
          <t>CC-099</t>
        </is>
      </c>
      <c r="B1430" s="2" t="inlineStr">
        <is>
          <t>CC-099:77</t>
        </is>
      </c>
      <c r="C1430" s="2" t="inlineStr">
        <is>
          <t>Maltese citizens, components of change 2023</t>
        </is>
      </c>
      <c r="D1430" s="2" t="inlineStr">
        <is>
          <t>400 = 489 + 825 + -914</t>
        </is>
      </c>
      <c r="E1430" s="2" t="inlineStr">
        <is>
          <t>persons</t>
        </is>
      </c>
      <c r="F1430" s="2" t="inlineStr">
        <is>
          <t>Eurostat migr_imm1ctz, migr_emi1ctz, migr_acq, retrieved 6 Oct 2026</t>
        </is>
      </c>
      <c r="G1430" s="2" t="inlineStr">
        <is>
          <t>total change = net migration of Maltese citizens + acquisitions of Maltese citizenship + residual (everything else: births minus deaths, losses of citizenship, statistical adjustment)</t>
        </is>
      </c>
      <c r="H1430" s="2" t="inlineStr"/>
    </row>
    <row r="1431">
      <c r="A1431" s="5" t="inlineStr">
        <is>
          <t>CC-099</t>
        </is>
      </c>
      <c r="B1431" s="2" t="inlineStr">
        <is>
          <t>CC-099:78</t>
        </is>
      </c>
      <c r="C1431" s="2" t="inlineStr">
        <is>
          <t>Births to Maltese mothers minus deaths of Maltese citizens, 2023</t>
        </is>
      </c>
      <c r="D1431" s="2" t="inlineStr">
        <is>
          <t>-857</t>
        </is>
      </c>
      <c r="E1431" s="2" t="inlineStr">
        <is>
          <t>persons</t>
        </is>
      </c>
      <c r="F1431" s="2" t="inlineStr">
        <is>
          <t>Eurostat demo_faczc, demo_maczc, retrieved 6 Oct 2026</t>
        </is>
      </c>
      <c r="G1431" s="2" t="inlineStr">
        <is>
          <t>2,963 births, 3,820 deaths; approximate (a child's citizenship can differ from the mother's)</t>
        </is>
      </c>
      <c r="H1431" s="2" t="inlineStr"/>
    </row>
    <row r="1432">
      <c r="A1432" s="5" t="inlineStr">
        <is>
          <t>CC-099</t>
        </is>
      </c>
      <c r="B1432" s="2" t="inlineStr">
        <is>
          <t>CC-099:79</t>
        </is>
      </c>
      <c r="C1432" s="2" t="inlineStr">
        <is>
          <t>Maltese citizens, components of change 2024</t>
        </is>
      </c>
      <c r="D1432" s="2" t="inlineStr">
        <is>
          <t>237 = 533 + 1145 + -1441</t>
        </is>
      </c>
      <c r="E1432" s="2" t="inlineStr">
        <is>
          <t>persons</t>
        </is>
      </c>
      <c r="F1432" s="2" t="inlineStr">
        <is>
          <t>Eurostat migr_imm1ctz, migr_emi1ctz, migr_acq, retrieved 6 Oct 2026</t>
        </is>
      </c>
      <c r="G1432" s="2" t="inlineStr">
        <is>
          <t>total change = net migration of Maltese citizens + acquisitions of Maltese citizenship + residual (everything else: births minus deaths, losses of citizenship, statistical adjustment)</t>
        </is>
      </c>
      <c r="H1432" s="2" t="inlineStr"/>
    </row>
    <row r="1433">
      <c r="A1433" s="5" t="inlineStr">
        <is>
          <t>CC-099</t>
        </is>
      </c>
      <c r="B1433" s="2" t="inlineStr">
        <is>
          <t>CC-099:80</t>
        </is>
      </c>
      <c r="C1433" s="2" t="inlineStr">
        <is>
          <t>Births to Maltese mothers minus deaths of Maltese citizens, 2024</t>
        </is>
      </c>
      <c r="D1433" s="2" t="inlineStr">
        <is>
          <t>-1119</t>
        </is>
      </c>
      <c r="E1433" s="2" t="inlineStr">
        <is>
          <t>persons</t>
        </is>
      </c>
      <c r="F1433" s="2" t="inlineStr">
        <is>
          <t>Eurostat demo_faczc, demo_maczc, retrieved 6 Oct 2026</t>
        </is>
      </c>
      <c r="G1433" s="2" t="inlineStr">
        <is>
          <t>2,821 births, 3,940 deaths; approximate (a child's citizenship can differ from the mother's)</t>
        </is>
      </c>
      <c r="H1433" s="2" t="inlineStr"/>
    </row>
    <row r="1434">
      <c r="A1434" s="5" t="inlineStr">
        <is>
          <t>CC-099</t>
        </is>
      </c>
      <c r="B1434" s="2" t="inlineStr">
        <is>
          <t>CC-099:81</t>
        </is>
      </c>
      <c r="C1434" s="2" t="inlineStr">
        <is>
          <t>Residual (without naturalisations or migration), 2021-2024: range</t>
        </is>
      </c>
      <c r="D1434" s="2" t="inlineStr">
        <is>
          <t>-1441 to -914</t>
        </is>
      </c>
      <c r="E1434" s="2" t="inlineStr">
        <is>
          <t>persons a year</t>
        </is>
      </c>
      <c r="F1434" s="2" t="inlineStr">
        <is>
          <t>calculated from Eurostat</t>
        </is>
      </c>
      <c r="G1434" s="2" t="inlineStr">
        <is>
          <t>close to births to Maltese mothers minus deaths of Maltese citizens (-1119 to -857)</t>
        </is>
      </c>
      <c r="H1434" s="2" t="inlineStr"/>
    </row>
    <row r="1435">
      <c r="A1435" s="5" t="inlineStr">
        <is>
          <t>CC-099</t>
        </is>
      </c>
      <c r="B1435" s="2" t="inlineStr">
        <is>
          <t>CC-099:82</t>
        </is>
      </c>
      <c r="C1435" s="2" t="inlineStr">
        <is>
          <t>Acquisitions of Maltese citizenship, 2021-2024: range</t>
        </is>
      </c>
      <c r="D1435" s="2" t="inlineStr">
        <is>
          <t>825 to 1156</t>
        </is>
      </c>
      <c r="E1435" s="2" t="inlineStr">
        <is>
          <t>persons a year</t>
        </is>
      </c>
      <c r="F1435" s="2" t="inlineStr">
        <is>
          <t>Eurostat migr_imm1ctz, migr_emi1ctz, migr_acq, retrieved 6 Oct 2026</t>
        </is>
      </c>
      <c r="G1435" s="2" t="inlineStr"/>
      <c r="H1435" s="2" t="inlineStr"/>
    </row>
    <row r="1436">
      <c r="A1436" s="5" t="inlineStr">
        <is>
          <t>CC-099</t>
        </is>
      </c>
      <c r="B1436" s="2" t="inlineStr">
        <is>
          <t>CC-099:83</t>
        </is>
      </c>
      <c r="C1436" s="2" t="inlineStr">
        <is>
          <t>Smallest fall needed (37.5%) vs the most negative residual 2021-2024</t>
        </is>
      </c>
      <c r="D1436" s="2" t="inlineStr">
        <is>
          <t>-1610 vs -1441</t>
        </is>
      </c>
      <c r="E1436" s="2" t="inlineStr">
        <is>
          <t>persons a year</t>
        </is>
      </c>
      <c r="F1436" s="2" t="inlineStr">
        <is>
          <t>calculated</t>
        </is>
      </c>
      <c r="G1436" s="2" t="inlineStr">
        <is>
          <t>even the residual alone falls more slowly than needed</t>
        </is>
      </c>
      <c r="H1436" s="2" t="inlineStr"/>
    </row>
    <row r="1437">
      <c r="A1437" s="5" t="inlineStr">
        <is>
          <t>CC-099</t>
        </is>
      </c>
      <c r="B1437" s="2" t="inlineStr">
        <is>
          <t>CC-099:84</t>
        </is>
      </c>
      <c r="C1437" s="2" t="inlineStr">
        <is>
          <t>Comparison: 2024's residual (-1441) repeated from 1 January 2025, six years: non-Maltese share at 636,000</t>
        </is>
      </c>
      <c r="D1437" s="2" t="inlineStr">
        <is>
          <t>37.63</t>
        </is>
      </c>
      <c r="E1437" s="2" t="inlineStr">
        <is>
          <t>%</t>
        </is>
      </c>
      <c r="F1437" s="2" t="inlineStr">
        <is>
          <t>calculated (comparison, not a forecast)</t>
        </is>
      </c>
      <c r="G1437" s="2" t="inlineStr">
        <is>
          <t>Maltese citizens 396,666</t>
        </is>
      </c>
      <c r="H1437" s="2" t="inlineStr"/>
    </row>
    <row r="1438">
      <c r="A1438" s="5" t="inlineStr">
        <is>
          <t>CC-099</t>
        </is>
      </c>
      <c r="B1438" s="2" t="inlineStr">
        <is>
          <t>CC-099:85</t>
        </is>
      </c>
      <c r="C1438" s="2" t="inlineStr">
        <is>
          <t>Comparison: 2024's residual (-1441) repeated from 405,549 (end-2025), five years: non-Maltese share at 636,000</t>
        </is>
      </c>
      <c r="D1438" s="2" t="inlineStr">
        <is>
          <t>37.37</t>
        </is>
      </c>
      <c r="E1438" s="2" t="inlineStr">
        <is>
          <t>%</t>
        </is>
      </c>
      <c r="F1438" s="2" t="inlineStr">
        <is>
          <t>calculated (comparison, not a forecast)</t>
        </is>
      </c>
      <c r="G1438" s="2" t="inlineStr">
        <is>
          <t>Maltese citizens 398,344</t>
        </is>
      </c>
      <c r="H1438" s="2" t="inlineStr"/>
    </row>
    <row r="1439">
      <c r="A1439" s="5" t="inlineStr">
        <is>
          <t>CC-099</t>
        </is>
      </c>
      <c r="B1439" s="2" t="inlineStr">
        <is>
          <t>CC-099:86</t>
        </is>
      </c>
      <c r="C1439" s="2" t="inlineStr">
        <is>
          <t>Comparison: 2024's residual (-1441) repeated from 406,706 (end-2025), five years: non-Maltese share at 636,000</t>
        </is>
      </c>
      <c r="D1439" s="2" t="inlineStr">
        <is>
          <t>37.19</t>
        </is>
      </c>
      <c r="E1439" s="2" t="inlineStr">
        <is>
          <t>%</t>
        </is>
      </c>
      <c r="F1439" s="2" t="inlineStr">
        <is>
          <t>calculated (comparison, not a forecast)</t>
        </is>
      </c>
      <c r="G1439" s="2" t="inlineStr">
        <is>
          <t>Maltese citizens 399,501</t>
        </is>
      </c>
      <c r="H1439" s="2" t="inlineStr"/>
    </row>
    <row r="1440">
      <c r="A1440" s="5" t="inlineStr">
        <is>
          <t>CC-099</t>
        </is>
      </c>
      <c r="B1440" s="2" t="inlineStr">
        <is>
          <t>CC-099:87</t>
        </is>
      </c>
      <c r="C1440" s="2" t="inlineStr">
        <is>
          <t>◆ CBM baseline native population 405,075 -&gt; 350,000 by 2050: average change over 26 years</t>
        </is>
      </c>
      <c r="D1440" s="2" t="inlineStr">
        <is>
          <t>-2118</t>
        </is>
      </c>
      <c r="E1440" s="2" t="inlineStr">
        <is>
          <t>persons a year</t>
        </is>
      </c>
      <c r="F1440" s="2" t="inlineStr">
        <is>
          <t>calculated (◆ The Malta Business Weekly (Silvan Mifsud))</t>
        </is>
      </c>
      <c r="G1440" s="2" t="inlineStr">
        <is>
          <t>path to 2030 unknown; decides nothing</t>
        </is>
      </c>
      <c r="H1440" s="2" t="inlineStr"/>
    </row>
    <row r="1441">
      <c r="A1441" s="5" t="inlineStr">
        <is>
          <t>CC-099</t>
        </is>
      </c>
      <c r="B1441" s="2" t="inlineStr">
        <is>
          <t>CC-099:88</t>
        </is>
      </c>
      <c r="C1441" s="2" t="inlineStr">
        <is>
          <t>◆ CBM baseline native population 405,075 -&gt; 350,000 by 2050: average change over 27 years</t>
        </is>
      </c>
      <c r="D1441" s="2" t="inlineStr">
        <is>
          <t>-2040</t>
        </is>
      </c>
      <c r="E1441" s="2" t="inlineStr">
        <is>
          <t>persons a year</t>
        </is>
      </c>
      <c r="F1441" s="2" t="inlineStr">
        <is>
          <t>calculated (◆ The Malta Business Weekly (Silvan Mifsud))</t>
        </is>
      </c>
      <c r="G1441" s="2" t="inlineStr">
        <is>
          <t>path to 2030 unknown; decides nothing</t>
        </is>
      </c>
      <c r="H1441" s="2" t="inlineStr"/>
    </row>
    <row r="1442">
      <c r="A1442" s="5" t="inlineStr">
        <is>
          <t>CC-099</t>
        </is>
      </c>
      <c r="B1442" s="2" t="inlineStr">
        <is>
          <t>CC-099:89</t>
        </is>
      </c>
      <c r="C1442" s="2" t="inlineStr">
        <is>
          <t>◆ CBM baseline native population 405,075 -&gt; 347,000 by 2050: average change over 26 years</t>
        </is>
      </c>
      <c r="D1442" s="2" t="inlineStr">
        <is>
          <t>-2234</t>
        </is>
      </c>
      <c r="E1442" s="2" t="inlineStr">
        <is>
          <t>persons a year</t>
        </is>
      </c>
      <c r="F1442" s="2" t="inlineStr">
        <is>
          <t>calculated (◆ Amphora Media)</t>
        </is>
      </c>
      <c r="G1442" s="2" t="inlineStr">
        <is>
          <t>path to 2030 unknown; decides nothing</t>
        </is>
      </c>
      <c r="H1442" s="2" t="inlineStr"/>
    </row>
    <row r="1443">
      <c r="A1443" s="5" t="inlineStr">
        <is>
          <t>CC-099</t>
        </is>
      </c>
      <c r="B1443" s="2" t="inlineStr">
        <is>
          <t>CC-099:90</t>
        </is>
      </c>
      <c r="C1443" s="2" t="inlineStr">
        <is>
          <t>◆ CBM baseline native population 405,075 -&gt; 347,000 by 2050: average change over 27 years</t>
        </is>
      </c>
      <c r="D1443" s="2" t="inlineStr">
        <is>
          <t>-2151</t>
        </is>
      </c>
      <c r="E1443" s="2" t="inlineStr">
        <is>
          <t>persons a year</t>
        </is>
      </c>
      <c r="F1443" s="2" t="inlineStr">
        <is>
          <t>calculated (◆ Amphora Media)</t>
        </is>
      </c>
      <c r="G1443" s="2" t="inlineStr">
        <is>
          <t>path to 2030 unknown; decides nothing</t>
        </is>
      </c>
      <c r="H1443" s="2" t="inlineStr"/>
    </row>
    <row r="1444">
      <c r="A1444" s="5" t="inlineStr">
        <is>
          <t>CC-099</t>
        </is>
      </c>
      <c r="B1444" s="2" t="inlineStr">
        <is>
          <t>CC-099:91</t>
        </is>
      </c>
      <c r="C1444" s="2" t="inlineStr">
        <is>
          <t>◆ Comparison: CBM average (-2118) applied 2026-30 from 405,549: non-Maltese share at 636,000</t>
        </is>
      </c>
      <c r="D1444" s="2" t="inlineStr">
        <is>
          <t>37.9</t>
        </is>
      </c>
      <c r="E1444" s="2" t="inlineStr">
        <is>
          <t>%</t>
        </is>
      </c>
      <c r="F1444" s="2" t="inlineStr">
        <is>
          <t>calculated (comparison, ◆)</t>
        </is>
      </c>
      <c r="G1444" s="2" t="inlineStr"/>
      <c r="H1444" s="2" t="inlineStr"/>
    </row>
    <row r="1445">
      <c r="A1445" s="5" t="inlineStr">
        <is>
          <t>CC-099</t>
        </is>
      </c>
      <c r="B1445" s="2" t="inlineStr">
        <is>
          <t>CC-099:92</t>
        </is>
      </c>
      <c r="C1445" s="2" t="inlineStr">
        <is>
          <t>◆ Comparison: CBM average (-2040) applied 2026-30 from 405,549: non-Maltese share at 636,000</t>
        </is>
      </c>
      <c r="D1445" s="2" t="inlineStr">
        <is>
          <t>37.84</t>
        </is>
      </c>
      <c r="E1445" s="2" t="inlineStr">
        <is>
          <t>%</t>
        </is>
      </c>
      <c r="F1445" s="2" t="inlineStr">
        <is>
          <t>calculated (comparison, ◆)</t>
        </is>
      </c>
      <c r="G1445" s="2" t="inlineStr"/>
      <c r="H1445" s="2" t="inlineStr"/>
    </row>
    <row r="1446">
      <c r="A1446" s="5" t="inlineStr">
        <is>
          <t>CC-099</t>
        </is>
      </c>
      <c r="B1446" s="2" t="inlineStr">
        <is>
          <t>CC-099:93</t>
        </is>
      </c>
      <c r="C1446" s="2" t="inlineStr">
        <is>
          <t>◆ Comparison: CBM average (-2234) applied 2026-30 from 405,549: non-Maltese share at 636,000</t>
        </is>
      </c>
      <c r="D1446" s="2" t="inlineStr">
        <is>
          <t>37.99</t>
        </is>
      </c>
      <c r="E1446" s="2" t="inlineStr">
        <is>
          <t>%</t>
        </is>
      </c>
      <c r="F1446" s="2" t="inlineStr">
        <is>
          <t>calculated (comparison, ◆)</t>
        </is>
      </c>
      <c r="G1446" s="2" t="inlineStr"/>
      <c r="H1446" s="2" t="inlineStr"/>
    </row>
    <row r="1447">
      <c r="A1447" s="5" t="inlineStr">
        <is>
          <t>CC-099</t>
        </is>
      </c>
      <c r="B1447" s="2" t="inlineStr">
        <is>
          <t>CC-099:94</t>
        </is>
      </c>
      <c r="C1447" s="2" t="inlineStr">
        <is>
          <t>◆ Comparison: CBM average (-2151) applied 2026-30 from 405,549: non-Maltese share at 636,000</t>
        </is>
      </c>
      <c r="D1447" s="2" t="inlineStr">
        <is>
          <t>37.93</t>
        </is>
      </c>
      <c r="E1447" s="2" t="inlineStr">
        <is>
          <t>%</t>
        </is>
      </c>
      <c r="F1447" s="2" t="inlineStr">
        <is>
          <t>calculated (comparison, ◆)</t>
        </is>
      </c>
      <c r="G1447" s="2" t="inlineStr"/>
      <c r="H1447" s="2" t="inlineStr"/>
    </row>
    <row r="1448">
      <c r="A1448" s="5" t="inlineStr">
        <is>
          <t>CC-099</t>
        </is>
      </c>
      <c r="B1448" s="2" t="inlineStr">
        <is>
          <t>CC-099:95</t>
        </is>
      </c>
      <c r="C1448" s="2" t="inlineStr">
        <is>
          <t>EUROPOP2025 BSL: population 1 January 2030 / 1 January 2031</t>
        </is>
      </c>
      <c r="D1448" s="2" t="inlineStr">
        <is>
          <t>621,470 / 628,876</t>
        </is>
      </c>
      <c r="E1448" s="2" t="inlineStr">
        <is>
          <t>persons</t>
        </is>
      </c>
      <c r="F1448" s="2" t="inlineStr">
        <is>
          <t>Eurostat proj_25np (EUROPOP2025), retrieved 6 Oct 2026</t>
        </is>
      </c>
      <c r="G1448" s="2" t="inlineStr"/>
      <c r="H1448" s="2" t="inlineStr"/>
    </row>
    <row r="1449">
      <c r="A1449" s="5" t="inlineStr">
        <is>
          <t>CC-099</t>
        </is>
      </c>
      <c r="B1449" s="2" t="inlineStr">
        <is>
          <t>CC-099:96</t>
        </is>
      </c>
      <c r="C1449" s="2" t="inlineStr">
        <is>
          <t>EUROPOP2025 HMIGR: population 1 January 2030 / 1 January 2031</t>
        </is>
      </c>
      <c r="D1449" s="2" t="inlineStr">
        <is>
          <t>650,230 / 663,463</t>
        </is>
      </c>
      <c r="E1449" s="2" t="inlineStr">
        <is>
          <t>persons</t>
        </is>
      </c>
      <c r="F1449" s="2" t="inlineStr">
        <is>
          <t>Eurostat proj_25np (EUROPOP2025), retrieved 6 Oct 2026</t>
        </is>
      </c>
      <c r="G1449" s="2" t="inlineStr"/>
      <c r="H1449" s="2" t="inlineStr"/>
    </row>
    <row r="1450">
      <c r="A1450" s="5" t="inlineStr">
        <is>
          <t>CC-099</t>
        </is>
      </c>
      <c r="B1450" s="2" t="inlineStr">
        <is>
          <t>CC-099:97</t>
        </is>
      </c>
      <c r="C1450" s="2" t="inlineStr">
        <is>
          <t>EUROPOP2025 LMIGR: population 1 January 2030 / 1 January 2031</t>
        </is>
      </c>
      <c r="D1450" s="2" t="inlineStr">
        <is>
          <t>592,712 / 594,292</t>
        </is>
      </c>
      <c r="E1450" s="2" t="inlineStr">
        <is>
          <t>persons</t>
        </is>
      </c>
      <c r="F1450" s="2" t="inlineStr">
        <is>
          <t>Eurostat proj_25np (EUROPOP2025), retrieved 6 Oct 2026</t>
        </is>
      </c>
      <c r="G1450" s="2" t="inlineStr"/>
      <c r="H1450" s="2" t="inlineStr"/>
    </row>
    <row r="1451">
      <c r="A1451" s="5" t="inlineStr">
        <is>
          <t>CC-099</t>
        </is>
      </c>
      <c r="B1451" s="2" t="inlineStr">
        <is>
          <t>CC-099:98</t>
        </is>
      </c>
      <c r="C1451" s="2" t="inlineStr">
        <is>
          <t>EUROPOP2025 NMIGR: population 1 January 2030 / 1 January 2031</t>
        </is>
      </c>
      <c r="D1451" s="2" t="inlineStr">
        <is>
          <t>584,120 / 583,309</t>
        </is>
      </c>
      <c r="E1451" s="2" t="inlineStr">
        <is>
          <t>persons</t>
        </is>
      </c>
      <c r="F1451" s="2" t="inlineStr">
        <is>
          <t>Eurostat proj_25np (EUROPOP2025), retrieved 6 Oct 2026</t>
        </is>
      </c>
      <c r="G1451" s="2" t="inlineStr"/>
      <c r="H1451" s="2" t="inlineStr"/>
    </row>
    <row r="1452">
      <c r="A1452" s="5" t="inlineStr">
        <is>
          <t>CC-099</t>
        </is>
      </c>
      <c r="B1452" s="2" t="inlineStr">
        <is>
          <t>CC-099:99</t>
        </is>
      </c>
      <c r="C1452" s="2" t="inlineStr">
        <is>
          <t>EUROPOP2025 baseline for 1 January 2026 vs actual</t>
        </is>
      </c>
      <c r="D1452" s="2" t="inlineStr">
        <is>
          <t>585,012 vs 588,254</t>
        </is>
      </c>
      <c r="E1452" s="2" t="inlineStr">
        <is>
          <t>persons</t>
        </is>
      </c>
      <c r="F1452" s="2" t="inlineStr">
        <is>
          <t>Eurostat proj_25np (EUROPOP2025), retrieved 6 Oct 2026; Eurostat demo_gind, retrieved 6 Oct 2026</t>
        </is>
      </c>
      <c r="G1452" s="2" t="inlineStr">
        <is>
          <t>actual higher by 3,242</t>
        </is>
      </c>
      <c r="H1452" s="2" t="inlineStr"/>
    </row>
    <row r="1453">
      <c r="A1453" s="5" t="inlineStr">
        <is>
          <t>CC-099</t>
        </is>
      </c>
      <c r="B1453" s="2" t="inlineStr">
        <is>
          <t>CC-099:100</t>
        </is>
      </c>
      <c r="C1453" s="2" t="inlineStr">
        <is>
          <t>Dimensions of EUROPOP2025 national projections</t>
        </is>
      </c>
      <c r="D1453" s="2" t="inlineStr">
        <is>
          <t>age, sex, type of projection</t>
        </is>
      </c>
      <c r="E1453" s="2" t="inlineStr"/>
      <c r="F1453" s="2" t="inlineStr">
        <is>
          <t>Eurostat proj_25np (EUROPOP2025), retrieved 6 Oct 2026</t>
        </is>
      </c>
      <c r="G1453" s="2" t="inlineStr">
        <is>
          <t>no citizenship or country-of-birth split</t>
        </is>
      </c>
      <c r="H1453" s="2" t="inlineStr"/>
    </row>
    <row r="1454">
      <c r="A1454" s="5" t="inlineStr">
        <is>
          <t>CC-100</t>
        </is>
      </c>
      <c r="B1454" s="2" t="inlineStr">
        <is>
          <t>CC-100:2</t>
        </is>
      </c>
      <c r="C1454" s="2" t="inlineStr">
        <is>
          <t>MIA: passenger movements 2025</t>
        </is>
      </c>
      <c r="D1454" s="2" t="inlineStr">
        <is>
          <t>10061969</t>
        </is>
      </c>
      <c r="E1454" s="2" t="inlineStr">
        <is>
          <t>passengers</t>
        </is>
      </c>
      <c r="F1454" s="2" t="inlineStr">
        <is>
          <t>Eurostat avia_paoc (updated 2 Oct 2026), retrieved 5 Oct 2026; MIA company announcement 461/2026</t>
        </is>
      </c>
      <c r="G1454" s="2" t="inlineStr">
        <is>
          <t>company announcement 14 Jan 2026</t>
        </is>
      </c>
      <c r="H1454" s="2" t="inlineStr"/>
    </row>
    <row r="1455">
      <c r="A1455" s="5" t="inlineStr">
        <is>
          <t>CC-100</t>
        </is>
      </c>
      <c r="B1455" s="2" t="inlineStr">
        <is>
          <t>CC-100:3</t>
        </is>
      </c>
      <c r="C1455" s="2" t="inlineStr">
        <is>
          <t>Eurostat: passengers carried at Malta airport, 2019</t>
        </is>
      </c>
      <c r="D1455" s="2" t="inlineStr">
        <is>
          <t>7318357</t>
        </is>
      </c>
      <c r="E1455" s="2" t="inlineStr">
        <is>
          <t>passengers</t>
        </is>
      </c>
      <c r="F1455" s="2" t="inlineStr">
        <is>
          <t>Eurostat avia_paoc (updated 2 Oct 2026), retrieved 5 Oct 2026; MIA company announcement 461/2026</t>
        </is>
      </c>
      <c r="G1455" s="2" t="inlineStr"/>
      <c r="H1455" s="2" t="inlineStr"/>
    </row>
    <row r="1456">
      <c r="A1456" s="5" t="inlineStr">
        <is>
          <t>CC-100</t>
        </is>
      </c>
      <c r="B1456" s="2" t="inlineStr">
        <is>
          <t>CC-100:4</t>
        </is>
      </c>
      <c r="C1456" s="2" t="inlineStr">
        <is>
          <t>Eurostat: passengers carried at Malta airport, 2023</t>
        </is>
      </c>
      <c r="D1456" s="2" t="inlineStr">
        <is>
          <t>7813491</t>
        </is>
      </c>
      <c r="E1456" s="2" t="inlineStr">
        <is>
          <t>passengers</t>
        </is>
      </c>
      <c r="F1456" s="2" t="inlineStr">
        <is>
          <t>Eurostat avia_paoc (updated 2 Oct 2026), retrieved 5 Oct 2026; MIA company announcement 461/2026</t>
        </is>
      </c>
      <c r="G1456" s="2" t="inlineStr"/>
      <c r="H1456" s="2" t="inlineStr"/>
    </row>
    <row r="1457">
      <c r="A1457" s="5" t="inlineStr">
        <is>
          <t>CC-100</t>
        </is>
      </c>
      <c r="B1457" s="2" t="inlineStr">
        <is>
          <t>CC-100:5</t>
        </is>
      </c>
      <c r="C1457" s="2" t="inlineStr">
        <is>
          <t>Eurostat: passengers carried at Malta airport, 2024</t>
        </is>
      </c>
      <c r="D1457" s="2" t="inlineStr">
        <is>
          <t>8968239</t>
        </is>
      </c>
      <c r="E1457" s="2" t="inlineStr">
        <is>
          <t>passengers</t>
        </is>
      </c>
      <c r="F1457" s="2" t="inlineStr">
        <is>
          <t>Eurostat avia_paoc (updated 2 Oct 2026), retrieved 5 Oct 2026; MIA company announcement 461/2026</t>
        </is>
      </c>
      <c r="G1457" s="2" t="inlineStr"/>
      <c r="H1457" s="2" t="inlineStr"/>
    </row>
    <row r="1458">
      <c r="A1458" s="5" t="inlineStr">
        <is>
          <t>CC-100</t>
        </is>
      </c>
      <c r="B1458" s="2" t="inlineStr">
        <is>
          <t>CC-100:6</t>
        </is>
      </c>
      <c r="C1458" s="2" t="inlineStr">
        <is>
          <t>Eurostat: passengers carried at Malta airport, 2025</t>
        </is>
      </c>
      <c r="D1458" s="2" t="inlineStr">
        <is>
          <t>10070972</t>
        </is>
      </c>
      <c r="E1458" s="2" t="inlineStr">
        <is>
          <t>passengers</t>
        </is>
      </c>
      <c r="F1458" s="2" t="inlineStr">
        <is>
          <t>Eurostat avia_paoc (updated 2 Oct 2026), retrieved 5 Oct 2026; MIA company announcement 461/2026</t>
        </is>
      </c>
      <c r="G1458" s="2" t="inlineStr"/>
      <c r="H1458" s="2" t="inlineStr"/>
    </row>
    <row r="1459">
      <c r="A1459" s="5" t="inlineStr">
        <is>
          <t>CC-100</t>
        </is>
      </c>
      <c r="B1459" s="2" t="inlineStr">
        <is>
          <t>CC-100:7</t>
        </is>
      </c>
      <c r="C1459" s="2" t="inlineStr">
        <is>
          <t>Eurostat 2025 minus MIA 2025</t>
        </is>
      </c>
      <c r="D1459" s="2" t="inlineStr">
        <is>
          <t>9003</t>
        </is>
      </c>
      <c r="E1459" s="2" t="inlineStr">
        <is>
          <t>passengers</t>
        </is>
      </c>
      <c r="F1459" s="2" t="inlineStr">
        <is>
          <t>Eurostat avia_paoc (updated 2 Oct 2026), retrieved 5 Oct 2026; MIA company announcement 461/2026</t>
        </is>
      </c>
      <c r="G1459" s="2" t="inlineStr">
        <is>
          <t>0.09% difference</t>
        </is>
      </c>
      <c r="H1459" s="2" t="inlineStr"/>
    </row>
    <row r="1460">
      <c r="A1460" s="5" t="inlineStr">
        <is>
          <t>CC-100</t>
        </is>
      </c>
      <c r="B1460" s="2" t="inlineStr">
        <is>
          <t>CC-100:8</t>
        </is>
      </c>
      <c r="C1460" s="2" t="inlineStr">
        <is>
          <t>Eurostat: change 2024 to 2025</t>
        </is>
      </c>
      <c r="D1460" s="2" t="inlineStr">
        <is>
          <t>12.3</t>
        </is>
      </c>
      <c r="E1460" s="2" t="inlineStr">
        <is>
          <t>%</t>
        </is>
      </c>
      <c r="F1460" s="2" t="inlineStr">
        <is>
          <t>Eurostat avia_paoc (updated 2 Oct 2026), retrieved 5 Oct 2026; MIA company announcement 461/2026</t>
        </is>
      </c>
      <c r="G1460" s="2" t="inlineStr">
        <is>
          <t>MIA: +12.3%</t>
        </is>
      </c>
      <c r="H1460" s="2" t="inlineStr"/>
    </row>
    <row r="1461">
      <c r="A1461" s="5" t="inlineStr">
        <is>
          <t>CC-100</t>
        </is>
      </c>
      <c r="B1461" s="2" t="inlineStr">
        <is>
          <t>CC-100:9</t>
        </is>
      </c>
      <c r="C1461" s="2" t="inlineStr">
        <is>
          <t>Eurostat: change 2019 to 2025</t>
        </is>
      </c>
      <c r="D1461" s="2" t="inlineStr">
        <is>
          <t>37.6</t>
        </is>
      </c>
      <c r="E1461" s="2" t="inlineStr">
        <is>
          <t>%</t>
        </is>
      </c>
      <c r="F1461" s="2" t="inlineStr">
        <is>
          <t>Eurostat avia_paoc (updated 2 Oct 2026), retrieved 5 Oct 2026; MIA company announcement 461/2026</t>
        </is>
      </c>
      <c r="G1461" s="2" t="inlineStr"/>
      <c r="H1461" s="2" t="inlineStr"/>
    </row>
    <row r="1462">
      <c r="A1462" s="5" t="inlineStr">
        <is>
          <t>CC-100</t>
        </is>
      </c>
      <c r="B1462" s="2" t="inlineStr">
        <is>
          <t>CC-100:10</t>
        </is>
      </c>
      <c r="C1462" s="2" t="inlineStr">
        <is>
          <t>Eurostat: first year above 10 million</t>
        </is>
      </c>
      <c r="D1462" s="2" t="inlineStr">
        <is>
          <t>2025</t>
        </is>
      </c>
      <c r="E1462" s="2" t="inlineStr">
        <is>
          <t>year</t>
        </is>
      </c>
      <c r="F1462" s="2" t="inlineStr">
        <is>
          <t>Eurostat avia_paoc (updated 2 Oct 2026), retrieved 5 Oct 2026; MIA company announcement 461/2026</t>
        </is>
      </c>
      <c r="G1462" s="2" t="inlineStr"/>
      <c r="H1462" s="2" t="inlineStr"/>
    </row>
    <row r="1463">
      <c r="A1463" s="5" t="inlineStr">
        <is>
          <t>CC-100</t>
        </is>
      </c>
      <c r="B1463" s="2" t="inlineStr">
        <is>
          <t>CC-100:11</t>
        </is>
      </c>
      <c r="C1463" s="2" t="inlineStr">
        <is>
          <t>Eurostat: share of 2025 passengers on flights to or from outside the EU</t>
        </is>
      </c>
      <c r="D1463" s="2" t="inlineStr">
        <is>
          <t>29.2</t>
        </is>
      </c>
      <c r="E1463" s="2" t="inlineStr">
        <is>
          <t>%</t>
        </is>
      </c>
      <c r="F1463" s="2" t="inlineStr">
        <is>
          <t>Eurostat avia_paoc (updated 2 Oct 2026), retrieved 5 Oct 2026; MIA company announcement 461/2026</t>
        </is>
      </c>
      <c r="G1463" s="2" t="inlineStr"/>
      <c r="H1463" s="2" t="inlineStr"/>
    </row>
    <row r="1464">
      <c r="A1464" s="5" t="inlineStr">
        <is>
          <t>CC-101</t>
        </is>
      </c>
      <c r="B1464" s="2" t="inlineStr">
        <is>
          <t>CC-101:2</t>
        </is>
      </c>
      <c r="C1464" s="2" t="inlineStr">
        <is>
          <t>Fresh surface water abstraction, 2024</t>
        </is>
      </c>
      <c r="D1464" s="2" t="inlineStr">
        <is>
          <t>2.96</t>
        </is>
      </c>
      <c r="E1464" s="2" t="inlineStr">
        <is>
          <t>million m3</t>
        </is>
      </c>
      <c r="F1464" s="2" t="inlineStr">
        <is>
          <t>Eurostat env_wat_abs (updated 16 Sep 2026), retrieved 2026-10-06</t>
        </is>
      </c>
      <c r="G1464" s="2" t="inlineStr">
        <is>
          <t>flag 'e'</t>
        </is>
      </c>
      <c r="H1464" s="2" t="inlineStr"/>
    </row>
    <row r="1465">
      <c r="A1465" s="5" t="inlineStr">
        <is>
          <t>CC-101</t>
        </is>
      </c>
      <c r="B1465" s="2" t="inlineStr">
        <is>
          <t>CC-101:3</t>
        </is>
      </c>
      <c r="C1465" s="2" t="inlineStr">
        <is>
          <t>Fresh groundwater abstraction, 2024</t>
        </is>
      </c>
      <c r="D1465" s="2" t="inlineStr">
        <is>
          <t>38.46</t>
        </is>
      </c>
      <c r="E1465" s="2" t="inlineStr">
        <is>
          <t>million m3</t>
        </is>
      </c>
      <c r="F1465" s="2" t="inlineStr">
        <is>
          <t>Eurostat env_wat_abs (updated 16 Sep 2026), retrieved 2026-10-06</t>
        </is>
      </c>
      <c r="G1465" s="2" t="inlineStr">
        <is>
          <t>flag 'e'</t>
        </is>
      </c>
      <c r="H1465" s="2" t="inlineStr"/>
    </row>
    <row r="1466">
      <c r="A1466" s="5" t="inlineStr">
        <is>
          <t>CC-101</t>
        </is>
      </c>
      <c r="B1466" s="2" t="inlineStr">
        <is>
          <t>CC-101:4</t>
        </is>
      </c>
      <c r="C1466" s="2" t="inlineStr">
        <is>
          <t>Fresh surface and groundwater abstraction, 2024</t>
        </is>
      </c>
      <c r="D1466" s="2" t="inlineStr">
        <is>
          <t>41.42</t>
        </is>
      </c>
      <c r="E1466" s="2" t="inlineStr">
        <is>
          <t>million m3</t>
        </is>
      </c>
      <c r="F1466" s="2" t="inlineStr">
        <is>
          <t>Eurostat env_wat_abs (updated 16 Sep 2026), retrieved 2026-10-06</t>
        </is>
      </c>
      <c r="G1466" s="2" t="inlineStr">
        <is>
          <t>flag 'e'</t>
        </is>
      </c>
      <c r="H1466" s="2" t="inlineStr"/>
    </row>
    <row r="1467">
      <c r="A1467" s="5" t="inlineStr">
        <is>
          <t>CC-101</t>
        </is>
      </c>
      <c r="B1467" s="2" t="inlineStr">
        <is>
          <t>CC-101:5</t>
        </is>
      </c>
      <c r="C1467" s="2" t="inlineStr">
        <is>
          <t>Surface + groundwater equals the total, 2024</t>
        </is>
      </c>
      <c r="D1467" s="2" t="inlineStr">
        <is>
          <t>True</t>
        </is>
      </c>
      <c r="E1467" s="2" t="inlineStr">
        <is>
          <t>check</t>
        </is>
      </c>
      <c r="F1467" s="2" t="inlineStr">
        <is>
          <t>calculated</t>
        </is>
      </c>
      <c r="G1467" s="2" t="inlineStr"/>
      <c r="H1467" s="2" t="inlineStr"/>
    </row>
    <row r="1468">
      <c r="A1468" s="5" t="inlineStr">
        <is>
          <t>CC-101</t>
        </is>
      </c>
      <c r="B1468" s="2" t="inlineStr">
        <is>
          <t>CC-101:6</t>
        </is>
      </c>
      <c r="C1468" s="2" t="inlineStr">
        <is>
          <t>Surface water share of freshwater abstraction, 2024</t>
        </is>
      </c>
      <c r="D1468" s="2" t="inlineStr">
        <is>
          <t>7.1</t>
        </is>
      </c>
      <c r="E1468" s="2" t="inlineStr">
        <is>
          <t>%</t>
        </is>
      </c>
      <c r="F1468" s="2" t="inlineStr">
        <is>
          <t>calculated</t>
        </is>
      </c>
      <c r="G1468" s="2" t="inlineStr">
        <is>
          <t>both inputs estimated (flag e)</t>
        </is>
      </c>
      <c r="H1468" s="2" t="inlineStr"/>
    </row>
    <row r="1469">
      <c r="A1469" s="5" t="inlineStr">
        <is>
          <t>CC-101</t>
        </is>
      </c>
      <c r="B1469" s="2" t="inlineStr">
        <is>
          <t>CC-101:7</t>
        </is>
      </c>
      <c r="C1469" s="2" t="inlineStr">
        <is>
          <t>Groundwater share of freshwater abstraction, 2024</t>
        </is>
      </c>
      <c r="D1469" s="2" t="inlineStr">
        <is>
          <t>92.9</t>
        </is>
      </c>
      <c r="E1469" s="2" t="inlineStr">
        <is>
          <t>%</t>
        </is>
      </c>
      <c r="F1469" s="2" t="inlineStr">
        <is>
          <t>calculated</t>
        </is>
      </c>
      <c r="G1469" s="2" t="inlineStr">
        <is>
          <t>both inputs estimated (flag e); desalinated seawater is not freshwater abstraction</t>
        </is>
      </c>
      <c r="H1469" s="2" t="inlineStr"/>
    </row>
    <row r="1470">
      <c r="A1470" s="5" t="inlineStr">
        <is>
          <t>CC-101</t>
        </is>
      </c>
      <c r="B1470" s="2" t="inlineStr">
        <is>
          <t>CC-101:8</t>
        </is>
      </c>
      <c r="C1470" s="2" t="inlineStr">
        <is>
          <t>Fresh surface water abstraction, distinct values 2010-2024</t>
        </is>
      </c>
      <c r="D1470" s="2" t="inlineStr">
        <is>
          <t>2.62 (2010-2018); 2.96 (2019-2024)</t>
        </is>
      </c>
      <c r="E1470" s="2" t="inlineStr">
        <is>
          <t>million m3</t>
        </is>
      </c>
      <c r="F1470" s="2" t="inlineStr">
        <is>
          <t>Eurostat env_wat_abs (updated 16 Sep 2026), retrieved 2026-10-06</t>
        </is>
      </c>
      <c r="G1470" s="2" t="inlineStr">
        <is>
          <t>flat within each period: an estimate, not a metered series (our reading)</t>
        </is>
      </c>
      <c r="H1470" s="2" t="inlineStr"/>
    </row>
    <row r="1471">
      <c r="A1471" s="5" t="inlineStr">
        <is>
          <t>CC-101</t>
        </is>
      </c>
      <c r="B1471" s="2" t="inlineStr">
        <is>
          <t>CC-101:9</t>
        </is>
      </c>
      <c r="C1471" s="2" t="inlineStr">
        <is>
          <t>Fresh surface water abstraction by households, 2024</t>
        </is>
      </c>
      <c r="D1471" s="2" t="inlineStr">
        <is>
          <t>1.71</t>
        </is>
      </c>
      <c r="E1471" s="2" t="inlineStr">
        <is>
          <t>million m3</t>
        </is>
      </c>
      <c r="F1471" s="2" t="inlineStr">
        <is>
          <t>Eurostat env_wat_abs (updated 16 Sep 2026), retrieved 2026-10-06</t>
        </is>
      </c>
      <c r="G1471" s="2" t="inlineStr">
        <is>
          <t>flag 'e'</t>
        </is>
      </c>
      <c r="H1471" s="2" t="inlineStr"/>
    </row>
    <row r="1472">
      <c r="A1472" s="5" t="inlineStr">
        <is>
          <t>CC-101</t>
        </is>
      </c>
      <c r="B1472" s="2" t="inlineStr">
        <is>
          <t>CC-101:10</t>
        </is>
      </c>
      <c r="C1472" s="2" t="inlineStr">
        <is>
          <t>Fresh surface water abstraction by agriculture, forestry, fishing, 2024</t>
        </is>
      </c>
      <c r="D1472" s="2" t="inlineStr">
        <is>
          <t>1.25</t>
        </is>
      </c>
      <c r="E1472" s="2" t="inlineStr">
        <is>
          <t>million m3</t>
        </is>
      </c>
      <c r="F1472" s="2" t="inlineStr">
        <is>
          <t>Eurostat env_wat_abs (updated 16 Sep 2026), retrieved 2026-10-06</t>
        </is>
      </c>
      <c r="G1472" s="2" t="inlineStr">
        <is>
          <t>flag 'e'</t>
        </is>
      </c>
      <c r="H1472" s="2" t="inlineStr"/>
    </row>
    <row r="1473">
      <c r="A1473" s="5" t="inlineStr">
        <is>
          <t>CC-101</t>
        </is>
      </c>
      <c r="B1473" s="2" t="inlineStr">
        <is>
          <t>CC-101:11</t>
        </is>
      </c>
      <c r="C1473" s="2" t="inlineStr">
        <is>
          <t>Groundwater abstraction for public water supply, 2024</t>
        </is>
      </c>
      <c r="D1473" s="2" t="inlineStr">
        <is>
          <t>14.28</t>
        </is>
      </c>
      <c r="E1473" s="2" t="inlineStr">
        <is>
          <t>million m3</t>
        </is>
      </c>
      <c r="F1473" s="2" t="inlineStr">
        <is>
          <t>Eurostat env_wat_abs (updated 16 Sep 2026), retrieved 2026-10-06</t>
        </is>
      </c>
      <c r="G1473" s="2" t="inlineStr">
        <is>
          <t>flag 'e'</t>
        </is>
      </c>
      <c r="H1473" s="2" t="inlineStr"/>
    </row>
    <row r="1474">
      <c r="A1474" s="5" t="inlineStr">
        <is>
          <t>CC-101</t>
        </is>
      </c>
      <c r="B1474" s="2" t="inlineStr">
        <is>
          <t>CC-101:12</t>
        </is>
      </c>
      <c r="C1474" s="2" t="inlineStr">
        <is>
          <t>Groundwater abstraction by agriculture, forestry, fishing, 2024</t>
        </is>
      </c>
      <c r="D1474" s="2" t="inlineStr">
        <is>
          <t>21.77</t>
        </is>
      </c>
      <c r="E1474" s="2" t="inlineStr">
        <is>
          <t>million m3</t>
        </is>
      </c>
      <c r="F1474" s="2" t="inlineStr">
        <is>
          <t>Eurostat env_wat_abs (updated 16 Sep 2026), retrieved 2026-10-06</t>
        </is>
      </c>
      <c r="G1474" s="2" t="inlineStr">
        <is>
          <t>flag 'e'</t>
        </is>
      </c>
      <c r="H1474" s="2" t="inlineStr"/>
    </row>
    <row r="1475">
      <c r="A1475" s="5" t="inlineStr">
        <is>
          <t>CC-101</t>
        </is>
      </c>
      <c r="B1475" s="2" t="inlineStr">
        <is>
          <t>CC-101:13</t>
        </is>
      </c>
      <c r="C1475" s="2" t="inlineStr">
        <is>
          <t>Groundwater abstraction by everyone else (households, industry, services, mining), 2024</t>
        </is>
      </c>
      <c r="D1475" s="2" t="inlineStr">
        <is>
          <t>2.41</t>
        </is>
      </c>
      <c r="E1475" s="2" t="inlineStr">
        <is>
          <t>million m3</t>
        </is>
      </c>
      <c r="F1475" s="2" t="inlineStr">
        <is>
          <t>calculated</t>
        </is>
      </c>
      <c r="G1475" s="2" t="inlineStr">
        <is>
          <t>total minus public supply minus agriculture</t>
        </is>
      </c>
      <c r="H1475" s="2" t="inlineStr"/>
    </row>
    <row r="1476">
      <c r="A1476" s="5" t="inlineStr">
        <is>
          <t>CC-101</t>
        </is>
      </c>
      <c r="B1476" s="2" t="inlineStr">
        <is>
          <t>CC-101:14</t>
        </is>
      </c>
      <c r="C1476" s="2" t="inlineStr">
        <is>
          <t>Share of groundwater abstraction outside the public water supply, 2024</t>
        </is>
      </c>
      <c r="D1476" s="2" t="inlineStr">
        <is>
          <t>62.9</t>
        </is>
      </c>
      <c r="E1476" s="2" t="inlineStr">
        <is>
          <t>%</t>
        </is>
      </c>
      <c r="F1476" s="2" t="inlineStr">
        <is>
          <t>calculated</t>
        </is>
      </c>
      <c r="G1476" s="2" t="inlineStr">
        <is>
          <t>Eurostat's 'public water supply' category taken as the Water Services Corporation (our identification, not Eurostat's); the Green Paper's proposed framework would exclude WSC sources</t>
        </is>
      </c>
      <c r="H1476" s="2" t="inlineStr"/>
    </row>
    <row r="1477">
      <c r="A1477" s="5" t="inlineStr">
        <is>
          <t>CC-101</t>
        </is>
      </c>
      <c r="B1477" s="2" t="inlineStr">
        <is>
          <t>CC-101:15</t>
        </is>
      </c>
      <c r="C1477" s="2" t="inlineStr">
        <is>
          <t>Share of groundwater abstraction by agriculture, 2024</t>
        </is>
      </c>
      <c r="D1477" s="2" t="inlineStr">
        <is>
          <t>56.6</t>
        </is>
      </c>
      <c r="E1477" s="2" t="inlineStr">
        <is>
          <t>%</t>
        </is>
      </c>
      <c r="F1477" s="2" t="inlineStr">
        <is>
          <t>calculated</t>
        </is>
      </c>
      <c r="G1477" s="2" t="inlineStr"/>
      <c r="H1477" s="2" t="inlineStr"/>
    </row>
    <row r="1478">
      <c r="A1478" s="5" t="inlineStr">
        <is>
          <t>CC-101</t>
        </is>
      </c>
      <c r="B1478" s="2" t="inlineStr">
        <is>
          <t>CC-101:16</t>
        </is>
      </c>
      <c r="C1478" s="2" t="inlineStr">
        <is>
          <t>Eurostat flags on Malta's groundwater total, 2010-2024</t>
        </is>
      </c>
      <c r="D1478" s="2" t="inlineStr">
        <is>
          <t>2010:e, 2011:e, 2012:e, 2013:e, 2014:e, 2015:e, 2016:e, 2017:e, 2018:e, 2019:e, 2020:be, 2021:e, 2022:e, 2023:e, 2024:e</t>
        </is>
      </c>
      <c r="E1478" s="2" t="inlineStr">
        <is>
          <t>flags</t>
        </is>
      </c>
      <c r="F1478" s="2" t="inlineStr">
        <is>
          <t>Eurostat env_wat_abs (updated 16 Sep 2026), retrieved 2026-10-06</t>
        </is>
      </c>
      <c r="G1478" s="2" t="inlineStr">
        <is>
          <t>e = estimated; b = break in series</t>
        </is>
      </c>
      <c r="H1478" s="2" t="inlineStr"/>
    </row>
    <row r="1479">
      <c r="A1479" s="5" t="inlineStr">
        <is>
          <t>CC-101</t>
        </is>
      </c>
      <c r="B1479" s="2" t="inlineStr">
        <is>
          <t>CC-101:17</t>
        </is>
      </c>
      <c r="C1479" s="2" t="inlineStr">
        <is>
          <t>Surface water bodies reported (excluding territorial waters)</t>
        </is>
      </c>
      <c r="D1479" s="2" t="inlineStr">
        <is>
          <t>19</t>
        </is>
      </c>
      <c r="E1479" s="2" t="inlineStr">
        <is>
          <t>bodies</t>
        </is>
      </c>
      <c r="F1479" s="2" t="inlineStr">
        <is>
          <t>EEA WISE WFD 2022 reporting, retrieved 2026-10-06</t>
        </is>
      </c>
      <c r="G1479" s="2" t="inlineStr">
        <is>
          <t>coastalWaterBody: 9, lakeWaterBody: 2, riverWaterBody: 3, transitionalWaterBody: 5</t>
        </is>
      </c>
      <c r="H1479" s="2" t="inlineStr"/>
    </row>
    <row r="1480">
      <c r="A1480" s="5" t="inlineStr">
        <is>
          <t>CC-101</t>
        </is>
      </c>
      <c r="B1480" s="2" t="inlineStr">
        <is>
          <t>CC-101:18</t>
        </is>
      </c>
      <c r="C1480" s="2" t="inlineStr">
        <is>
          <t>River water bodies (watercourses)</t>
        </is>
      </c>
      <c r="D1480" s="2" t="inlineStr">
        <is>
          <t>3</t>
        </is>
      </c>
      <c r="E1480" s="2" t="inlineStr">
        <is>
          <t>bodies</t>
        </is>
      </c>
      <c r="F1480" s="2" t="inlineStr">
        <is>
          <t>EEA WISE WFD 2022 reporting, retrieved 2026-10-06</t>
        </is>
      </c>
      <c r="G1480" s="2" t="inlineStr">
        <is>
          <t>WIED TAL-BAHRIJA 1.5 km; WIED IL-LUQ 1.3 km; WIED IL-LUNZJATA 0.6 km</t>
        </is>
      </c>
      <c r="H1480" s="2" t="inlineStr"/>
    </row>
    <row r="1481">
      <c r="A1481" s="5" t="inlineStr">
        <is>
          <t>CC-101</t>
        </is>
      </c>
      <c r="B1481" s="2" t="inlineStr">
        <is>
          <t>CC-101:19</t>
        </is>
      </c>
      <c r="C1481" s="2" t="inlineStr">
        <is>
          <t>Total length of river water bodies</t>
        </is>
      </c>
      <c r="D1481" s="2" t="inlineStr">
        <is>
          <t>3.4</t>
        </is>
      </c>
      <c r="E1481" s="2" t="inlineStr">
        <is>
          <t>km</t>
        </is>
      </c>
      <c r="F1481" s="2" t="inlineStr">
        <is>
          <t>EEA WISE WFD 2022 reporting, retrieved 2026-10-06</t>
        </is>
      </c>
      <c r="G1481" s="2" t="inlineStr"/>
      <c r="H1481" s="2" t="inlineStr"/>
    </row>
    <row r="1482">
      <c r="A1482" s="5" t="inlineStr">
        <is>
          <t>CC-101</t>
        </is>
      </c>
      <c r="B1482" s="2" t="inlineStr">
        <is>
          <t>CC-101:20</t>
        </is>
      </c>
      <c r="C1482" s="2" t="inlineStr">
        <is>
          <t>Lake water bodies (pools)</t>
        </is>
      </c>
      <c r="D1482" s="2" t="inlineStr">
        <is>
          <t>2</t>
        </is>
      </c>
      <c r="E1482" s="2" t="inlineStr">
        <is>
          <t>bodies</t>
        </is>
      </c>
      <c r="F1482" s="2" t="inlineStr">
        <is>
          <t>EEA WISE WFD 2022 reporting, retrieved 2026-10-06</t>
        </is>
      </c>
      <c r="G1482" s="2" t="inlineStr">
        <is>
          <t>IL-QATTARA 0 km2; L-GHADIRA TA' SARRAFLU 0.001 km2</t>
        </is>
      </c>
      <c r="H1482" s="2" t="inlineStr"/>
    </row>
    <row r="1483">
      <c r="A1483" s="5" t="inlineStr">
        <is>
          <t>CC-101</t>
        </is>
      </c>
      <c r="B1483" s="2" t="inlineStr">
        <is>
          <t>CC-101:21</t>
        </is>
      </c>
      <c r="C1483" s="2" t="inlineStr">
        <is>
          <t>Largest lake water body</t>
        </is>
      </c>
      <c r="D1483" s="2" t="inlineStr">
        <is>
          <t>0.001</t>
        </is>
      </c>
      <c r="E1483" s="2" t="inlineStr">
        <is>
          <t>km2</t>
        </is>
      </c>
      <c r="F1483" s="2" t="inlineStr">
        <is>
          <t>EEA WISE WFD 2022 reporting, retrieved 2026-10-06</t>
        </is>
      </c>
      <c r="G1483" s="2" t="inlineStr"/>
      <c r="H1483" s="2" t="inlineStr"/>
    </row>
    <row r="1484">
      <c r="A1484" s="5" t="inlineStr">
        <is>
          <t>CC-101</t>
        </is>
      </c>
      <c r="B1484" s="2" t="inlineStr">
        <is>
          <t>CC-101:22</t>
        </is>
      </c>
      <c r="C1484" s="2" t="inlineStr">
        <is>
          <t>Surface water bodies with abstraction (P3) as a significant pressure</t>
        </is>
      </c>
      <c r="D1484" s="2" t="inlineStr">
        <is>
          <t>0</t>
        </is>
      </c>
      <c r="E1484" s="2" t="inlineStr">
        <is>
          <t>of 19</t>
        </is>
      </c>
      <c r="F1484" s="2" t="inlineStr">
        <is>
          <t>EEA WISE WFD 2022 reporting, retrieved 2026-10-06</t>
        </is>
      </c>
      <c r="G1484" s="2" t="inlineStr"/>
      <c r="H1484" s="2" t="inlineStr"/>
    </row>
    <row r="1485">
      <c r="A1485" s="5" t="inlineStr">
        <is>
          <t>CC-101</t>
        </is>
      </c>
      <c r="B1485" s="2" t="inlineStr">
        <is>
          <t>CC-101:23</t>
        </is>
      </c>
      <c r="C1485" s="2" t="inlineStr">
        <is>
          <t>Inland fresh surface water bodies (rivers and lakes) with abstraction as a significant pressure</t>
        </is>
      </c>
      <c r="D1485" s="2" t="inlineStr">
        <is>
          <t>0</t>
        </is>
      </c>
      <c r="E1485" s="2" t="inlineStr">
        <is>
          <t>of 5</t>
        </is>
      </c>
      <c r="F1485" s="2" t="inlineStr">
        <is>
          <t>EEA WISE WFD 2022 reporting, retrieved 2026-10-06</t>
        </is>
      </c>
      <c r="G1485" s="2" t="inlineStr">
        <is>
          <t>pressures reported for them: P2-1 - Diffuse - Urban run-off; P2-2 - Diffuse - Agricultural; P2-4 - Diffuse - Transport</t>
        </is>
      </c>
      <c r="H1485" s="2" t="inlineStr"/>
    </row>
    <row r="1486">
      <c r="A1486" s="5" t="inlineStr">
        <is>
          <t>CC-101</t>
        </is>
      </c>
      <c r="B1486" s="2" t="inlineStr">
        <is>
          <t>CC-101:24</t>
        </is>
      </c>
      <c r="C1486" s="2" t="inlineStr">
        <is>
          <t>Groundwater bodies with abstraction (P3) as a significant pressure</t>
        </is>
      </c>
      <c r="D1486" s="2" t="inlineStr">
        <is>
          <t>7</t>
        </is>
      </c>
      <c r="E1486" s="2" t="inlineStr">
        <is>
          <t>of 15</t>
        </is>
      </c>
      <c r="F1486" s="2" t="inlineStr">
        <is>
          <t>EEA WISE WFD 2022 reporting, retrieved 2026-10-06</t>
        </is>
      </c>
      <c r="G1486" s="2" t="inlineStr">
        <is>
          <t>MT001 Malta Mean Sea Level (public supply); MT002 Rabat-Dingli Perched (agriculture); MT003 Mgarr-Wardija Perched (agriculture); MT005 Pwales Coastal (agriculture); MT006 Mizieb Mean Sea Level (public supply); MT013 Gozo Mean Sea Level (public supply); MT014 Ghajnsielem Perched (public supply)</t>
        </is>
      </c>
      <c r="H1486" s="2" t="inlineStr"/>
    </row>
    <row r="1487">
      <c r="A1487" s="5" t="inlineStr">
        <is>
          <t>CC-101</t>
        </is>
      </c>
      <c r="B1487" s="2" t="inlineStr">
        <is>
          <t>CC-101:25</t>
        </is>
      </c>
      <c r="C1487" s="2" t="inlineStr">
        <is>
          <t>Groundwater bodies with alteration of water level or volume (P6-2) as a significant pressure</t>
        </is>
      </c>
      <c r="D1487" s="2" t="inlineStr">
        <is>
          <t>7</t>
        </is>
      </c>
      <c r="E1487" s="2" t="inlineStr">
        <is>
          <t>of 15</t>
        </is>
      </c>
      <c r="F1487" s="2" t="inlineStr">
        <is>
          <t>EEA WISE WFD 2022 reporting, retrieved 2026-10-06</t>
        </is>
      </c>
      <c r="G1487" s="2" t="inlineStr">
        <is>
          <t>MT001, MT005, MT006, MT009, MT010, MT012, MT013</t>
        </is>
      </c>
      <c r="H1487" s="2" t="inlineStr"/>
    </row>
    <row r="1488">
      <c r="A1488" s="5" t="inlineStr">
        <is>
          <t>CC-101</t>
        </is>
      </c>
      <c r="B1488" s="2" t="inlineStr">
        <is>
          <t>CC-101:26</t>
        </is>
      </c>
      <c r="C1488" s="2" t="inlineStr">
        <is>
          <t>Groundwater bodies with P3 or P6-2</t>
        </is>
      </c>
      <c r="D1488" s="2" t="inlineStr">
        <is>
          <t>10</t>
        </is>
      </c>
      <c r="E1488" s="2" t="inlineStr">
        <is>
          <t>of 15</t>
        </is>
      </c>
      <c r="F1488" s="2" t="inlineStr">
        <is>
          <t>calculated</t>
        </is>
      </c>
      <c r="G1488" s="2" t="inlineStr">
        <is>
          <t>MT001, MT002, MT003, MT005, MT006, MT009, MT010, MT012, MT013, MT014</t>
        </is>
      </c>
      <c r="H1488" s="2" t="inlineStr"/>
    </row>
    <row r="1489">
      <c r="A1489" s="5" t="inlineStr">
        <is>
          <t>CC-101</t>
        </is>
      </c>
      <c r="B1489" s="2" t="inlineStr">
        <is>
          <t>CC-101:27</t>
        </is>
      </c>
      <c r="C1489" s="2" t="inlineStr">
        <is>
          <t>Groundwater bodies in poor quantitative status (3rd cycle, assessed 2021)</t>
        </is>
      </c>
      <c r="D1489" s="2" t="inlineStr">
        <is>
          <t>4</t>
        </is>
      </c>
      <c r="E1489" s="2" t="inlineStr">
        <is>
          <t>of 15</t>
        </is>
      </c>
      <c r="F1489" s="2" t="inlineStr">
        <is>
          <t>EEA WISE WFD 2022 reporting (WFD2022_GroundWaterBody_WM layer 0), retrieved 2026-10-06</t>
        </is>
      </c>
      <c r="G1489" s="2" t="inlineStr">
        <is>
          <t>MT001, MT005, MT010, MT013</t>
        </is>
      </c>
      <c r="H1489" s="2" t="inlineStr"/>
    </row>
    <row r="1490">
      <c r="A1490" s="5" t="inlineStr">
        <is>
          <t>CC-101</t>
        </is>
      </c>
      <c r="B1490" s="2" t="inlineStr">
        <is>
          <t>CC-101:28</t>
        </is>
      </c>
      <c r="C1490" s="2" t="inlineStr">
        <is>
          <t>Poor quantitative status bodies that also report abstraction or water-level pressure</t>
        </is>
      </c>
      <c r="D1490" s="2" t="inlineStr">
        <is>
          <t>4</t>
        </is>
      </c>
      <c r="E1490" s="2" t="inlineStr">
        <is>
          <t>of 4</t>
        </is>
      </c>
      <c r="F1490" s="2" t="inlineStr">
        <is>
          <t>calculated</t>
        </is>
      </c>
      <c r="G1490" s="2" t="inlineStr"/>
      <c r="H1490" s="2" t="inlineStr"/>
    </row>
    <row r="1491">
      <c r="A1491" s="5" t="inlineStr">
        <is>
          <t>CC-101</t>
        </is>
      </c>
      <c r="B1491" s="2" t="inlineStr">
        <is>
          <t>CC-101:29</t>
        </is>
      </c>
      <c r="C1491" s="2" t="inlineStr">
        <is>
          <t>Agricultural boreholes</t>
        </is>
      </c>
      <c r="D1491" s="2" t="inlineStr">
        <is>
          <t>3553</t>
        </is>
      </c>
      <c r="E1491" s="2" t="inlineStr">
        <is>
          <t>boreholes</t>
        </is>
      </c>
      <c r="F1491" s="2" t="inlineStr">
        <is>
          <t>EWA and ERA, Green Paper on the Regulation of Groundwater Abstraction (Nov 2023)</t>
        </is>
      </c>
      <c r="G1491" s="2" t="inlineStr">
        <is>
          <t>PDF p. 5</t>
        </is>
      </c>
      <c r="H1491" s="2" t="inlineStr"/>
    </row>
    <row r="1492">
      <c r="A1492" s="5" t="inlineStr">
        <is>
          <t>CC-101</t>
        </is>
      </c>
      <c r="B1492" s="2" t="inlineStr">
        <is>
          <t>CC-101:30</t>
        </is>
      </c>
      <c r="C1492" s="2" t="inlineStr">
        <is>
          <t>Commercial boreholes (registered)</t>
        </is>
      </c>
      <c r="D1492" s="2" t="inlineStr">
        <is>
          <t>245</t>
        </is>
      </c>
      <c r="E1492" s="2" t="inlineStr">
        <is>
          <t>boreholes</t>
        </is>
      </c>
      <c r="F1492" s="2" t="inlineStr">
        <is>
          <t>EWA and ERA, Green Paper on the Regulation of Groundwater Abstraction (Nov 2023)</t>
        </is>
      </c>
      <c r="G1492" s="2" t="inlineStr">
        <is>
          <t>PDF p. 5</t>
        </is>
      </c>
      <c r="H1492" s="2" t="inlineStr"/>
    </row>
    <row r="1493">
      <c r="A1493" s="5" t="inlineStr">
        <is>
          <t>CC-101</t>
        </is>
      </c>
      <c r="B1493" s="2" t="inlineStr">
        <is>
          <t>CC-101:31</t>
        </is>
      </c>
      <c r="C1493" s="2" t="inlineStr">
        <is>
          <t>Agricultural plus commercial boreholes</t>
        </is>
      </c>
      <c r="D1493" s="2" t="inlineStr">
        <is>
          <t>3798</t>
        </is>
      </c>
      <c r="E1493" s="2" t="inlineStr">
        <is>
          <t>boreholes</t>
        </is>
      </c>
      <c r="F1493" s="2" t="inlineStr">
        <is>
          <t>calculated</t>
        </is>
      </c>
      <c r="G1493" s="2" t="inlineStr">
        <is>
          <t>domestic boreholes (pools, gardens) have no count in the Green Paper; spieri counted separately</t>
        </is>
      </c>
      <c r="H1493" s="2" t="inlineStr"/>
    </row>
    <row r="1494">
      <c r="A1494" s="5" t="inlineStr">
        <is>
          <t>CC-101</t>
        </is>
      </c>
      <c r="B1494" s="2" t="inlineStr">
        <is>
          <t>CC-101:32</t>
        </is>
      </c>
      <c r="C1494" s="2" t="inlineStr">
        <is>
          <t>Registered low-yield sources (spieri), not metered</t>
        </is>
      </c>
      <c r="D1494" s="2" t="inlineStr">
        <is>
          <t>3405</t>
        </is>
      </c>
      <c r="E1494" s="2" t="inlineStr">
        <is>
          <t>sources</t>
        </is>
      </c>
      <c r="F1494" s="2" t="inlineStr">
        <is>
          <t>EWA and ERA, Green Paper on the Regulation of Groundwater Abstraction (Nov 2023)</t>
        </is>
      </c>
      <c r="G1494" s="2" t="inlineStr">
        <is>
          <t>PDF p. 7</t>
        </is>
      </c>
      <c r="H1494" s="2" t="inlineStr"/>
    </row>
    <row r="1495">
      <c r="A1495" s="5" t="inlineStr">
        <is>
          <t>CC-101</t>
        </is>
      </c>
      <c r="B1495" s="2" t="inlineStr">
        <is>
          <t>CC-101:33</t>
        </is>
      </c>
      <c r="C1495" s="2" t="inlineStr">
        <is>
          <t>WSC boreholes</t>
        </is>
      </c>
      <c r="D1495" s="2" t="inlineStr">
        <is>
          <t>110</t>
        </is>
      </c>
      <c r="E1495" s="2" t="inlineStr">
        <is>
          <t>boreholes</t>
        </is>
      </c>
      <c r="F1495" s="2" t="inlineStr">
        <is>
          <t>EWA and ERA, Green Paper on the Regulation of Groundwater Abstraction (Nov 2023)</t>
        </is>
      </c>
      <c r="G1495" s="2" t="inlineStr">
        <is>
          <t>PDF p. 4; plus 12 pumping stations</t>
        </is>
      </c>
      <c r="H1495" s="2" t="inlineStr"/>
    </row>
    <row r="1496">
      <c r="A1496" s="5" t="inlineStr">
        <is>
          <t>CC-101</t>
        </is>
      </c>
      <c r="B1496" s="2" t="inlineStr">
        <is>
          <t>CC-101:34</t>
        </is>
      </c>
      <c r="C1496" s="2" t="inlineStr">
        <is>
          <t>WSC share of the boreholes counted (agricultural + commercial + WSC)</t>
        </is>
      </c>
      <c r="D1496" s="2" t="inlineStr">
        <is>
          <t>2.8</t>
        </is>
      </c>
      <c r="E1496" s="2" t="inlineStr">
        <is>
          <t>%</t>
        </is>
      </c>
      <c r="F1496" s="2" t="inlineStr">
        <is>
          <t>calculated</t>
        </is>
      </c>
      <c r="G1496" s="2" t="inlineStr"/>
      <c r="H1496" s="2" t="inlineStr"/>
    </row>
    <row r="1497">
      <c r="A1497" s="5" t="inlineStr">
        <is>
          <t>CC-101</t>
        </is>
      </c>
      <c r="B1497" s="2" t="inlineStr">
        <is>
          <t>CC-101:35</t>
        </is>
      </c>
      <c r="C1497" s="2" t="inlineStr">
        <is>
          <t>Private abstraction by sector (agriculture / commercial / domestic)</t>
        </is>
      </c>
      <c r="D1497" s="2" t="inlineStr">
        <is>
          <t>76 / 16 / 8</t>
        </is>
      </c>
      <c r="E1497" s="2" t="inlineStr">
        <is>
          <t>%</t>
        </is>
      </c>
      <c r="F1497" s="2" t="inlineStr">
        <is>
          <t>EWA and ERA, Green Paper on the Regulation of Groundwater Abstraction (Nov 2023)</t>
        </is>
      </c>
      <c r="G1497" s="2" t="inlineStr">
        <is>
          <t>Figure 6; sums to 100</t>
        </is>
      </c>
      <c r="H1497" s="2" t="inlineStr"/>
    </row>
    <row r="1498">
      <c r="A1498" s="5" t="inlineStr">
        <is>
          <t>CC-101</t>
        </is>
      </c>
      <c r="B1498" s="2" t="inlineStr">
        <is>
          <t>CC-101:36</t>
        </is>
      </c>
      <c r="C1498" s="2" t="inlineStr">
        <is>
          <t>Second-hand: registered commercial boreholes with no abstraction data</t>
        </is>
      </c>
      <c r="D1498" s="2" t="inlineStr">
        <is>
          <t>more than 63</t>
        </is>
      </c>
      <c r="E1498" s="2" t="inlineStr">
        <is>
          <t>%</t>
        </is>
      </c>
      <c r="F1498" s="2" t="inlineStr">
        <is>
          <t>Amphora Media, Aug 2026, reporting ERA records (not seen by us)</t>
        </is>
      </c>
      <c r="G1498" s="2" t="inlineStr">
        <is>
          <t>SECOND-HAND; not used for any rating</t>
        </is>
      </c>
      <c r="H1498" s="2" t="inlineStr"/>
    </row>
    <row r="1499">
      <c r="A1499" s="5" t="inlineStr">
        <is>
          <t>CC-101</t>
        </is>
      </c>
      <c r="B1499" s="2" t="inlineStr">
        <is>
          <t>CC-101:37</t>
        </is>
      </c>
      <c r="C1499" s="2" t="inlineStr">
        <is>
          <t>Years from the WFD transposition deadline to the letter of formal notice</t>
        </is>
      </c>
      <c r="D1499" s="2" t="inlineStr">
        <is>
          <t>22.5</t>
        </is>
      </c>
      <c r="E1499" s="2" t="inlineStr">
        <is>
          <t>years</t>
        </is>
      </c>
      <c r="F1499" s="2" t="inlineStr">
        <is>
          <t>calculated</t>
        </is>
      </c>
      <c r="G1499" s="2" t="inlineStr">
        <is>
          <t>22 Dec 2003 to 8 Jul 2026</t>
        </is>
      </c>
      <c r="H1499" s="2" t="inlineStr"/>
    </row>
    <row r="1500">
      <c r="A1500" s="5" t="inlineStr">
        <is>
          <t>CC-101</t>
        </is>
      </c>
      <c r="B1500" s="2" t="inlineStr">
        <is>
          <t>CC-101:38</t>
        </is>
      </c>
      <c r="C1500" s="2" t="inlineStr">
        <is>
          <t>Years from the deadline for operational measures to the letter</t>
        </is>
      </c>
      <c r="D1500" s="2" t="inlineStr">
        <is>
          <t>13.5</t>
        </is>
      </c>
      <c r="E1500" s="2" t="inlineStr">
        <is>
          <t>years</t>
        </is>
      </c>
      <c r="F1500" s="2" t="inlineStr">
        <is>
          <t>calculated</t>
        </is>
      </c>
      <c r="G1500" s="2" t="inlineStr">
        <is>
          <t>22 Dec 2012 to 8 Jul 2026</t>
        </is>
      </c>
      <c r="H1500" s="2" t="inlineStr"/>
    </row>
    <row r="1501">
      <c r="A1501" s="5" t="inlineStr">
        <is>
          <t>CC-101</t>
        </is>
      </c>
      <c r="B1501" s="2" t="inlineStr">
        <is>
          <t>CC-101:39</t>
        </is>
      </c>
      <c r="C1501" s="2" t="inlineStr">
        <is>
          <t>Years since the notification deadline for existing groundwater sources</t>
        </is>
      </c>
      <c r="D1501" s="2" t="inlineStr">
        <is>
          <t>17.9</t>
        </is>
      </c>
      <c r="E1501" s="2" t="inlineStr">
        <is>
          <t>years</t>
        </is>
      </c>
      <c r="F1501" s="2" t="inlineStr">
        <is>
          <t>calculated</t>
        </is>
      </c>
      <c r="G1501" s="2" t="inlineStr">
        <is>
          <t>20 Nov 2008 to 6 Oct 2026</t>
        </is>
      </c>
      <c r="H1501" s="2" t="inlineStr"/>
    </row>
    <row r="1502">
      <c r="A1502" s="5" t="inlineStr">
        <is>
          <t>CC-101</t>
        </is>
      </c>
      <c r="B1502" s="2" t="inlineStr">
        <is>
          <t>CC-101:40</t>
        </is>
      </c>
      <c r="C1502" s="2" t="inlineStr">
        <is>
          <t>Months from the Green Paper to the letter of formal notice</t>
        </is>
      </c>
      <c r="D1502" s="2" t="inlineStr">
        <is>
          <t>31.5</t>
        </is>
      </c>
      <c r="E1502" s="2" t="inlineStr">
        <is>
          <t>months</t>
        </is>
      </c>
      <c r="F1502" s="2" t="inlineStr">
        <is>
          <t>calculated</t>
        </is>
      </c>
      <c r="G1502" s="2" t="inlineStr"/>
      <c r="H1502" s="2" t="inlineStr"/>
    </row>
    <row r="1503">
      <c r="A1503" s="5" t="inlineStr">
        <is>
          <t>CC-101</t>
        </is>
      </c>
      <c r="B1503" s="2" t="inlineStr">
        <is>
          <t>CC-101:41</t>
        </is>
      </c>
      <c r="C1503" s="2" t="inlineStr">
        <is>
          <t>Months from the Green Paper to this check</t>
        </is>
      </c>
      <c r="D1503" s="2" t="inlineStr">
        <is>
          <t>34.4</t>
        </is>
      </c>
      <c r="E1503" s="2" t="inlineStr">
        <is>
          <t>months</t>
        </is>
      </c>
      <c r="F1503" s="2" t="inlineStr">
        <is>
          <t>calculated</t>
        </is>
      </c>
      <c r="G1503" s="2" t="inlineStr"/>
      <c r="H1503" s="2" t="inlineStr"/>
    </row>
    <row r="1504">
      <c r="A1504" s="5" t="inlineStr">
        <is>
          <t>CC-101</t>
        </is>
      </c>
      <c r="B1504" s="2" t="inlineStr">
        <is>
          <t>CC-101:42</t>
        </is>
      </c>
      <c r="C1504" s="2" t="inlineStr">
        <is>
          <t>Reply deadline (two months from the letter)</t>
        </is>
      </c>
      <c r="D1504" s="2" t="inlineStr">
        <is>
          <t>2026-09-08</t>
        </is>
      </c>
      <c r="E1504" s="2" t="inlineStr">
        <is>
          <t>date</t>
        </is>
      </c>
      <c r="F1504" s="2" t="inlineStr">
        <is>
          <t>INF/26/1376: 'two months to respond'</t>
        </is>
      </c>
      <c r="G1504" s="2" t="inlineStr">
        <is>
          <t>approximate: the date of receipt of the letter is not public</t>
        </is>
      </c>
      <c r="H1504" s="2" t="inlineStr"/>
    </row>
    <row r="1505">
      <c r="A1505" s="5" t="inlineStr">
        <is>
          <t>CC-101</t>
        </is>
      </c>
      <c r="B1505" s="2" t="inlineStr">
        <is>
          <t>CC-101:43</t>
        </is>
      </c>
      <c r="C1505" s="2" t="inlineStr">
        <is>
          <t>Legal Notices 2024-2026 read (titles)</t>
        </is>
      </c>
      <c r="D1505" s="2" t="inlineStr">
        <is>
          <t>943</t>
        </is>
      </c>
      <c r="E1505" s="2" t="inlineStr">
        <is>
          <t>of 943 in the ELI sitemap</t>
        </is>
      </c>
      <c r="F1505" s="2" t="inlineStr">
        <is>
          <t>legislation.mt, retrieved 2026-10-06</t>
        </is>
      </c>
      <c r="G1505" s="2" t="inlineStr">
        <is>
          <t>2024: 379, 2025: 307, 2026: 257</t>
        </is>
      </c>
      <c r="H1505" s="2" t="inlineStr"/>
    </row>
    <row r="1506">
      <c r="A1506" s="5" t="inlineStr">
        <is>
          <t>CC-101</t>
        </is>
      </c>
      <c r="B1506" s="2" t="inlineStr">
        <is>
          <t>CC-101:44</t>
        </is>
      </c>
      <c r="C1506" s="2" t="inlineStr">
        <is>
          <t>Titles matching groundwater, abstraction, borehole, water policy or well(s)</t>
        </is>
      </c>
      <c r="D1506" s="2" t="inlineStr">
        <is>
          <t>1</t>
        </is>
      </c>
      <c r="E1506" s="2" t="inlineStr">
        <is>
          <t>notices</t>
        </is>
      </c>
      <c r="F1506" s="2" t="inlineStr">
        <is>
          <t>calculated</t>
        </is>
      </c>
      <c r="G1506" s="2" t="inlineStr">
        <is>
          <t>374 of 2024 - Borehole Drilling and Excavation Works within the Saturated Zone (Amendment) Regulations, 2024 Government</t>
        </is>
      </c>
      <c r="H1506" s="2" t="inlineStr"/>
    </row>
    <row r="1507">
      <c r="A1507" s="5" t="inlineStr">
        <is>
          <t>CC-101</t>
        </is>
      </c>
      <c r="B1507" s="2" t="inlineStr">
        <is>
          <t>CC-101:45</t>
        </is>
      </c>
      <c r="C1507" s="2" t="inlineStr">
        <is>
          <t>What the matching notice does</t>
        </is>
      </c>
      <c r="D1507" s="2" t="inlineStr">
        <is>
          <t>L.N. 374 of 2024</t>
        </is>
      </c>
      <c r="E1507" s="2" t="inlineStr">
        <is>
          <t>instrument</t>
        </is>
      </c>
      <c r="F1507" s="2" t="inlineStr">
        <is>
          <t>legislation.mt, read 6 Oct 2026</t>
        </is>
      </c>
      <c r="G1507" s="2" t="inlineStr">
        <is>
          <t>adds to S.L. 549.165 reg. 6(2) a new exception to the drilling moratorium: boreholes by a public entity for research and development, with ERA's prior approval; no abstraction permit</t>
        </is>
      </c>
      <c r="H1507" s="2" t="inlineStr"/>
    </row>
    <row r="1508">
      <c r="A1508" s="5" t="inlineStr">
        <is>
          <t>CC-101</t>
        </is>
      </c>
      <c r="B1508" s="2" t="inlineStr">
        <is>
          <t>CC-101:46</t>
        </is>
      </c>
      <c r="C1508" s="2" t="inlineStr">
        <is>
          <t>Acts 2024-2026 read (title and full text searched)</t>
        </is>
      </c>
      <c r="D1508" s="2" t="inlineStr">
        <is>
          <t>101</t>
        </is>
      </c>
      <c r="E1508" s="2" t="inlineStr">
        <is>
          <t>Acts</t>
        </is>
      </c>
      <c r="F1508" s="2" t="inlineStr">
        <is>
          <t>legislation.mt ELI sitemap, retrieved 2026-10-06</t>
        </is>
      </c>
      <c r="G1508" s="2" t="inlineStr">
        <is>
          <t>2024: 41, 2025: 42, 2026: 18; 18 further numbers after the last listed one in each year probed: 0 exist</t>
        </is>
      </c>
      <c r="H1508" s="2" t="inlineStr"/>
    </row>
    <row r="1509">
      <c r="A1509" s="5" t="inlineStr">
        <is>
          <t>CC-101</t>
        </is>
      </c>
      <c r="B1509" s="2" t="inlineStr">
        <is>
          <t>CC-101:47</t>
        </is>
      </c>
      <c r="C1509" s="2" t="inlineStr">
        <is>
          <t>Acts 2024-2026 whose text mentions groundwater, abstract or borehole</t>
        </is>
      </c>
      <c r="D1509" s="2" t="inlineStr">
        <is>
          <t>1</t>
        </is>
      </c>
      <c r="E1509" s="2" t="inlineStr">
        <is>
          <t>Acts</t>
        </is>
      </c>
      <c r="F1509" s="2" t="inlineStr">
        <is>
          <t>calculated</t>
        </is>
      </c>
      <c r="G1509" s="2" t="inlineStr">
        <is>
          <t>XVII of 2024 – Environment Protection (Amendment) Act, 2024 Government</t>
        </is>
      </c>
      <c r="H1509" s="2" t="inlineStr"/>
    </row>
    <row r="1510">
      <c r="A1510" s="5" t="inlineStr">
        <is>
          <t>CC-101</t>
        </is>
      </c>
      <c r="B1510" s="2" t="inlineStr">
        <is>
          <t>CC-101:48</t>
        </is>
      </c>
      <c r="C1510" s="2" t="inlineStr">
        <is>
          <t>S.L. titles read under 549, 423, 545, 355 and 427</t>
        </is>
      </c>
      <c r="D1510" s="2" t="inlineStr">
        <is>
          <t>344</t>
        </is>
      </c>
      <c r="E1510" s="2" t="inlineStr">
        <is>
          <t>instruments</t>
        </is>
      </c>
      <c r="F1510" s="2" t="inlineStr">
        <is>
          <t>legislation.mt ELI sitemap, retrieved 2026-10-06</t>
        </is>
      </c>
      <c r="G1510" s="2" t="inlineStr">
        <is>
          <t>0 without a title</t>
        </is>
      </c>
      <c r="H1510" s="2" t="inlineStr"/>
    </row>
    <row r="1511">
      <c r="A1511" s="5" t="inlineStr">
        <is>
          <t>CC-101</t>
        </is>
      </c>
      <c r="B1511" s="2" t="inlineStr">
        <is>
          <t>CC-101:49</t>
        </is>
      </c>
      <c r="C1511" s="2" t="inlineStr">
        <is>
          <t>S.L. titles mentioning groundwater, abstraction, boreholes, wells, pumps or water-controlled areas</t>
        </is>
      </c>
      <c r="D1511" s="2" t="inlineStr">
        <is>
          <t>14</t>
        </is>
      </c>
      <c r="E1511" s="2" t="inlineStr">
        <is>
          <t>instruments</t>
        </is>
      </c>
      <c r="F1511" s="2" t="inlineStr">
        <is>
          <t>calculated</t>
        </is>
      </c>
      <c r="G1511" s="2" t="inlineStr">
        <is>
          <t>S.L. 423.12; S.L. 423.16; S.L. 423.32; S.L. 423.40; S.L. 423.45; S.L. 545.2; S.L. 549.21; S.L. 549.53; S.L. 549.100; S.L. 549.155; S.L. 549.164; S.L. 549.165; S.L. 549.166; S.L. 549.168</t>
        </is>
      </c>
      <c r="H1511" s="2" t="inlineStr"/>
    </row>
    <row r="1512">
      <c r="A1512" s="5" t="inlineStr">
        <is>
          <t>CC-101</t>
        </is>
      </c>
      <c r="B1512" s="2" t="inlineStr">
        <is>
          <t>CC-101:50</t>
        </is>
      </c>
      <c r="C1512" s="2" t="inlineStr">
        <is>
          <t>Malta's 2019 statement of private groundwater sources metered</t>
        </is>
      </c>
      <c r="D1512" s="2" t="inlineStr">
        <is>
          <t>more than 3,000</t>
        </is>
      </c>
      <c r="E1512" s="2" t="inlineStr">
        <is>
          <t>sources</t>
        </is>
      </c>
      <c r="F1512" s="2" t="inlineStr">
        <is>
          <t>European Commission, SWD(2019) 48 final (2nd RBMPs, Malta), footnote 65 (Malta's clarification), p. 124 (repeated in footnote 68, p. 125)</t>
        </is>
      </c>
      <c r="G1512" s="2" t="inlineStr">
        <is>
          <t>Malta's clarification to the Commission, not a count by us; no current count found</t>
        </is>
      </c>
      <c r="H1512" s="2" t="inlineStr"/>
    </row>
    <row r="1513">
      <c r="A1513" s="5" t="inlineStr">
        <is>
          <t>CC-105</t>
        </is>
      </c>
      <c r="B1513" s="2" t="inlineStr">
        <is>
          <t>CC-105:2</t>
        </is>
      </c>
      <c r="C1513" s="2" t="inlineStr">
        <is>
          <t>MIA aircraft noise, Lden, inside agglomeration, people</t>
        </is>
      </c>
      <c r="D1513" s="2" t="inlineStr">
        <is>
          <t>8054</t>
        </is>
      </c>
      <c r="E1513" s="2" t="inlineStr"/>
      <c r="F1513" s="2" t="inlineStr"/>
      <c r="G1513" s="2" t="inlineStr">
        <is>
          <t>round 3, base year 2016; bands from 55 (Lden) / 50 (Lnight) dB</t>
        </is>
      </c>
      <c r="H1513" s="2" t="inlineStr"/>
    </row>
    <row r="1514">
      <c r="A1514" s="5" t="inlineStr">
        <is>
          <t>CC-105</t>
        </is>
      </c>
      <c r="B1514" s="2" t="inlineStr">
        <is>
          <t>CC-105:3</t>
        </is>
      </c>
      <c r="C1514" s="2" t="inlineStr">
        <is>
          <t>MIA aircraft noise, Lden, outside agglomeration, people</t>
        </is>
      </c>
      <c r="D1514" s="2" t="inlineStr">
        <is>
          <t>1612</t>
        </is>
      </c>
      <c r="E1514" s="2" t="inlineStr"/>
      <c r="F1514" s="2" t="inlineStr"/>
      <c r="G1514" s="2" t="inlineStr">
        <is>
          <t>round 3, base year 2016; bands from 55 (Lden) / 50 (Lnight) dB</t>
        </is>
      </c>
      <c r="H1514" s="2" t="inlineStr"/>
    </row>
    <row r="1515">
      <c r="A1515" s="5" t="inlineStr">
        <is>
          <t>CC-105</t>
        </is>
      </c>
      <c r="B1515" s="2" t="inlineStr">
        <is>
          <t>CC-105:4</t>
        </is>
      </c>
      <c r="C1515" s="2" t="inlineStr">
        <is>
          <t>MIA aircraft noise, Lden, total people</t>
        </is>
      </c>
      <c r="D1515" s="2" t="inlineStr">
        <is>
          <t>9666</t>
        </is>
      </c>
      <c r="E1515" s="2" t="inlineStr"/>
      <c r="F1515" s="2" t="inlineStr"/>
      <c r="G1515" s="2" t="inlineStr">
        <is>
          <t>inside + outside agglomeration</t>
        </is>
      </c>
      <c r="H1515" s="2" t="inlineStr"/>
    </row>
    <row r="1516">
      <c r="A1516" s="5" t="inlineStr">
        <is>
          <t>CC-105</t>
        </is>
      </c>
      <c r="B1516" s="2" t="inlineStr">
        <is>
          <t>CC-105:5</t>
        </is>
      </c>
      <c r="C1516" s="2" t="inlineStr">
        <is>
          <t>MIA aircraft noise, Lnight, inside agglomeration, people</t>
        </is>
      </c>
      <c r="D1516" s="2" t="inlineStr">
        <is>
          <t>789</t>
        </is>
      </c>
      <c r="E1516" s="2" t="inlineStr"/>
      <c r="F1516" s="2" t="inlineStr"/>
      <c r="G1516" s="2" t="inlineStr">
        <is>
          <t>round 3, base year 2016; bands from 55 (Lden) / 50 (Lnight) dB</t>
        </is>
      </c>
      <c r="H1516" s="2" t="inlineStr"/>
    </row>
    <row r="1517">
      <c r="A1517" s="5" t="inlineStr">
        <is>
          <t>CC-105</t>
        </is>
      </c>
      <c r="B1517" s="2" t="inlineStr">
        <is>
          <t>CC-105:6</t>
        </is>
      </c>
      <c r="C1517" s="2" t="inlineStr">
        <is>
          <t>MIA aircraft noise, Lnight, outside agglomeration, people</t>
        </is>
      </c>
      <c r="D1517" s="2" t="inlineStr">
        <is>
          <t>38</t>
        </is>
      </c>
      <c r="E1517" s="2" t="inlineStr"/>
      <c r="F1517" s="2" t="inlineStr"/>
      <c r="G1517" s="2" t="inlineStr">
        <is>
          <t>round 3, base year 2016; bands from 55 (Lden) / 50 (Lnight) dB</t>
        </is>
      </c>
      <c r="H1517" s="2" t="inlineStr"/>
    </row>
    <row r="1518">
      <c r="A1518" s="5" t="inlineStr">
        <is>
          <t>CC-105</t>
        </is>
      </c>
      <c r="B1518" s="2" t="inlineStr">
        <is>
          <t>CC-105:7</t>
        </is>
      </c>
      <c r="C1518" s="2" t="inlineStr">
        <is>
          <t>MIA aircraft noise, Lnight, total people</t>
        </is>
      </c>
      <c r="D1518" s="2" t="inlineStr">
        <is>
          <t>827</t>
        </is>
      </c>
      <c r="E1518" s="2" t="inlineStr"/>
      <c r="F1518" s="2" t="inlineStr"/>
      <c r="G1518" s="2" t="inlineStr">
        <is>
          <t>inside + outside agglomeration</t>
        </is>
      </c>
      <c r="H1518" s="2" t="inlineStr"/>
    </row>
    <row r="1519">
      <c r="A1519" s="5" t="inlineStr">
        <is>
          <t>CC-105</t>
        </is>
      </c>
      <c r="B1519" s="2" t="inlineStr">
        <is>
          <t>CC-105:8</t>
        </is>
      </c>
      <c r="C1519" s="2" t="inlineStr">
        <is>
          <t>Share of exposed (Lden) living inside the agglomeration, %</t>
        </is>
      </c>
      <c r="D1519" s="2" t="inlineStr">
        <is>
          <t>83.3</t>
        </is>
      </c>
      <c r="E1519" s="2" t="inlineStr"/>
      <c r="F1519" s="2" t="inlineStr"/>
      <c r="G1519" s="2" t="inlineStr"/>
      <c r="H1519" s="2" t="inlineStr"/>
    </row>
    <row r="1520">
      <c r="A1520" s="5" t="inlineStr">
        <is>
          <t>CC-105</t>
        </is>
      </c>
      <c r="B1520" s="2" t="inlineStr">
        <is>
          <t>CC-105:9</t>
        </is>
      </c>
      <c r="C1520" s="2" t="inlineStr">
        <is>
          <t>Birżebbuġa points whose daytime range reaches above 55 dBA</t>
        </is>
      </c>
      <c r="D1520" s="2" t="inlineStr">
        <is>
          <t>5 of 5</t>
        </is>
      </c>
      <c r="E1520" s="2" t="inlineStr"/>
      <c r="F1520" s="2" t="inlineStr"/>
      <c r="G1520" s="2" t="inlineStr">
        <is>
          <t>top of range</t>
        </is>
      </c>
      <c r="H1520" s="2" t="inlineStr"/>
    </row>
    <row r="1521">
      <c r="A1521" s="5" t="inlineStr">
        <is>
          <t>CC-105</t>
        </is>
      </c>
      <c r="B1521" s="2" t="inlineStr">
        <is>
          <t>CC-105:10</t>
        </is>
      </c>
      <c r="C1521" s="2" t="inlineStr">
        <is>
          <t>Birżebbuġa points whose daytime range is at or above 55 dBA throughout</t>
        </is>
      </c>
      <c r="D1521" s="2" t="inlineStr">
        <is>
          <t>5 of 5</t>
        </is>
      </c>
      <c r="E1521" s="2" t="inlineStr"/>
      <c r="F1521" s="2" t="inlineStr"/>
      <c r="G1521" s="2" t="inlineStr">
        <is>
          <t>bottom of range</t>
        </is>
      </c>
      <c r="H1521" s="2" t="inlineStr"/>
    </row>
    <row r="1522">
      <c r="A1522" s="5" t="inlineStr">
        <is>
          <t>CC-105</t>
        </is>
      </c>
      <c r="B1522" s="2" t="inlineStr">
        <is>
          <t>CC-105:11</t>
        </is>
      </c>
      <c r="C1522" s="2" t="inlineStr">
        <is>
          <t>Birżebbuġa points whose night range reaches above 50 dBA</t>
        </is>
      </c>
      <c r="D1522" s="2" t="inlineStr">
        <is>
          <t>4 of 5</t>
        </is>
      </c>
      <c r="E1522" s="2" t="inlineStr"/>
      <c r="F1522" s="2" t="inlineStr"/>
      <c r="G1522" s="2" t="inlineStr">
        <is>
          <t>top of range</t>
        </is>
      </c>
      <c r="H1522" s="2" t="inlineStr"/>
    </row>
    <row r="1523">
      <c r="A1523" s="5" t="inlineStr">
        <is>
          <t>CC-105</t>
        </is>
      </c>
      <c r="B1523" s="2" t="inlineStr">
        <is>
          <t>CC-105:12</t>
        </is>
      </c>
      <c r="C1523" s="2" t="inlineStr">
        <is>
          <t>Birżebbuġa points whose night range is above 50 dBA throughout</t>
        </is>
      </c>
      <c r="D1523" s="2" t="inlineStr">
        <is>
          <t>0 of 5</t>
        </is>
      </c>
      <c r="E1523" s="2" t="inlineStr"/>
      <c r="F1523" s="2" t="inlineStr"/>
      <c r="G1523" s="2" t="inlineStr">
        <is>
          <t>bottom of range</t>
        </is>
      </c>
      <c r="H1523" s="2" t="inlineStr"/>
    </row>
    <row r="1524">
      <c r="A1524" s="5" t="inlineStr">
        <is>
          <t>CC-105</t>
        </is>
      </c>
      <c r="B1524" s="2" t="inlineStr">
        <is>
          <t>CC-105:13</t>
        </is>
      </c>
      <c r="C1524" s="2" t="inlineStr">
        <is>
          <t>Highest night average range reported (dBA)</t>
        </is>
      </c>
      <c r="D1524" s="2" t="inlineStr">
        <is>
          <t>70</t>
        </is>
      </c>
      <c r="E1524" s="2" t="inlineStr"/>
      <c r="F1524" s="2" t="inlineStr"/>
      <c r="G1524" s="2" t="inlineStr">
        <is>
          <t>Dawret il-Qalb Imqaddsa, 50-70</t>
        </is>
      </c>
      <c r="H1524" s="2" t="inlineStr"/>
    </row>
    <row r="1525">
      <c r="A1525" s="5" t="inlineStr">
        <is>
          <t>CC-105</t>
        </is>
      </c>
      <c r="B1525" s="2" t="inlineStr">
        <is>
          <t>CC-105:14</t>
        </is>
      </c>
      <c r="C1525" s="2" t="inlineStr">
        <is>
          <t>Search: Round 4 final report (Lemitor, Nov 2024)</t>
        </is>
      </c>
      <c r="D1525" s="2" t="inlineStr">
        <is>
          <t>Freeport 0; Birżebbuġa 0; airport 30</t>
        </is>
      </c>
      <c r="E1525" s="2" t="inlineStr"/>
      <c r="F1525" s="2" t="inlineStr"/>
      <c r="G1525" s="2" t="inlineStr">
        <is>
          <t>72 pages, full text</t>
        </is>
      </c>
      <c r="H1525" s="2" t="inlineStr"/>
    </row>
    <row r="1526">
      <c r="A1526" s="5" t="inlineStr">
        <is>
          <t>CC-105</t>
        </is>
      </c>
      <c r="B1526" s="2" t="inlineStr">
        <is>
          <t>CC-105:15</t>
        </is>
      </c>
      <c r="C1526" s="2" t="inlineStr">
        <is>
          <t>Search: Noise Action Plan, Malta Agglomeration 2019-2024</t>
        </is>
      </c>
      <c r="D1526" s="2" t="inlineStr">
        <is>
          <t>Freeport 0; Birżebbuġa 1; airport 63</t>
        </is>
      </c>
      <c r="E1526" s="2" t="inlineStr"/>
      <c r="F1526" s="2" t="inlineStr"/>
      <c r="G1526" s="2" t="inlineStr">
        <is>
          <t>124 pages, full text</t>
        </is>
      </c>
      <c r="H1526" s="2" t="inlineStr"/>
    </row>
    <row r="1527">
      <c r="A1527" s="5" t="inlineStr">
        <is>
          <t>CC-105</t>
        </is>
      </c>
      <c r="B1527" s="2" t="inlineStr">
        <is>
          <t>CC-105:16</t>
        </is>
      </c>
      <c r="C1527" s="2" t="inlineStr">
        <is>
          <t>Search: Noise Action Plan, Major Roads 2019-2024</t>
        </is>
      </c>
      <c r="D1527" s="2" t="inlineStr">
        <is>
          <t>Freeport 0; Birżebbuġa 0; airport 13</t>
        </is>
      </c>
      <c r="E1527" s="2" t="inlineStr"/>
      <c r="F1527" s="2" t="inlineStr"/>
      <c r="G1527" s="2" t="inlineStr">
        <is>
          <t>92 pages, full text</t>
        </is>
      </c>
      <c r="H1527" s="2" t="inlineStr"/>
    </row>
    <row r="1528">
      <c r="A1528" s="5" t="inlineStr">
        <is>
          <t>CC-105</t>
        </is>
      </c>
      <c r="B1528" s="2" t="inlineStr">
        <is>
          <t>CC-105:17</t>
        </is>
      </c>
      <c r="C1528" s="2" t="inlineStr">
        <is>
          <t>Search: Annex I, consultation responses (Jan 2023)</t>
        </is>
      </c>
      <c r="D1528" s="2" t="inlineStr">
        <is>
          <t>Freeport 0; Birżebbuġa 0; airport 0</t>
        </is>
      </c>
      <c r="E1528" s="2" t="inlineStr"/>
      <c r="F1528" s="2" t="inlineStr"/>
      <c r="G1528" s="2" t="inlineStr">
        <is>
          <t>17 pages, full text</t>
        </is>
      </c>
      <c r="H1528" s="2" t="inlineStr"/>
    </row>
    <row r="1529">
      <c r="A1529" s="5" t="inlineStr">
        <is>
          <t>CC-105</t>
        </is>
      </c>
      <c r="B1529" s="2" t="inlineStr">
        <is>
          <t>CC-105:18</t>
        </is>
      </c>
      <c r="C1529" s="2" t="inlineStr">
        <is>
          <t>Search: MIA Noise Modelling, round 3 final report (Mar 2019)</t>
        </is>
      </c>
      <c r="D1529" s="2" t="inlineStr">
        <is>
          <t>Freeport 0; Birżebbuġa 0; airport 99</t>
        </is>
      </c>
      <c r="E1529" s="2" t="inlineStr"/>
      <c r="F1529" s="2" t="inlineStr"/>
      <c r="G1529" s="2" t="inlineStr">
        <is>
          <t>55 pages, full text</t>
        </is>
      </c>
      <c r="H1529" s="2" t="inlineStr"/>
    </row>
    <row r="1530">
      <c r="A1530" s="5" t="inlineStr">
        <is>
          <t>CC-106</t>
        </is>
      </c>
      <c r="B1530" s="2" t="inlineStr">
        <is>
          <t>CC-106:2</t>
        </is>
      </c>
      <c r="C1530" s="2" t="inlineStr">
        <is>
          <t>malta: BirdLife Malta</t>
        </is>
      </c>
      <c r="D1530" s="2" t="inlineStr"/>
      <c r="E1530" s="2" t="inlineStr"/>
      <c r="F1530" s="2" t="inlineStr"/>
      <c r="G1530" s="2" t="inlineStr">
        <is>
          <t>1600-1800 pairs of 11355-54524</t>
        </is>
      </c>
      <c r="H1530" s="2" t="inlineStr">
        <is>
          <t>global: Bourgeois &amp; Vidal 2008; share_low_pct: 2.9; share_mid_pct: 5.2; share_high_pct: 15.9</t>
        </is>
      </c>
    </row>
    <row r="1531">
      <c r="A1531" s="5" t="inlineStr">
        <is>
          <t>CC-106</t>
        </is>
      </c>
      <c r="B1531" s="2" t="inlineStr">
        <is>
          <t>CC-106:3</t>
        </is>
      </c>
      <c r="C1531" s="2" t="inlineStr">
        <is>
          <t>malta: BirdLife Malta</t>
        </is>
      </c>
      <c r="D1531" s="2" t="inlineStr"/>
      <c r="E1531" s="2" t="inlineStr"/>
      <c r="F1531" s="2" t="inlineStr"/>
      <c r="G1531" s="2" t="inlineStr">
        <is>
          <t>1600-1800 pairs of 21000-36000</t>
        </is>
      </c>
      <c r="H1531" s="2" t="inlineStr">
        <is>
          <t>global: CIESM seabird guide; share_low_pct: 4.4; share_mid_pct: 6.0; share_high_pct: 8.6</t>
        </is>
      </c>
    </row>
    <row r="1532">
      <c r="A1532" s="5" t="inlineStr">
        <is>
          <t>CC-106</t>
        </is>
      </c>
      <c r="B1532" s="2" t="inlineStr">
        <is>
          <t>CC-106:4</t>
        </is>
      </c>
      <c r="C1532" s="2" t="inlineStr">
        <is>
          <t>malta: ERA Species Action Plan 2022-2030</t>
        </is>
      </c>
      <c r="D1532" s="2" t="inlineStr"/>
      <c r="E1532" s="2" t="inlineStr"/>
      <c r="F1532" s="2" t="inlineStr"/>
      <c r="G1532" s="2" t="inlineStr">
        <is>
          <t>1795-2635 pairs of 11355-54524</t>
        </is>
      </c>
      <c r="H1532" s="2" t="inlineStr">
        <is>
          <t>global: Bourgeois &amp; Vidal 2008; share_low_pct: 3.3; share_mid_pct: 6.7; share_high_pct: 23.2</t>
        </is>
      </c>
    </row>
    <row r="1533">
      <c r="A1533" s="5" t="inlineStr">
        <is>
          <t>CC-106</t>
        </is>
      </c>
      <c r="B1533" s="2" t="inlineStr">
        <is>
          <t>CC-106:5</t>
        </is>
      </c>
      <c r="C1533" s="2" t="inlineStr">
        <is>
          <t>malta: ERA Species Action Plan 2022-2030</t>
        </is>
      </c>
      <c r="D1533" s="2" t="inlineStr"/>
      <c r="E1533" s="2" t="inlineStr"/>
      <c r="F1533" s="2" t="inlineStr"/>
      <c r="G1533" s="2" t="inlineStr">
        <is>
          <t>1795-2635 pairs of 21000-36000</t>
        </is>
      </c>
      <c r="H1533" s="2" t="inlineStr">
        <is>
          <t>global: CIESM seabird guide; share_low_pct: 5.0; share_mid_pct: 7.8; share_high_pct: 12.5</t>
        </is>
      </c>
    </row>
    <row r="1534">
      <c r="A1534" s="5" t="inlineStr">
        <is>
          <t>CC-109</t>
        </is>
      </c>
      <c r="B1534" s="2" t="inlineStr">
        <is>
          <t>CC-109:2</t>
        </is>
      </c>
      <c r="C1534" s="2" t="inlineStr">
        <is>
          <t>ESR transport 2024, approximated inventory (1.A.3 total minus 1.A.3.a CO2)</t>
        </is>
      </c>
      <c r="D1534" s="2" t="inlineStr">
        <is>
          <t>0.7661</t>
        </is>
      </c>
      <c r="E1534" s="2" t="inlineStr">
        <is>
          <t>Mt CO2e</t>
        </is>
      </c>
      <c r="F1534" s="2" t="inlineStr">
        <is>
          <t>EEA approximated GHG inventory 2024 (doi:10.2909/cd572015-4d0d-408a-abf8-290ed2057bf7)</t>
        </is>
      </c>
      <c r="G1534" s="2" t="inlineStr">
        <is>
          <t>total 1.A.3 0.7670 Mt minus domestic-aviation CO2 0.924 kt; the file's non-ETS 1.A.3 row (0.7611 Mt) is 5.94 kt below the total and is not used</t>
        </is>
      </c>
      <c r="H1534" s="2" t="inlineStr"/>
    </row>
    <row r="1535">
      <c r="A1535" s="5" t="inlineStr">
        <is>
          <t>CC-109</t>
        </is>
      </c>
      <c r="B1535" s="2" t="inlineStr">
        <is>
          <t>CC-109:3</t>
        </is>
      </c>
      <c r="C1535" s="2" t="inlineStr">
        <is>
          <t>ESR total 2024, approximated inventory</t>
        </is>
      </c>
      <c r="D1535" s="2" t="inlineStr">
        <is>
          <t>1.4374</t>
        </is>
      </c>
      <c r="E1535" s="2" t="inlineStr">
        <is>
          <t>Mt CO2e</t>
        </is>
      </c>
      <c r="F1535" s="2" t="inlineStr">
        <is>
          <t>EEA approximated GHG inventory 2024 (doi:10.2909/cd572015-4d0d-408a-abf8-290ed2057bf7); same value in EEA, GHG emissions under the Effort Sharing Legislation 2005-2024 (doi:10.2909/f80bebef-447e-4882-b3e9-c4a91cbae4f5)</t>
        </is>
      </c>
      <c r="G1535" s="2" t="inlineStr">
        <is>
          <t>EEA ESR dataset 2024: 1.4374 Mt (approximated inventory (proxy))</t>
        </is>
      </c>
      <c r="H1535" s="2" t="inlineStr"/>
    </row>
    <row r="1536">
      <c r="A1536" s="5" t="inlineStr">
        <is>
          <t>CC-109</t>
        </is>
      </c>
      <c r="B1536" s="2" t="inlineStr">
        <is>
          <t>CC-109:4</t>
        </is>
      </c>
      <c r="C1536" s="2" t="inlineStr">
        <is>
          <t>ESR total 2024 rebuilt from the approximated inventory (total - LULUCF - ETS - aviation CO2)</t>
        </is>
      </c>
      <c r="D1536" s="2" t="inlineStr">
        <is>
          <t>1.4374</t>
        </is>
      </c>
      <c r="E1536" s="2" t="inlineStr">
        <is>
          <t>Mt CO2e</t>
        </is>
      </c>
      <c r="F1536" s="2" t="inlineStr">
        <is>
          <t>EEA approximated GHG inventory 2024 (doi:10.2909/cd572015-4d0d-408a-abf8-290ed2057bf7)</t>
        </is>
      </c>
      <c r="G1536" s="2" t="inlineStr">
        <is>
          <t>difference from the EEA's ESR total 0.000 kt: the EEA builds it with the same 0.924 kt of aviation CO2</t>
        </is>
      </c>
      <c r="H1536" s="2" t="inlineStr"/>
    </row>
    <row r="1537">
      <c r="A1537" s="5" t="inlineStr">
        <is>
          <t>CC-109</t>
        </is>
      </c>
      <c r="B1537" s="2" t="inlineStr">
        <is>
          <t>CC-109:5</t>
        </is>
      </c>
      <c r="C1537" s="2" t="inlineStr">
        <is>
          <t>Transport share of ESR emissions 2024, approximated inventory</t>
        </is>
      </c>
      <c r="D1537" s="2" t="inlineStr">
        <is>
          <t>53.3</t>
        </is>
      </c>
      <c r="E1537" s="2" t="inlineStr">
        <is>
          <t>%</t>
        </is>
      </c>
      <c r="F1537" s="2" t="inlineStr">
        <is>
          <t>EEA approximated GHG inventory 2024 (doi:10.2909/cd572015-4d0d-408a-abf8-290ed2057bf7)</t>
        </is>
      </c>
      <c r="G1537" s="2" t="inlineStr"/>
      <c r="H1537" s="2" t="inlineStr"/>
    </row>
    <row r="1538">
      <c r="A1538" s="5" t="inlineStr">
        <is>
          <t>CC-109</t>
        </is>
      </c>
      <c r="B1538" s="2" t="inlineStr">
        <is>
          <t>CC-109:6</t>
        </is>
      </c>
      <c r="C1538" s="2" t="inlineStr">
        <is>
          <t>Transport share of ESR emissions 2024, the report's own Graph 3.1</t>
        </is>
      </c>
      <c r="D1538" s="2" t="inlineStr">
        <is>
          <t>53.27</t>
        </is>
      </c>
      <c r="E1538" s="2" t="inlineStr">
        <is>
          <t>%</t>
        </is>
      </c>
      <c r="F1538" s="2" t="inlineStr">
        <is>
          <t>Commission, 2026 Country Report - Malta, Graph 3.1 (p. 14; Council copy p. 16), read from the PDF's vector paths</t>
        </is>
      </c>
      <c r="G1538" s="2" t="inlineStr">
        <is>
          <t>transport 0.765 of 1.437 Mt</t>
        </is>
      </c>
      <c r="H1538" s="2" t="inlineStr"/>
    </row>
    <row r="1539">
      <c r="A1539" s="5" t="inlineStr">
        <is>
          <t>CC-109</t>
        </is>
      </c>
      <c r="B1539" s="2" t="inlineStr">
        <is>
          <t>CC-109:7</t>
        </is>
      </c>
      <c r="C1539" s="2" t="inlineStr">
        <is>
          <t>Transport share of ESR emissions 2024, Commission CAPR 2025 country profile</t>
        </is>
      </c>
      <c r="D1539" s="2" t="inlineStr">
        <is>
          <t>53.0</t>
        </is>
      </c>
      <c r="E1539" s="2" t="inlineStr">
        <is>
          <t>%</t>
        </is>
      </c>
      <c r="F1539" s="2" t="inlineStr">
        <is>
          <t>Commission (DG CLIMA), CAPR 2025 country profile Malta, Figure 11, p. 10</t>
        </is>
      </c>
      <c r="G1539" s="2" t="inlineStr">
        <is>
          <t>DG CLIMA; 2024 approximated; note: 'Transport includes emissions from domestic transport activities, excluding CO2 emissions from aviation.' Other Malta shares: small industry 19%, waste 13%, buildings 9%, agriculture 5%</t>
        </is>
      </c>
      <c r="H1539" s="2" t="inlineStr"/>
    </row>
    <row r="1540">
      <c r="A1540" s="5" t="inlineStr">
        <is>
          <t>CC-109</t>
        </is>
      </c>
      <c r="B1540" s="2" t="inlineStr">
        <is>
          <t>CC-109:8</t>
        </is>
      </c>
      <c r="C1540" s="2" t="inlineStr">
        <is>
          <t>EU-27: transport share of ESR emissions 2024</t>
        </is>
      </c>
      <c r="D1540" s="2" t="inlineStr">
        <is>
          <t>39.0</t>
        </is>
      </c>
      <c r="E1540" s="2" t="inlineStr">
        <is>
          <t>%</t>
        </is>
      </c>
      <c r="F1540" s="2" t="inlineStr">
        <is>
          <t>Commission (DG CLIMA), CAPR 2025 country profile Malta, Figure 11, p. 10</t>
        </is>
      </c>
      <c r="G1540" s="2" t="inlineStr"/>
      <c r="H1540" s="2" t="inlineStr"/>
    </row>
    <row r="1541">
      <c r="A1541" s="5" t="inlineStr">
        <is>
          <t>CC-109</t>
        </is>
      </c>
      <c r="B1541" s="2" t="inlineStr">
        <is>
          <t>CC-109:9</t>
        </is>
      </c>
      <c r="C1541" s="2" t="inlineStr">
        <is>
          <t>ESR total 2024 from the 2026 inventory (our estimate)</t>
        </is>
      </c>
      <c r="D1541" s="2" t="inlineStr">
        <is>
          <t>1.4296</t>
        </is>
      </c>
      <c r="E1541" s="2" t="inlineStr">
        <is>
          <t>Mt CO2e</t>
        </is>
      </c>
      <c r="F1541" s="2" t="inlineStr">
        <is>
          <t>Eurostat env_air_gge (2026 inventory submission; updated 2026-06-02), retrieved 6 Oct 2026; ETS from EEA approximated GHG inventory 2024 (doi:10.2909/cd572015-4d0d-408a-abf8-290ed2057bf7)</t>
        </is>
      </c>
      <c r="G1541" s="2" t="inlineStr">
        <is>
          <t>total excl. LULUCF 2.1702 - ETS 0.7365 - aviation CO2 0.0041</t>
        </is>
      </c>
      <c r="H1541" s="2" t="inlineStr"/>
    </row>
    <row r="1542">
      <c r="A1542" s="5" t="inlineStr">
        <is>
          <t>CC-109</t>
        </is>
      </c>
      <c r="B1542" s="2" t="inlineStr">
        <is>
          <t>CC-109:10</t>
        </is>
      </c>
      <c r="C1542" s="2" t="inlineStr">
        <is>
          <t>ESR total 2024, Claim Check 003 proxy (total minus power generation)</t>
        </is>
      </c>
      <c r="D1542" s="2" t="inlineStr">
        <is>
          <t>1.4287</t>
        </is>
      </c>
      <c r="E1542" s="2" t="inlineStr">
        <is>
          <t>Mt CO2e</t>
        </is>
      </c>
      <c r="F1542" s="2" t="inlineStr">
        <is>
          <t>Eurostat env_air_gge (2026 inventory submission; updated 2026-06-02), retrieved 6 Oct 2026</t>
        </is>
      </c>
      <c r="G1542" s="2" t="inlineStr">
        <is>
          <t>CC-003's approach; Malta's ETS covers only power generation</t>
        </is>
      </c>
      <c r="H1542" s="2" t="inlineStr"/>
    </row>
    <row r="1543">
      <c r="A1543" s="5" t="inlineStr">
        <is>
          <t>CC-109</t>
        </is>
      </c>
      <c r="B1543" s="2" t="inlineStr">
        <is>
          <t>CC-109:11</t>
        </is>
      </c>
      <c r="C1543" s="2" t="inlineStr">
        <is>
          <t>Transport share of ESR emissions 2024, 2026 inventory (our estimate)</t>
        </is>
      </c>
      <c r="D1543" s="2" t="inlineStr">
        <is>
          <t>54.8</t>
        </is>
      </c>
      <c r="E1543" s="2" t="inlineStr">
        <is>
          <t>%</t>
        </is>
      </c>
      <c r="F1543" s="2" t="inlineStr">
        <is>
          <t>Eurostat env_air_gge (2026 inventory submission; updated 2026-06-02), retrieved 6 Oct 2026</t>
        </is>
      </c>
      <c r="G1543" s="2" t="inlineStr">
        <is>
          <t>0.7836 / 1.4296 Mt; with the CC-003 proxy 54.8%</t>
        </is>
      </c>
      <c r="H1543" s="2" t="inlineStr"/>
    </row>
    <row r="1544">
      <c r="A1544" s="5" t="inlineStr">
        <is>
          <t>CC-109</t>
        </is>
      </c>
      <c r="B1544" s="2" t="inlineStr">
        <is>
          <t>CC-109:12</t>
        </is>
      </c>
      <c r="C1544" s="2" t="inlineStr">
        <is>
          <t>Road transport only (1.A.3.b), 2026 inventory, as share of the approximated ESR total, 2024</t>
        </is>
      </c>
      <c r="D1544" s="2" t="inlineStr">
        <is>
          <t>48.0</t>
        </is>
      </c>
      <c r="E1544" s="2" t="inlineStr">
        <is>
          <t>%</t>
        </is>
      </c>
      <c r="F1544" s="2" t="inlineStr">
        <is>
          <t>Eurostat env_air_gge (2026 inventory submission; updated 2026-06-02), retrieved 6 Oct 2026; EEA approximated GHG inventory 2024 (doi:10.2909/cd572015-4d0d-408a-abf8-290ed2057bf7)</t>
        </is>
      </c>
      <c r="G1544" s="2" t="inlineStr">
        <is>
          <t>0.6902 / 1.4374 Mt; mixes a final-inventory numerator with an approximated denominator (the approximated inventory has no 1.A.3.b row). Our identification, not a stated method</t>
        </is>
      </c>
      <c r="H1544" s="2" t="inlineStr"/>
    </row>
    <row r="1545">
      <c r="A1545" s="5" t="inlineStr">
        <is>
          <t>CC-109</t>
        </is>
      </c>
      <c r="B1545" s="2" t="inlineStr">
        <is>
          <t>CC-109:13</t>
        </is>
      </c>
      <c r="C1545" s="2" t="inlineStr">
        <is>
          <t>Road transport only, CO2 only, as share of the approximated ESR total, 2024</t>
        </is>
      </c>
      <c r="D1545" s="2" t="inlineStr">
        <is>
          <t>47.6</t>
        </is>
      </c>
      <c r="E1545" s="2" t="inlineStr">
        <is>
          <t>%</t>
        </is>
      </c>
      <c r="F1545" s="2" t="inlineStr">
        <is>
          <t>Eurostat env_air_gge (2026 inventory submission; updated 2026-06-02), retrieved 6 Oct 2026; EEA approximated GHG inventory 2024 (doi:10.2909/cd572015-4d0d-408a-abf8-290ed2057bf7)</t>
        </is>
      </c>
      <c r="G1545" s="2" t="inlineStr">
        <is>
          <t>0.6848 / 1.4374 Mt</t>
        </is>
      </c>
      <c r="H1545" s="2" t="inlineStr"/>
    </row>
    <row r="1546">
      <c r="A1546" s="5" t="inlineStr">
        <is>
          <t>CC-109</t>
        </is>
      </c>
      <c r="B1546" s="2" t="inlineStr">
        <is>
          <t>CC-109:14</t>
        </is>
      </c>
      <c r="C1546" s="2" t="inlineStr">
        <is>
          <t>Road transport only, share of the final-inventory ESR estimate, 2024</t>
        </is>
      </c>
      <c r="D1546" s="2" t="inlineStr">
        <is>
          <t>48.3</t>
        </is>
      </c>
      <c r="E1546" s="2" t="inlineStr">
        <is>
          <t>%</t>
        </is>
      </c>
      <c r="F1546" s="2" t="inlineStr">
        <is>
          <t>Eurostat env_air_gge (2026 inventory submission; updated 2026-06-02), retrieved 6 Oct 2026</t>
        </is>
      </c>
      <c r="G1546" s="2" t="inlineStr">
        <is>
          <t>0.6902 / 1.4296 Mt</t>
        </is>
      </c>
      <c r="H1546" s="2" t="inlineStr"/>
    </row>
    <row r="1547">
      <c r="A1547" s="5" t="inlineStr">
        <is>
          <t>CC-109</t>
        </is>
      </c>
      <c r="B1547" s="2" t="inlineStr">
        <is>
          <t>CC-109:15</t>
        </is>
      </c>
      <c r="C1547" s="2" t="inlineStr">
        <is>
          <t>Road transport only, share of the reviewed ESR total, 2023</t>
        </is>
      </c>
      <c r="D1547" s="2" t="inlineStr">
        <is>
          <t>47.5</t>
        </is>
      </c>
      <c r="E1547" s="2" t="inlineStr">
        <is>
          <t>%</t>
        </is>
      </c>
      <c r="F1547" s="2" t="inlineStr">
        <is>
          <t>Eurostat env_air_gge (2026 inventory submission; updated 2026-06-02), retrieved 6 Oct 2026; EEA, GHG emissions under the Effort Sharing Legislation 2005-2024 (doi:10.2909/f80bebef-447e-4882-b3e9-c4a91cbae4f5)</t>
        </is>
      </c>
      <c r="G1547" s="2" t="inlineStr">
        <is>
          <t>0.6865 / 1.4450 Mt</t>
        </is>
      </c>
      <c r="H1547" s="2" t="inlineStr"/>
    </row>
    <row r="1548">
      <c r="A1548" s="5" t="inlineStr">
        <is>
          <t>CC-109</t>
        </is>
      </c>
      <c r="B1548" s="2" t="inlineStr">
        <is>
          <t>CC-109:16</t>
        </is>
      </c>
      <c r="C1548" s="2" t="inlineStr">
        <is>
          <t>Range of road-transport-only ratios that round to 48%</t>
        </is>
      </c>
      <c r="D1548" s="2" t="inlineStr">
        <is>
          <t>47.5-48.3</t>
        </is>
      </c>
      <c r="E1548" s="2" t="inlineStr">
        <is>
          <t>%</t>
        </is>
      </c>
      <c r="F1548" s="2" t="inlineStr">
        <is>
          <t>calculated</t>
        </is>
      </c>
      <c r="G1548" s="2" t="inlineStr">
        <is>
          <t>every ratio on the effort-sharing definition of transport gives 53-55%</t>
        </is>
      </c>
      <c r="H1548" s="2" t="inlineStr"/>
    </row>
    <row r="1549">
      <c r="A1549" s="5" t="inlineStr">
        <is>
          <t>CC-109</t>
        </is>
      </c>
      <c r="B1549" s="2" t="inlineStr">
        <is>
          <t>CC-109:17</t>
        </is>
      </c>
      <c r="C1549" s="2" t="inlineStr">
        <is>
          <t>Report's figure: transport share of ESR emissions 2024</t>
        </is>
      </c>
      <c r="D1549" s="2" t="inlineStr">
        <is>
          <t>48</t>
        </is>
      </c>
      <c r="E1549" s="2" t="inlineStr">
        <is>
          <t>%</t>
        </is>
      </c>
      <c r="F1549" s="2" t="inlineStr">
        <is>
          <t>Commission, 2026 Country Report - Malta, SWD(2026) 218, pp. 6, 14, 66</t>
        </is>
      </c>
      <c r="G1549" s="2" t="inlineStr"/>
      <c r="H1549" s="2" t="inlineStr"/>
    </row>
    <row r="1550">
      <c r="A1550" s="5" t="inlineStr">
        <is>
          <t>CC-109</t>
        </is>
      </c>
      <c r="B1550" s="2" t="inlineStr">
        <is>
          <t>CC-109:18</t>
        </is>
      </c>
      <c r="C1550" s="2" t="inlineStr">
        <is>
          <t>Gap: approximated-inventory share minus the report's 48%</t>
        </is>
      </c>
      <c r="D1550" s="2" t="inlineStr">
        <is>
          <t>5.3</t>
        </is>
      </c>
      <c r="E1550" s="2" t="inlineStr">
        <is>
          <t>pp</t>
        </is>
      </c>
      <c r="F1550" s="2" t="inlineStr">
        <is>
          <t>calculated</t>
        </is>
      </c>
      <c r="G1550" s="2" t="inlineStr"/>
      <c r="H1550" s="2" t="inlineStr"/>
    </row>
    <row r="1551">
      <c r="A1551" s="5" t="inlineStr">
        <is>
          <t>CC-109</t>
        </is>
      </c>
      <c r="B1551" s="2" t="inlineStr">
        <is>
          <t>CC-109:19</t>
        </is>
      </c>
      <c r="C1551" s="2" t="inlineStr">
        <is>
          <t>Transport change 2005-2024, the report's own Graph 3.1</t>
        </is>
      </c>
      <c r="D1551" s="2" t="inlineStr">
        <is>
          <t>45.0</t>
        </is>
      </c>
      <c r="E1551" s="2" t="inlineStr">
        <is>
          <t>%</t>
        </is>
      </c>
      <c r="F1551" s="2" t="inlineStr">
        <is>
          <t>Commission, 2026 Country Report - Malta, Graph 3.1 (p. 14; Council copy p. 16), read from the PDF's vector paths</t>
        </is>
      </c>
      <c r="G1551" s="2" t="inlineStr">
        <is>
          <t>0.528 -&gt; 0.765 Mt</t>
        </is>
      </c>
      <c r="H1551" s="2" t="inlineStr"/>
    </row>
    <row r="1552">
      <c r="A1552" s="5" t="inlineStr">
        <is>
          <t>CC-109</t>
        </is>
      </c>
      <c r="B1552" s="2" t="inlineStr">
        <is>
          <t>CC-109:20</t>
        </is>
      </c>
      <c r="C1552" s="2" t="inlineStr">
        <is>
          <t>Transport change 2005-2024, inventory 2005 and approximated 2024</t>
        </is>
      </c>
      <c r="D1552" s="2" t="inlineStr">
        <is>
          <t>45.0</t>
        </is>
      </c>
      <c r="E1552" s="2" t="inlineStr">
        <is>
          <t>%</t>
        </is>
      </c>
      <c r="F1552" s="2" t="inlineStr">
        <is>
          <t>Eurostat env_air_gge (2026 inventory submission; updated 2026-06-02), retrieved 6 Oct 2026; EEA approximated GHG inventory 2024 (doi:10.2909/cd572015-4d0d-408a-abf8-290ed2057bf7)</t>
        </is>
      </c>
      <c r="G1552" s="2" t="inlineStr">
        <is>
          <t>0.5282 -&gt; 0.7661 Mt</t>
        </is>
      </c>
      <c r="H1552" s="2" t="inlineStr"/>
    </row>
    <row r="1553">
      <c r="A1553" s="5" t="inlineStr">
        <is>
          <t>CC-109</t>
        </is>
      </c>
      <c r="B1553" s="2" t="inlineStr">
        <is>
          <t>CC-109:21</t>
        </is>
      </c>
      <c r="C1553" s="2" t="inlineStr">
        <is>
          <t>Transport change 2005-2024, 2026 inventory (final submission)</t>
        </is>
      </c>
      <c r="D1553" s="2" t="inlineStr">
        <is>
          <t>48.4</t>
        </is>
      </c>
      <c r="E1553" s="2" t="inlineStr">
        <is>
          <t>%</t>
        </is>
      </c>
      <c r="F1553" s="2" t="inlineStr">
        <is>
          <t>Eurostat env_air_gge (2026 inventory submission; updated 2026-06-02), retrieved 6 Oct 2026</t>
        </is>
      </c>
      <c r="G1553" s="2" t="inlineStr">
        <is>
          <t>0.5282 -&gt; 0.7836 Mt (GHG 1.A.3 minus CO2 1.A.3.a)</t>
        </is>
      </c>
      <c r="H1553" s="2" t="inlineStr"/>
    </row>
    <row r="1554">
      <c r="A1554" s="5" t="inlineStr">
        <is>
          <t>CC-109</t>
        </is>
      </c>
      <c r="B1554" s="2" t="inlineStr">
        <is>
          <t>CC-109:22</t>
        </is>
      </c>
      <c r="C1554" s="2" t="inlineStr">
        <is>
          <t>Road transport only (1.A.3.b) change 2005-2024</t>
        </is>
      </c>
      <c r="D1554" s="2" t="inlineStr">
        <is>
          <t>39.4</t>
        </is>
      </c>
      <c r="E1554" s="2" t="inlineStr">
        <is>
          <t>%</t>
        </is>
      </c>
      <c r="F1554" s="2" t="inlineStr">
        <is>
          <t>Eurostat env_air_gge (2026 inventory submission; updated 2026-06-02), retrieved 6 Oct 2026</t>
        </is>
      </c>
      <c r="G1554" s="2" t="inlineStr">
        <is>
          <t>0.4953 -&gt; 0.6902 Mt</t>
        </is>
      </c>
      <c r="H1554" s="2" t="inlineStr"/>
    </row>
    <row r="1555">
      <c r="A1555" s="5" t="inlineStr">
        <is>
          <t>CC-109</t>
        </is>
      </c>
      <c r="B1555" s="2" t="inlineStr">
        <is>
          <t>CC-109:23</t>
        </is>
      </c>
      <c r="C1555" s="2" t="inlineStr">
        <is>
          <t>Domestic navigation (1.A.3.d) change 2005-2024</t>
        </is>
      </c>
      <c r="D1555" s="2" t="inlineStr">
        <is>
          <t>184.3</t>
        </is>
      </c>
      <c r="E1555" s="2" t="inlineStr">
        <is>
          <t>%</t>
        </is>
      </c>
      <c r="F1555" s="2" t="inlineStr">
        <is>
          <t>Eurostat env_air_gge (2026 inventory submission; updated 2026-06-02), retrieved 6 Oct 2026</t>
        </is>
      </c>
      <c r="G1555" s="2" t="inlineStr">
        <is>
          <t>0.0328 -&gt; 0.0933 Mt</t>
        </is>
      </c>
      <c r="H1555" s="2" t="inlineStr"/>
    </row>
    <row r="1556">
      <c r="A1556" s="5" t="inlineStr">
        <is>
          <t>CC-109</t>
        </is>
      </c>
      <c r="B1556" s="2" t="inlineStr">
        <is>
          <t>CC-109:24</t>
        </is>
      </c>
      <c r="C1556" s="2" t="inlineStr">
        <is>
          <t>Cars (1.A.3.b.i) change 2005-2024</t>
        </is>
      </c>
      <c r="D1556" s="2" t="inlineStr">
        <is>
          <t>34.5</t>
        </is>
      </c>
      <c r="E1556" s="2" t="inlineStr">
        <is>
          <t>%</t>
        </is>
      </c>
      <c r="F1556" s="2" t="inlineStr">
        <is>
          <t>Eurostat env_air_gge (2026 inventory submission; updated 2026-06-02), retrieved 6 Oct 2026</t>
        </is>
      </c>
      <c r="G1556" s="2" t="inlineStr">
        <is>
          <t>0.3254 -&gt; 0.4375 Mt</t>
        </is>
      </c>
      <c r="H1556" s="2" t="inlineStr"/>
    </row>
    <row r="1557">
      <c r="A1557" s="5" t="inlineStr">
        <is>
          <t>CC-109</t>
        </is>
      </c>
      <c r="B1557" s="2" t="inlineStr">
        <is>
          <t>CC-109:25</t>
        </is>
      </c>
      <c r="C1557" s="2" t="inlineStr">
        <is>
          <t>Road share of ESR transport, 2024</t>
        </is>
      </c>
      <c r="D1557" s="2" t="inlineStr">
        <is>
          <t>88.1</t>
        </is>
      </c>
      <c r="E1557" s="2" t="inlineStr">
        <is>
          <t>%</t>
        </is>
      </c>
      <c r="F1557" s="2" t="inlineStr">
        <is>
          <t>Eurostat env_air_gge (2026 inventory submission; updated 2026-06-02), retrieved 6 Oct 2026</t>
        </is>
      </c>
      <c r="G1557" s="2" t="inlineStr"/>
      <c r="H1557" s="2" t="inlineStr"/>
    </row>
    <row r="1558">
      <c r="A1558" s="5" t="inlineStr">
        <is>
          <t>CC-109</t>
        </is>
      </c>
      <c r="B1558" s="2" t="inlineStr">
        <is>
          <t>CC-109:26</t>
        </is>
      </c>
      <c r="C1558" s="2" t="inlineStr">
        <is>
          <t>Domestic navigation share of ESR transport, 2005 and 2024</t>
        </is>
      </c>
      <c r="D1558" s="2" t="inlineStr">
        <is>
          <t>6.2 / 11.9</t>
        </is>
      </c>
      <c r="E1558" s="2" t="inlineStr">
        <is>
          <t>%</t>
        </is>
      </c>
      <c r="F1558" s="2" t="inlineStr">
        <is>
          <t>Eurostat env_air_gge (2026 inventory submission; updated 2026-06-02), retrieved 6 Oct 2026</t>
        </is>
      </c>
      <c r="G1558" s="2" t="inlineStr"/>
      <c r="H1558" s="2" t="inlineStr"/>
    </row>
    <row r="1559">
      <c r="A1559" s="5" t="inlineStr">
        <is>
          <t>CC-109</t>
        </is>
      </c>
      <c r="B1559" s="2" t="inlineStr">
        <is>
          <t>CC-109:27</t>
        </is>
      </c>
      <c r="C1559" s="2" t="inlineStr">
        <is>
          <t>Share of the 2005-2024 transport increase from road</t>
        </is>
      </c>
      <c r="D1559" s="2" t="inlineStr">
        <is>
          <t>76.0</t>
        </is>
      </c>
      <c r="E1559" s="2" t="inlineStr">
        <is>
          <t>%</t>
        </is>
      </c>
      <c r="F1559" s="2" t="inlineStr">
        <is>
          <t>Eurostat env_air_gge (2026 inventory submission; updated 2026-06-02), retrieved 6 Oct 2026</t>
        </is>
      </c>
      <c r="G1559" s="2" t="inlineStr">
        <is>
          <t>increase 0.2554 Mt; navigation 24%</t>
        </is>
      </c>
      <c r="H1559" s="2" t="inlineStr"/>
    </row>
    <row r="1560">
      <c r="A1560" s="5" t="inlineStr">
        <is>
          <t>CC-109</t>
        </is>
      </c>
      <c r="B1560" s="2" t="inlineStr">
        <is>
          <t>CC-109:28</t>
        </is>
      </c>
      <c r="C1560" s="2" t="inlineStr">
        <is>
          <t>Domestic aviation CO2 (excluded from ESR), 2005 and 2024</t>
        </is>
      </c>
      <c r="D1560" s="2" t="inlineStr">
        <is>
          <t>0.0019 / 0.0041</t>
        </is>
      </c>
      <c r="E1560" s="2" t="inlineStr">
        <is>
          <t>Mt CO2e</t>
        </is>
      </c>
      <c r="F1560" s="2" t="inlineStr">
        <is>
          <t>Eurostat env_air_gge (2026 inventory submission; updated 2026-06-02), retrieved 6 Oct 2026</t>
        </is>
      </c>
      <c r="G1560" s="2" t="inlineStr"/>
      <c r="H1560" s="2" t="inlineStr"/>
    </row>
    <row r="1561">
      <c r="A1561" s="5" t="inlineStr">
        <is>
          <t>CC-109</t>
        </is>
      </c>
      <c r="B1561" s="2" t="inlineStr">
        <is>
          <t>CC-109:29</t>
        </is>
      </c>
      <c r="C1561" s="2" t="inlineStr">
        <is>
          <t>Transport share of ESR emissions 2005</t>
        </is>
      </c>
      <c r="D1561" s="2" t="inlineStr">
        <is>
          <t>52.0 (Graph 3.1) / 52.4 (inventory over EEA 2005 ESR estimate)</t>
        </is>
      </c>
      <c r="E1561" s="2" t="inlineStr">
        <is>
          <t>%</t>
        </is>
      </c>
      <c r="F1561" s="2" t="inlineStr">
        <is>
          <t>Commission, 2026 Country Report - Malta, Graph 3.1 (p. 14; Council copy p. 16), read from the PDF's vector paths; Eurostat env_air_gge (2026 inventory submission; updated 2026-06-02), retrieved 6 Oct 2026; EEA, GHG emissions under the Effort Sharing Legislation 2005-2024 (doi:10.2909/f80bebef-447e-4882-b3e9-c4a91cbae4f5)</t>
        </is>
      </c>
      <c r="G1561" s="2" t="inlineStr">
        <is>
          <t>EEA 2005 ESR 1.0074 Mt (EEA estimate (2005-2012))</t>
        </is>
      </c>
      <c r="H1561" s="2" t="inlineStr"/>
    </row>
    <row r="1562">
      <c r="A1562" s="5" t="inlineStr">
        <is>
          <t>CC-109</t>
        </is>
      </c>
      <c r="B1562" s="2" t="inlineStr">
        <is>
          <t>CC-109:30</t>
        </is>
      </c>
      <c r="C1562" s="2" t="inlineStr">
        <is>
          <t>Change in transport's share 2005-2024 (share reading of 'up by 45%')</t>
        </is>
      </c>
      <c r="D1562" s="2" t="inlineStr">
        <is>
          <t>2.5</t>
        </is>
      </c>
      <c r="E1562" s="2" t="inlineStr">
        <is>
          <t>%</t>
        </is>
      </c>
      <c r="F1562" s="2" t="inlineStr">
        <is>
          <t>Commission, 2026 Country Report - Malta, Graph 3.1 (p. 14; Council copy p. 16), read from the PDF's vector paths</t>
        </is>
      </c>
      <c r="G1562" s="2" t="inlineStr">
        <is>
          <t>52.0% -&gt; 53.3%: the share barely moved, so '45%' is the level</t>
        </is>
      </c>
      <c r="H1562" s="2" t="inlineStr"/>
    </row>
    <row r="1563">
      <c r="A1563" s="5" t="inlineStr">
        <is>
          <t>CC-109</t>
        </is>
      </c>
      <c r="B1563" s="2" t="inlineStr">
        <is>
          <t>CC-109:31</t>
        </is>
      </c>
      <c r="C1563" s="2" t="inlineStr">
        <is>
          <t>Table A8.1 'domestic road transport' 2018 vs our series</t>
        </is>
      </c>
      <c r="D1563" s="2" t="inlineStr">
        <is>
          <t>25.1</t>
        </is>
      </c>
      <c r="E1563" s="2" t="inlineStr">
        <is>
          <t>%</t>
        </is>
      </c>
      <c r="F1563" s="2" t="inlineStr">
        <is>
          <t>Commission, 2026 Country Report - Malta, SWD(2026) 218, Table A8.1, p. 71</t>
        </is>
      </c>
      <c r="G1563" s="2" t="inlineStr">
        <is>
          <t>ESR transport (1.A.3 - aviation CO2) 25.1%; road only (1.A.3.b) 26.9%</t>
        </is>
      </c>
      <c r="H1563" s="2" t="inlineStr"/>
    </row>
    <row r="1564">
      <c r="A1564" s="5" t="inlineStr">
        <is>
          <t>CC-109</t>
        </is>
      </c>
      <c r="B1564" s="2" t="inlineStr">
        <is>
          <t>CC-109:32</t>
        </is>
      </c>
      <c r="C1564" s="2" t="inlineStr">
        <is>
          <t>Table A8.1 'domestic road transport' 2019 vs our series</t>
        </is>
      </c>
      <c r="D1564" s="2" t="inlineStr">
        <is>
          <t>32.8</t>
        </is>
      </c>
      <c r="E1564" s="2" t="inlineStr">
        <is>
          <t>%</t>
        </is>
      </c>
      <c r="F1564" s="2" t="inlineStr">
        <is>
          <t>Commission, 2026 Country Report - Malta, SWD(2026) 218, Table A8.1, p. 71</t>
        </is>
      </c>
      <c r="G1564" s="2" t="inlineStr">
        <is>
          <t>ESR transport (1.A.3 - aviation CO2) 32.8%; road only (1.A.3.b) 32.5%</t>
        </is>
      </c>
      <c r="H1564" s="2" t="inlineStr"/>
    </row>
    <row r="1565">
      <c r="A1565" s="5" t="inlineStr">
        <is>
          <t>CC-109</t>
        </is>
      </c>
      <c r="B1565" s="2" t="inlineStr">
        <is>
          <t>CC-109:33</t>
        </is>
      </c>
      <c r="C1565" s="2" t="inlineStr">
        <is>
          <t>Table A8.1 'domestic road transport' 2020 vs our series</t>
        </is>
      </c>
      <c r="D1565" s="2" t="inlineStr">
        <is>
          <t>9.8</t>
        </is>
      </c>
      <c r="E1565" s="2" t="inlineStr">
        <is>
          <t>%</t>
        </is>
      </c>
      <c r="F1565" s="2" t="inlineStr">
        <is>
          <t>Commission, 2026 Country Report - Malta, SWD(2026) 218, Table A8.1, p. 71</t>
        </is>
      </c>
      <c r="G1565" s="2" t="inlineStr">
        <is>
          <t>ESR transport (1.A.3 - aviation CO2) 9.8%; road only (1.A.3.b) 6.0%</t>
        </is>
      </c>
      <c r="H1565" s="2" t="inlineStr"/>
    </row>
    <row r="1566">
      <c r="A1566" s="5" t="inlineStr">
        <is>
          <t>CC-109</t>
        </is>
      </c>
      <c r="B1566" s="2" t="inlineStr">
        <is>
          <t>CC-109:34</t>
        </is>
      </c>
      <c r="C1566" s="2" t="inlineStr">
        <is>
          <t>Table A8.1 'domestic road transport' 2021 vs our series</t>
        </is>
      </c>
      <c r="D1566" s="2" t="inlineStr">
        <is>
          <t>17.7</t>
        </is>
      </c>
      <c r="E1566" s="2" t="inlineStr">
        <is>
          <t>%</t>
        </is>
      </c>
      <c r="F1566" s="2" t="inlineStr">
        <is>
          <t>Commission, 2026 Country Report - Malta, SWD(2026) 218, Table A8.1, p. 71</t>
        </is>
      </c>
      <c r="G1566" s="2" t="inlineStr">
        <is>
          <t>ESR transport (1.A.3 - aviation CO2) 17.7%; road only (1.A.3.b) 11.5%</t>
        </is>
      </c>
      <c r="H1566" s="2" t="inlineStr"/>
    </row>
    <row r="1567">
      <c r="A1567" s="5" t="inlineStr">
        <is>
          <t>CC-109</t>
        </is>
      </c>
      <c r="B1567" s="2" t="inlineStr">
        <is>
          <t>CC-109:35</t>
        </is>
      </c>
      <c r="C1567" s="2" t="inlineStr">
        <is>
          <t>Table A8.1 'domestic road transport' 2022 vs our series</t>
        </is>
      </c>
      <c r="D1567" s="2" t="inlineStr">
        <is>
          <t>37.1</t>
        </is>
      </c>
      <c r="E1567" s="2" t="inlineStr">
        <is>
          <t>%</t>
        </is>
      </c>
      <c r="F1567" s="2" t="inlineStr">
        <is>
          <t>Commission, 2026 Country Report - Malta, SWD(2026) 218, Table A8.1, p. 71</t>
        </is>
      </c>
      <c r="G1567" s="2" t="inlineStr">
        <is>
          <t>ESR transport (1.A.3 - aviation CO2) 37.1%; road only (1.A.3.b) 34.5%</t>
        </is>
      </c>
      <c r="H1567" s="2" t="inlineStr"/>
    </row>
    <row r="1568">
      <c r="A1568" s="5" t="inlineStr">
        <is>
          <t>CC-109</t>
        </is>
      </c>
      <c r="B1568" s="2" t="inlineStr">
        <is>
          <t>CC-109:36</t>
        </is>
      </c>
      <c r="C1568" s="2" t="inlineStr">
        <is>
          <t>Table A8.1 'domestic road transport' 2023 vs our series</t>
        </is>
      </c>
      <c r="D1568" s="2" t="inlineStr">
        <is>
          <t>44.8</t>
        </is>
      </c>
      <c r="E1568" s="2" t="inlineStr">
        <is>
          <t>%</t>
        </is>
      </c>
      <c r="F1568" s="2" t="inlineStr">
        <is>
          <t>Commission, 2026 Country Report - Malta, SWD(2026) 218, Table A8.1, p. 71</t>
        </is>
      </c>
      <c r="G1568" s="2" t="inlineStr">
        <is>
          <t>ESR transport (1.A.3 - aviation CO2) 44.8%; road only (1.A.3.b) 38.6%</t>
        </is>
      </c>
      <c r="H1568" s="2" t="inlineStr"/>
    </row>
    <row r="1569">
      <c r="A1569" s="5" t="inlineStr">
        <is>
          <t>CC-109</t>
        </is>
      </c>
      <c r="B1569" s="2" t="inlineStr">
        <is>
          <t>CC-109:37</t>
        </is>
      </c>
      <c r="C1569" s="2" t="inlineStr">
        <is>
          <t>Table A8.1 row vs ESR transport series, 2018-2023: largest difference</t>
        </is>
      </c>
      <c r="D1569" s="2" t="inlineStr">
        <is>
          <t>0.0</t>
        </is>
      </c>
      <c r="E1569" s="2" t="inlineStr">
        <is>
          <t>pp</t>
        </is>
      </c>
      <c r="F1569" s="2" t="inlineStr">
        <is>
          <t>calculated</t>
        </is>
      </c>
      <c r="G1569" s="2" t="inlineStr">
        <is>
          <t>the row is all domestic transport except aviation CO2, despite its label</t>
        </is>
      </c>
      <c r="H1569" s="2" t="inlineStr"/>
    </row>
    <row r="1570">
      <c r="A1570" s="5" t="inlineStr">
        <is>
          <t>CC-109</t>
        </is>
      </c>
      <c r="B1570" s="2" t="inlineStr">
        <is>
          <t>CC-109:38</t>
        </is>
      </c>
      <c r="C1570" s="2" t="inlineStr">
        <is>
          <t>Table A8.1 row vs road-only series, 2018-2023: largest difference</t>
        </is>
      </c>
      <c r="D1570" s="2" t="inlineStr">
        <is>
          <t>6.2</t>
        </is>
      </c>
      <c r="E1570" s="2" t="inlineStr">
        <is>
          <t>pp</t>
        </is>
      </c>
      <c r="F1570" s="2" t="inlineStr">
        <is>
          <t>calculated</t>
        </is>
      </c>
      <c r="G1570" s="2" t="inlineStr"/>
      <c r="H1570" s="2" t="inlineStr"/>
    </row>
    <row r="1571">
      <c r="A1571" s="5" t="inlineStr">
        <is>
          <t>CC-109</t>
        </is>
      </c>
      <c r="B1571" s="2" t="inlineStr">
        <is>
          <t>CC-109:39</t>
        </is>
      </c>
      <c r="C1571" s="2" t="inlineStr">
        <is>
          <t>Table A8.1 'domestic road transport' 2024 vs our series (approximated 2024)</t>
        </is>
      </c>
      <c r="D1571" s="2" t="inlineStr">
        <is>
          <t>45.0</t>
        </is>
      </c>
      <c r="E1571" s="2" t="inlineStr">
        <is>
          <t>%</t>
        </is>
      </c>
      <c r="F1571" s="2" t="inlineStr">
        <is>
          <t>Commission, 2026 Country Report - Malta, SWD(2026) 218, Table A8.1, p. 71</t>
        </is>
      </c>
      <c r="G1571" s="2" t="inlineStr">
        <is>
          <t>ESR transport, approximated inventory 45.0%; road only (1.A.3.b, final inventory; the approximated inventory has no road row) 39.4%</t>
        </is>
      </c>
      <c r="H1571" s="2" t="inlineStr"/>
    </row>
    <row r="1572">
      <c r="A1572" s="5" t="inlineStr">
        <is>
          <t>CC-109</t>
        </is>
      </c>
      <c r="B1572" s="2" t="inlineStr">
        <is>
          <t>CC-109:40</t>
        </is>
      </c>
      <c r="C1572" s="2" t="inlineStr">
        <is>
          <t>ESR sector share 2024 (approximated): Transport (excl. aviation CO2)</t>
        </is>
      </c>
      <c r="D1572" s="2" t="inlineStr">
        <is>
          <t>53.3</t>
        </is>
      </c>
      <c r="E1572" s="2" t="inlineStr">
        <is>
          <t>%</t>
        </is>
      </c>
      <c r="F1572" s="2" t="inlineStr">
        <is>
          <t>EEA approximated GHG inventory 2024 (doi:10.2909/cd572015-4d0d-408a-abf8-290ed2057bf7)</t>
        </is>
      </c>
      <c r="G1572" s="2" t="inlineStr">
        <is>
          <t>0.7661 Mt</t>
        </is>
      </c>
      <c r="H1572" s="2" t="inlineStr"/>
    </row>
    <row r="1573">
      <c r="A1573" s="5" t="inlineStr">
        <is>
          <t>CC-109</t>
        </is>
      </c>
      <c r="B1573" s="2" t="inlineStr">
        <is>
          <t>CC-109:41</t>
        </is>
      </c>
      <c r="C1573" s="2" t="inlineStr">
        <is>
          <t>ESR sector share 2024 (approximated): Small industry (residual)</t>
        </is>
      </c>
      <c r="D1573" s="2" t="inlineStr">
        <is>
          <t>19.2</t>
        </is>
      </c>
      <c r="E1573" s="2" t="inlineStr">
        <is>
          <t>%</t>
        </is>
      </c>
      <c r="F1573" s="2" t="inlineStr">
        <is>
          <t>EEA approximated GHG inventory 2024 (doi:10.2909/cd572015-4d0d-408a-abf8-290ed2057bf7)</t>
        </is>
      </c>
      <c r="G1573" s="2" t="inlineStr">
        <is>
          <t>0.2761 Mt</t>
        </is>
      </c>
      <c r="H1573" s="2" t="inlineStr"/>
    </row>
    <row r="1574">
      <c r="A1574" s="5" t="inlineStr">
        <is>
          <t>CC-109</t>
        </is>
      </c>
      <c r="B1574" s="2" t="inlineStr">
        <is>
          <t>CC-109:42</t>
        </is>
      </c>
      <c r="C1574" s="2" t="inlineStr">
        <is>
          <t>ESR sector share 2024 (approximated): Waste (5)</t>
        </is>
      </c>
      <c r="D1574" s="2" t="inlineStr">
        <is>
          <t>13.3</t>
        </is>
      </c>
      <c r="E1574" s="2" t="inlineStr">
        <is>
          <t>%</t>
        </is>
      </c>
      <c r="F1574" s="2" t="inlineStr">
        <is>
          <t>EEA approximated GHG inventory 2024 (doi:10.2909/cd572015-4d0d-408a-abf8-290ed2057bf7)</t>
        </is>
      </c>
      <c r="G1574" s="2" t="inlineStr">
        <is>
          <t>0.1919 Mt</t>
        </is>
      </c>
      <c r="H1574" s="2" t="inlineStr"/>
    </row>
    <row r="1575">
      <c r="A1575" s="5" t="inlineStr">
        <is>
          <t>CC-109</t>
        </is>
      </c>
      <c r="B1575" s="2" t="inlineStr">
        <is>
          <t>CC-109:43</t>
        </is>
      </c>
      <c r="C1575" s="2" t="inlineStr">
        <is>
          <t>ESR sector share 2024 (approximated): Buildings (1.A.4, non-ETS)</t>
        </is>
      </c>
      <c r="D1575" s="2" t="inlineStr">
        <is>
          <t>9.2</t>
        </is>
      </c>
      <c r="E1575" s="2" t="inlineStr">
        <is>
          <t>%</t>
        </is>
      </c>
      <c r="F1575" s="2" t="inlineStr">
        <is>
          <t>EEA approximated GHG inventory 2024 (doi:10.2909/cd572015-4d0d-408a-abf8-290ed2057bf7)</t>
        </is>
      </c>
      <c r="G1575" s="2" t="inlineStr">
        <is>
          <t>0.1324 Mt</t>
        </is>
      </c>
      <c r="H1575" s="2" t="inlineStr"/>
    </row>
    <row r="1576">
      <c r="A1576" s="5" t="inlineStr">
        <is>
          <t>CC-109</t>
        </is>
      </c>
      <c r="B1576" s="2" t="inlineStr">
        <is>
          <t>CC-109:44</t>
        </is>
      </c>
      <c r="C1576" s="2" t="inlineStr">
        <is>
          <t>ESR sector share 2024 (approximated): Agriculture (3)</t>
        </is>
      </c>
      <c r="D1576" s="2" t="inlineStr">
        <is>
          <t>4.9</t>
        </is>
      </c>
      <c r="E1576" s="2" t="inlineStr">
        <is>
          <t>%</t>
        </is>
      </c>
      <c r="F1576" s="2" t="inlineStr">
        <is>
          <t>EEA approximated GHG inventory 2024 (doi:10.2909/cd572015-4d0d-408a-abf8-290ed2057bf7)</t>
        </is>
      </c>
      <c r="G1576" s="2" t="inlineStr">
        <is>
          <t>0.0710 Mt</t>
        </is>
      </c>
      <c r="H1576" s="2" t="inlineStr"/>
    </row>
    <row r="1577">
      <c r="A1577" s="5" t="inlineStr">
        <is>
          <t>CC-109</t>
        </is>
      </c>
      <c r="B1577" s="2" t="inlineStr">
        <is>
          <t>CC-109:45</t>
        </is>
      </c>
      <c r="C1577" s="2" t="inlineStr">
        <is>
          <t>Years 2005-2024 in which transport exceeds every other effort-sharing sector</t>
        </is>
      </c>
      <c r="D1577" s="2" t="inlineStr">
        <is>
          <t>20 of 20</t>
        </is>
      </c>
      <c r="E1577" s="2" t="inlineStr">
        <is>
          <t>years</t>
        </is>
      </c>
      <c r="F1577" s="2" t="inlineStr">
        <is>
          <t>Eurostat env_air_gge (2026 inventory submission; updated 2026-06-02), retrieved 6 Oct 2026</t>
        </is>
      </c>
      <c r="G1577" s="2" t="inlineStr">
        <is>
          <t>comparison with 1.A.4, 3, 5 and 1.A.2 + 2 (Malta's ETS covers only power generation)</t>
        </is>
      </c>
      <c r="H1577" s="2" t="inlineStr"/>
    </row>
    <row r="1578">
      <c r="A1578" s="5" t="inlineStr">
        <is>
          <t>CC-109</t>
        </is>
      </c>
      <c r="B1578" s="2" t="inlineStr">
        <is>
          <t>CC-109:46</t>
        </is>
      </c>
      <c r="C1578" s="2" t="inlineStr">
        <is>
          <t>ESR total 2024 vs 2005, EEA series</t>
        </is>
      </c>
      <c r="D1578" s="2" t="inlineStr">
        <is>
          <t>42.7</t>
        </is>
      </c>
      <c r="E1578" s="2" t="inlineStr">
        <is>
          <t>%</t>
        </is>
      </c>
      <c r="F1578" s="2" t="inlineStr">
        <is>
          <t>EEA, GHG emissions under the Effort Sharing Legislation 2005-2024 (doi:10.2909/f80bebef-447e-4882-b3e9-c4a91cbae4f5)</t>
        </is>
      </c>
      <c r="G1578" s="2" t="inlineStr">
        <is>
          <t>1.0074 (EEA estimate (2005-2012)) -&gt; 1.4374 (approximated inventory (proxy)); the Commission gives +40.8% on its base</t>
        </is>
      </c>
      <c r="H1578" s="2" t="inlineStr"/>
    </row>
    <row r="1579">
      <c r="A1579" s="5" t="inlineStr">
        <is>
          <t>CC-109</t>
        </is>
      </c>
      <c r="B1579" s="2" t="inlineStr">
        <is>
          <t>CC-109:47</t>
        </is>
      </c>
      <c r="C1579" s="2" t="inlineStr">
        <is>
          <t>ESR legal 2005 base (Implementing Decision (EU) 2020/2126, Annex I)</t>
        </is>
      </c>
      <c r="D1579" s="2" t="inlineStr">
        <is>
          <t>1.020601</t>
        </is>
      </c>
      <c r="E1579" s="2" t="inlineStr">
        <is>
          <t>Mt CO2e</t>
        </is>
      </c>
      <c r="F1579" s="2" t="inlineStr">
        <is>
          <t>Commission Implementing Decision (EU) 2020/2126, Annex I (OJ L 426, 17.12.2020, p. 58)</t>
        </is>
      </c>
      <c r="G1579" s="2" t="inlineStr">
        <is>
          <t>1 020 601 t CO2e</t>
        </is>
      </c>
      <c r="H1579" s="2" t="inlineStr"/>
    </row>
    <row r="1580">
      <c r="A1580" s="5" t="inlineStr">
        <is>
          <t>CC-109</t>
        </is>
      </c>
      <c r="B1580" s="2" t="inlineStr">
        <is>
          <t>CC-109:48</t>
        </is>
      </c>
      <c r="C1580" s="2" t="inlineStr">
        <is>
          <t>ESR total 2024 (approximated) vs the legal 2005 base</t>
        </is>
      </c>
      <c r="D1580" s="2" t="inlineStr">
        <is>
          <t>40.8</t>
        </is>
      </c>
      <c r="E1580" s="2" t="inlineStr">
        <is>
          <t>%</t>
        </is>
      </c>
      <c r="F1580" s="2" t="inlineStr">
        <is>
          <t>EEA, GHG emissions under the Effort Sharing Legislation 2005-2024 (doi:10.2909/f80bebef-447e-4882-b3e9-c4a91cbae4f5); Decision 2020/2126</t>
        </is>
      </c>
      <c r="G1580" s="2" t="inlineStr">
        <is>
          <t>1.4374 / 1.0206; the report gives +40.8% (pp. 66, 71); consistent with Claim Check 094</t>
        </is>
      </c>
      <c r="H1580" s="2" t="inlineStr"/>
    </row>
    <row r="1581">
      <c r="A1581" s="5" t="inlineStr">
        <is>
          <t>CC-109</t>
        </is>
      </c>
      <c r="B1581" s="2" t="inlineStr">
        <is>
          <t>CC-109:49</t>
        </is>
      </c>
      <c r="C1581" s="2" t="inlineStr">
        <is>
          <t>ESR 2005 base implied by the Commission's +40.8% for 2024</t>
        </is>
      </c>
      <c r="D1581" s="2" t="inlineStr">
        <is>
          <t>1.0209</t>
        </is>
      </c>
      <c r="E1581" s="2" t="inlineStr">
        <is>
          <t>Mt CO2e</t>
        </is>
      </c>
      <c r="F1581" s="2" t="inlineStr">
        <is>
          <t>calculated</t>
        </is>
      </c>
      <c r="G1581" s="2" t="inlineStr">
        <is>
          <t>approximated 2024 total / 1.408; legal base 1.0206; Graph 3.1's 2005 bar 1.0160; EEA 2005 estimate 1.0074; Table A8.1 gives 1.0</t>
        </is>
      </c>
      <c r="H1581" s="2" t="inlineStr"/>
    </row>
    <row r="1582">
      <c r="A1582" s="5" t="inlineStr">
        <is>
          <t>CC-109</t>
        </is>
      </c>
      <c r="B1582" s="2" t="inlineStr">
        <is>
          <t>CC-109:50</t>
        </is>
      </c>
      <c r="C1582" s="2" t="inlineStr">
        <is>
          <t>ESR transport 2024: approximated vs final inventory</t>
        </is>
      </c>
      <c r="D1582" s="2" t="inlineStr">
        <is>
          <t>2.3</t>
        </is>
      </c>
      <c r="E1582" s="2" t="inlineStr">
        <is>
          <t>%</t>
        </is>
      </c>
      <c r="F1582" s="2" t="inlineStr">
        <is>
          <t>Eurostat env_air_gge (2026 inventory submission; updated 2026-06-02), retrieved 6 Oct 2026; EEA approximated GHG inventory 2024 (doi:10.2909/cd572015-4d0d-408a-abf8-290ed2057bf7)</t>
        </is>
      </c>
      <c r="G1582" s="2" t="inlineStr">
        <is>
          <t>0.7661 (approximated, Nov 2025) vs 0.7836 Mt (inventory, Mar 2026)</t>
        </is>
      </c>
      <c r="H1582" s="2" t="inlineStr"/>
    </row>
    <row r="1583">
      <c r="A1583" s="5" t="inlineStr">
        <is>
          <t>CC-109</t>
        </is>
      </c>
      <c r="B1583" s="2" t="inlineStr">
        <is>
          <t>CC-109:51</t>
        </is>
      </c>
      <c r="C1583" s="2" t="inlineStr">
        <is>
          <t>2023 transport change since 2005: approximated (2025 report) vs final (2026 report)</t>
        </is>
      </c>
      <c r="D1583" s="2" t="inlineStr">
        <is>
          <t>32.2 -&gt; 44.8</t>
        </is>
      </c>
      <c r="E1583" s="2" t="inlineStr">
        <is>
          <t>%</t>
        </is>
      </c>
      <c r="F1583" s="2" t="inlineStr">
        <is>
          <t>Commission, 2025 Country Report Table A7.1 (p. 69); 2026 Country Report Table A8.1 (p. 71)</t>
        </is>
      </c>
      <c r="G1583" s="2" t="inlineStr">
        <is>
          <t>revised up by 12.6 points once the final inventory replaced the approximated one</t>
        </is>
      </c>
      <c r="H1583" s="2" t="inlineStr"/>
    </row>
    <row r="1584">
      <c r="A1584" s="5" t="inlineStr">
        <is>
          <t>CC-109</t>
        </is>
      </c>
      <c r="B1584" s="2" t="inlineStr">
        <is>
          <t>CC-109:52</t>
        </is>
      </c>
      <c r="C1584" s="2" t="inlineStr">
        <is>
          <t>2023 vs 2022 transport change: approximated (CAPR 2024 profile) vs inventory</t>
        </is>
      </c>
      <c r="D1584" s="2" t="inlineStr">
        <is>
          <t>-3.4 / 5.7</t>
        </is>
      </c>
      <c r="E1584" s="2" t="inlineStr">
        <is>
          <t>%</t>
        </is>
      </c>
      <c r="F1584" s="2" t="inlineStr">
        <is>
          <t>Commission CAPR 2024 country profile Malta, p. 6; Eurostat env_air_gge (2026 inventory submission; updated 2026-06-02), retrieved 6 Oct 2026</t>
        </is>
      </c>
      <c r="G1584" s="2" t="inlineStr"/>
      <c r="H1584" s="2" t="inlineStr"/>
    </row>
    <row r="1585">
      <c r="A1585" s="5" t="inlineStr">
        <is>
          <t>CC-109</t>
        </is>
      </c>
      <c r="B1585" s="2" t="inlineStr">
        <is>
          <t>CC-109:53</t>
        </is>
      </c>
      <c r="C1585" s="2" t="inlineStr">
        <is>
          <t>EEA GovReg 2026 v1.0 (15 Mar 2026) vs Eurostat (2 Jun 2026), Malta transport rows: largest difference</t>
        </is>
      </c>
      <c r="D1585" s="2" t="inlineStr">
        <is>
          <t>0.005</t>
        </is>
      </c>
      <c r="E1585" s="2" t="inlineStr">
        <is>
          <t>kt CO2e</t>
        </is>
      </c>
      <c r="F1585" s="2" t="inlineStr">
        <is>
          <t>EEA GovReg 2026 v1.0 (doi:10.2909/83ee8f8c-1422-4e3f-af63-ba88146811e5); Eurostat env_air_gge (2026 inventory submission; updated 2026-06-02), retrieved 6 Oct 2026</t>
        </is>
      </c>
      <c r="G1585" s="2" t="inlineStr">
        <is>
          <t>the inventory available to the Commission when it drafted the report is the one republished by Eurostat</t>
        </is>
      </c>
      <c r="H1585" s="2" t="inlineStr"/>
    </row>
    <row r="1586">
      <c r="A1586" s="5" t="inlineStr">
        <is>
          <t>CC-109</t>
        </is>
      </c>
      <c r="B1586" s="2" t="inlineStr">
        <is>
          <t>CC-109:54</t>
        </is>
      </c>
      <c r="C1586" s="2" t="inlineStr">
        <is>
          <t>Consistency with Claim Check 003: Malta CRF 1.A.3 (2005, 2023, 2024), largest difference</t>
        </is>
      </c>
      <c r="D1586" s="2" t="inlineStr">
        <is>
          <t>0.0</t>
        </is>
      </c>
      <c r="E1586" s="2" t="inlineStr">
        <is>
          <t>kt CO2e</t>
        </is>
      </c>
      <c r="F1586" s="2" t="inlineStr">
        <is>
          <t>data/cc-003/eurostat_ghg_population.csv (retrieved 2 Oct 2026) vs Eurostat env_air_gge (2026 inventory submission; updated 2026-06-02), retrieved 6 Oct 2026</t>
        </is>
      </c>
      <c r="G1586" s="2" t="inlineStr">
        <is>
          <t>CC-003 gives domestic transport incl. aviation +48.6%</t>
        </is>
      </c>
      <c r="H1586" s="2" t="inlineStr"/>
    </row>
    <row r="1587">
      <c r="A1587" s="5" t="inlineStr">
        <is>
          <t>CC-109</t>
        </is>
      </c>
      <c r="B1587" s="2" t="inlineStr">
        <is>
          <t>CC-109:55</t>
        </is>
      </c>
      <c r="C1587" s="2" t="inlineStr">
        <is>
          <t>Consistency with Claim Check 003: ESR emissions 2024 vs 2005 (CAPR 2025 Table 25)</t>
        </is>
      </c>
      <c r="D1587" s="2" t="inlineStr">
        <is>
          <t>41</t>
        </is>
      </c>
      <c r="E1587" s="2" t="inlineStr">
        <is>
          <t>%</t>
        </is>
      </c>
      <c r="F1587" s="2" t="inlineStr">
        <is>
          <t>data/cc-003/capr2025_esr_malta.csv</t>
        </is>
      </c>
      <c r="G1587" s="2" t="inlineStr">
        <is>
          <t>the 2026 Country Report gives 40.8%</t>
        </is>
      </c>
      <c r="H1587" s="2" t="inlineStr"/>
    </row>
    <row r="1588">
      <c r="A1588" s="5" t="inlineStr">
        <is>
          <t>CC-109</t>
        </is>
      </c>
      <c r="B1588" s="2" t="inlineStr">
        <is>
          <t>CC-109:56</t>
        </is>
      </c>
      <c r="C1588" s="2" t="inlineStr">
        <is>
          <t>Eurostat flags on Malta transport rows used (1.A.3, 1.A.3.a, 1.A.3.b, 1.A.3.d), 2005-2024</t>
        </is>
      </c>
      <c r="D1588" s="2" t="inlineStr">
        <is>
          <t>none</t>
        </is>
      </c>
      <c r="E1588" s="2" t="inlineStr"/>
      <c r="F1588" s="2" t="inlineStr">
        <is>
          <t>Eurostat env_air_gge (2026 inventory submission; updated 2026-06-02), retrieved 6 Oct 2026</t>
        </is>
      </c>
      <c r="G1588" s="2" t="inlineStr">
        <is>
          <t>rail (1.A.3.c) and other (1.A.3.e): 0 GHG values published, CO2 at most 0.0; inventory notation for CO2 NA,NO (NO = not occurring), so ESR transport is road plus navigation</t>
        </is>
      </c>
      <c r="H1588" s="2" t="inlineStr"/>
    </row>
    <row r="1589">
      <c r="A1589" s="5" t="inlineStr">
        <is>
          <t>CC-109</t>
        </is>
      </c>
      <c r="B1589" s="2" t="inlineStr">
        <is>
          <t>CC-109:57</t>
        </is>
      </c>
      <c r="C1589" s="2" t="inlineStr">
        <is>
          <t>EU-27: ESR transport (1.A.3 - aviation CO2) change 2005-2024</t>
        </is>
      </c>
      <c r="D1589" s="2" t="inlineStr">
        <is>
          <t>-5.0</t>
        </is>
      </c>
      <c r="E1589" s="2" t="inlineStr">
        <is>
          <t>%</t>
        </is>
      </c>
      <c r="F1589" s="2" t="inlineStr">
        <is>
          <t>Eurostat env_air_gge (2026 inventory submission; updated 2026-06-02), retrieved 6 Oct 2026</t>
        </is>
      </c>
      <c r="G1589" s="2" t="inlineStr">
        <is>
          <t>833.5 -&gt; 791.6 Mt; Table A8.1 gives -5.6% for 2023 (ours -6.1%)</t>
        </is>
      </c>
      <c r="H1589" s="2" t="inlineStr"/>
    </row>
    <row r="1590">
      <c r="A1590" s="5" t="inlineStr">
        <is>
          <t>CC-110</t>
        </is>
      </c>
      <c r="B1590" s="2" t="inlineStr">
        <is>
          <t>CC-110:2</t>
        </is>
      </c>
      <c r="C1590" s="2" t="inlineStr">
        <is>
          <t>Malta: new passenger cars registered, 2022</t>
        </is>
      </c>
      <c r="D1590" s="2" t="inlineStr">
        <is>
          <t>6429</t>
        </is>
      </c>
      <c r="E1590" s="2" t="inlineStr">
        <is>
          <t>cars</t>
        </is>
      </c>
      <c r="F1590" s="2" t="inlineStr">
        <is>
          <t>Eurostat road_eqr_carpda / road_eqs_carpda (updated 1 Sep 2026), retrieved 5 Oct 2026</t>
        </is>
      </c>
      <c r="G1590" s="2" t="inlineStr"/>
      <c r="H1590" s="2" t="inlineStr"/>
    </row>
    <row r="1591">
      <c r="A1591" s="5" t="inlineStr">
        <is>
          <t>CC-110</t>
        </is>
      </c>
      <c r="B1591" s="2" t="inlineStr">
        <is>
          <t>CC-110:3</t>
        </is>
      </c>
      <c r="C1591" s="2" t="inlineStr">
        <is>
          <t>Malta: ZEV share of new passenger cars, 2022</t>
        </is>
      </c>
      <c r="D1591" s="2" t="inlineStr">
        <is>
          <t>15.4</t>
        </is>
      </c>
      <c r="E1591" s="2" t="inlineStr">
        <is>
          <t>%</t>
        </is>
      </c>
      <c r="F1591" s="2" t="inlineStr">
        <is>
          <t>Eurostat road_eqr_carpda / road_eqs_carpda (updated 1 Sep 2026), retrieved 5 Oct 2026</t>
        </is>
      </c>
      <c r="G1591" s="2" t="inlineStr"/>
      <c r="H1591" s="2" t="inlineStr"/>
    </row>
    <row r="1592">
      <c r="A1592" s="5" t="inlineStr">
        <is>
          <t>CC-110</t>
        </is>
      </c>
      <c r="B1592" s="2" t="inlineStr">
        <is>
          <t>CC-110:4</t>
        </is>
      </c>
      <c r="C1592" s="2" t="inlineStr">
        <is>
          <t>EU-27: ZEV share of new passenger cars, 2022</t>
        </is>
      </c>
      <c r="D1592" s="2" t="inlineStr">
        <is>
          <t>12.08</t>
        </is>
      </c>
      <c r="E1592" s="2" t="inlineStr">
        <is>
          <t>%</t>
        </is>
      </c>
      <c r="F1592" s="2" t="inlineStr">
        <is>
          <t>Eurostat road_eqr_carpda / road_eqs_carpda (updated 1 Sep 2026), retrieved 5 Oct 2026</t>
        </is>
      </c>
      <c r="G1592" s="2" t="inlineStr"/>
      <c r="H1592" s="2" t="inlineStr"/>
    </row>
    <row r="1593">
      <c r="A1593" s="5" t="inlineStr">
        <is>
          <t>CC-110</t>
        </is>
      </c>
      <c r="B1593" s="2" t="inlineStr">
        <is>
          <t>CC-110:5</t>
        </is>
      </c>
      <c r="C1593" s="2" t="inlineStr">
        <is>
          <t>Malta: new passenger cars registered, 2023</t>
        </is>
      </c>
      <c r="D1593" s="2" t="inlineStr">
        <is>
          <t>7464</t>
        </is>
      </c>
      <c r="E1593" s="2" t="inlineStr">
        <is>
          <t>cars</t>
        </is>
      </c>
      <c r="F1593" s="2" t="inlineStr">
        <is>
          <t>Eurostat road_eqr_carpda / road_eqs_carpda (updated 1 Sep 2026), retrieved 5 Oct 2026</t>
        </is>
      </c>
      <c r="G1593" s="2" t="inlineStr"/>
      <c r="H1593" s="2" t="inlineStr"/>
    </row>
    <row r="1594">
      <c r="A1594" s="5" t="inlineStr">
        <is>
          <t>CC-110</t>
        </is>
      </c>
      <c r="B1594" s="2" t="inlineStr">
        <is>
          <t>CC-110:6</t>
        </is>
      </c>
      <c r="C1594" s="2" t="inlineStr">
        <is>
          <t>Malta: ZEV share of new passenger cars, 2023</t>
        </is>
      </c>
      <c r="D1594" s="2" t="inlineStr">
        <is>
          <t>20.31</t>
        </is>
      </c>
      <c r="E1594" s="2" t="inlineStr">
        <is>
          <t>%</t>
        </is>
      </c>
      <c r="F1594" s="2" t="inlineStr">
        <is>
          <t>Eurostat road_eqr_carpda / road_eqs_carpda (updated 1 Sep 2026), retrieved 5 Oct 2026</t>
        </is>
      </c>
      <c r="G1594" s="2" t="inlineStr"/>
      <c r="H1594" s="2" t="inlineStr"/>
    </row>
    <row r="1595">
      <c r="A1595" s="5" t="inlineStr">
        <is>
          <t>CC-110</t>
        </is>
      </c>
      <c r="B1595" s="2" t="inlineStr">
        <is>
          <t>CC-110:7</t>
        </is>
      </c>
      <c r="C1595" s="2" t="inlineStr">
        <is>
          <t>EU-27: ZEV share of new passenger cars, 2023</t>
        </is>
      </c>
      <c r="D1595" s="2" t="inlineStr">
        <is>
          <t>14.53</t>
        </is>
      </c>
      <c r="E1595" s="2" t="inlineStr">
        <is>
          <t>%</t>
        </is>
      </c>
      <c r="F1595" s="2" t="inlineStr">
        <is>
          <t>Eurostat road_eqr_carpda / road_eqs_carpda (updated 1 Sep 2026), retrieved 5 Oct 2026</t>
        </is>
      </c>
      <c r="G1595" s="2" t="inlineStr"/>
      <c r="H1595" s="2" t="inlineStr"/>
    </row>
    <row r="1596">
      <c r="A1596" s="5" t="inlineStr">
        <is>
          <t>CC-110</t>
        </is>
      </c>
      <c r="B1596" s="2" t="inlineStr">
        <is>
          <t>CC-110:8</t>
        </is>
      </c>
      <c r="C1596" s="2" t="inlineStr">
        <is>
          <t>Malta: new passenger cars registered, 2024</t>
        </is>
      </c>
      <c r="D1596" s="2" t="inlineStr">
        <is>
          <t>7683</t>
        </is>
      </c>
      <c r="E1596" s="2" t="inlineStr">
        <is>
          <t>cars</t>
        </is>
      </c>
      <c r="F1596" s="2" t="inlineStr">
        <is>
          <t>Eurostat road_eqr_carpda / road_eqs_carpda (updated 1 Sep 2026), retrieved 5 Oct 2026</t>
        </is>
      </c>
      <c r="G1596" s="2" t="inlineStr"/>
      <c r="H1596" s="2" t="inlineStr"/>
    </row>
    <row r="1597">
      <c r="A1597" s="5" t="inlineStr">
        <is>
          <t>CC-110</t>
        </is>
      </c>
      <c r="B1597" s="2" t="inlineStr">
        <is>
          <t>CC-110:9</t>
        </is>
      </c>
      <c r="C1597" s="2" t="inlineStr">
        <is>
          <t>Malta: ZEV share of new passenger cars, 2024</t>
        </is>
      </c>
      <c r="D1597" s="2" t="inlineStr">
        <is>
          <t>37.65</t>
        </is>
      </c>
      <c r="E1597" s="2" t="inlineStr">
        <is>
          <t>%</t>
        </is>
      </c>
      <c r="F1597" s="2" t="inlineStr">
        <is>
          <t>Eurostat road_eqr_carpda / road_eqs_carpda (updated 1 Sep 2026), retrieved 5 Oct 2026</t>
        </is>
      </c>
      <c r="G1597" s="2" t="inlineStr"/>
      <c r="H1597" s="2" t="inlineStr"/>
    </row>
    <row r="1598">
      <c r="A1598" s="5" t="inlineStr">
        <is>
          <t>CC-110</t>
        </is>
      </c>
      <c r="B1598" s="2" t="inlineStr">
        <is>
          <t>CC-110:10</t>
        </is>
      </c>
      <c r="C1598" s="2" t="inlineStr">
        <is>
          <t>EU-27: ZEV share of new passenger cars, 2024</t>
        </is>
      </c>
      <c r="D1598" s="2" t="inlineStr">
        <is>
          <t>13.53</t>
        </is>
      </c>
      <c r="E1598" s="2" t="inlineStr">
        <is>
          <t>%</t>
        </is>
      </c>
      <c r="F1598" s="2" t="inlineStr">
        <is>
          <t>Eurostat road_eqr_carpda / road_eqs_carpda (updated 1 Sep 2026), retrieved 5 Oct 2026</t>
        </is>
      </c>
      <c r="G1598" s="2" t="inlineStr"/>
      <c r="H1598" s="2" t="inlineStr"/>
    </row>
    <row r="1599">
      <c r="A1599" s="5" t="inlineStr">
        <is>
          <t>CC-110</t>
        </is>
      </c>
      <c r="B1599" s="2" t="inlineStr">
        <is>
          <t>CC-110:11</t>
        </is>
      </c>
      <c r="C1599" s="2" t="inlineStr">
        <is>
          <t>Malta: new passenger cars registered, 2025</t>
        </is>
      </c>
      <c r="D1599" s="2" t="inlineStr">
        <is>
          <t>6537</t>
        </is>
      </c>
      <c r="E1599" s="2" t="inlineStr">
        <is>
          <t>cars</t>
        </is>
      </c>
      <c r="F1599" s="2" t="inlineStr">
        <is>
          <t>Eurostat road_eqr_carpda / road_eqs_carpda (updated 1 Sep 2026), retrieved 5 Oct 2026</t>
        </is>
      </c>
      <c r="G1599" s="2" t="inlineStr"/>
      <c r="H1599" s="2" t="inlineStr"/>
    </row>
    <row r="1600">
      <c r="A1600" s="5" t="inlineStr">
        <is>
          <t>CC-110</t>
        </is>
      </c>
      <c r="B1600" s="2" t="inlineStr">
        <is>
          <t>CC-110:12</t>
        </is>
      </c>
      <c r="C1600" s="2" t="inlineStr">
        <is>
          <t>Malta: ZEV share of new passenger cars, 2025</t>
        </is>
      </c>
      <c r="D1600" s="2" t="inlineStr">
        <is>
          <t>37.56</t>
        </is>
      </c>
      <c r="E1600" s="2" t="inlineStr">
        <is>
          <t>%</t>
        </is>
      </c>
      <c r="F1600" s="2" t="inlineStr">
        <is>
          <t>Eurostat road_eqr_carpda / road_eqs_carpda (updated 1 Sep 2026), retrieved 5 Oct 2026</t>
        </is>
      </c>
      <c r="G1600" s="2" t="inlineStr"/>
      <c r="H1600" s="2" t="inlineStr"/>
    </row>
    <row r="1601">
      <c r="A1601" s="5" t="inlineStr">
        <is>
          <t>CC-110</t>
        </is>
      </c>
      <c r="B1601" s="2" t="inlineStr">
        <is>
          <t>CC-110:13</t>
        </is>
      </c>
      <c r="C1601" s="2" t="inlineStr">
        <is>
          <t>EU-27: ZEV share of new passenger cars, 2025</t>
        </is>
      </c>
      <c r="D1601" s="2" t="inlineStr">
        <is>
          <t>17.27</t>
        </is>
      </c>
      <c r="E1601" s="2" t="inlineStr">
        <is>
          <t>%</t>
        </is>
      </c>
      <c r="F1601" s="2" t="inlineStr">
        <is>
          <t>Eurostat road_eqr_carpda / road_eqs_carpda (updated 1 Sep 2026), retrieved 5 Oct 2026</t>
        </is>
      </c>
      <c r="G1601" s="2" t="inlineStr"/>
      <c r="H1601" s="2" t="inlineStr"/>
    </row>
    <row r="1602">
      <c r="A1602" s="5" t="inlineStr">
        <is>
          <t>CC-110</t>
        </is>
      </c>
      <c r="B1602" s="2" t="inlineStr">
        <is>
          <t>CC-110:14</t>
        </is>
      </c>
      <c r="C1602" s="2" t="inlineStr">
        <is>
          <t>Malta: change in ZEV share 2023-2024</t>
        </is>
      </c>
      <c r="D1602" s="2" t="inlineStr">
        <is>
          <t>17.34</t>
        </is>
      </c>
      <c r="E1602" s="2" t="inlineStr">
        <is>
          <t>percentage points</t>
        </is>
      </c>
      <c r="F1602" s="2" t="inlineStr">
        <is>
          <t>Eurostat road_eqr_carpda / road_eqs_carpda (updated 1 Sep 2026), retrieved 5 Oct 2026</t>
        </is>
      </c>
      <c r="G1602" s="2" t="inlineStr">
        <is>
          <t>from unrounded shares; the report's 17.4 comes from its rounded annex values (37.66 - 20.31 = 17.35)</t>
        </is>
      </c>
      <c r="H1602" s="2" t="inlineStr"/>
    </row>
    <row r="1603">
      <c r="A1603" s="5" t="inlineStr">
        <is>
          <t>CC-110</t>
        </is>
      </c>
      <c r="B1603" s="2" t="inlineStr">
        <is>
          <t>CC-110:15</t>
        </is>
      </c>
      <c r="C1603" s="2" t="inlineStr">
        <is>
          <t>Malta: plug-in hybrid share of new cars, 2024</t>
        </is>
      </c>
      <c r="D1603" s="2" t="inlineStr">
        <is>
          <t>6.61</t>
        </is>
      </c>
      <c r="E1603" s="2" t="inlineStr">
        <is>
          <t>%</t>
        </is>
      </c>
      <c r="F1603" s="2" t="inlineStr">
        <is>
          <t>Eurostat road_eqr_carpda / road_eqs_carpda (updated 1 Sep 2026), retrieved 5 Oct 2026</t>
        </is>
      </c>
      <c r="G1603" s="2" t="inlineStr">
        <is>
          <t>not counted as ZEV</t>
        </is>
      </c>
      <c r="H1603" s="2" t="inlineStr"/>
    </row>
    <row r="1604">
      <c r="A1604" s="5" t="inlineStr">
        <is>
          <t>CC-110</t>
        </is>
      </c>
      <c r="B1604" s="2" t="inlineStr">
        <is>
          <t>CC-110:16</t>
        </is>
      </c>
      <c r="C1604" s="2" t="inlineStr">
        <is>
          <t>Malta's rank among member states, ZEV share of new cars 2024</t>
        </is>
      </c>
      <c r="D1604" s="2" t="inlineStr">
        <is>
          <t>2 of 27</t>
        </is>
      </c>
      <c r="E1604" s="2" t="inlineStr">
        <is>
          <t>rank</t>
        </is>
      </c>
      <c r="F1604" s="2" t="inlineStr">
        <is>
          <t>Eurostat road_eqr_carpda / road_eqs_carpda (updated 1 Sep 2026), retrieved 5 Oct 2026</t>
        </is>
      </c>
      <c r="G1604" s="2" t="inlineStr">
        <is>
          <t>higher: DK 51.3%</t>
        </is>
      </c>
      <c r="H1604" s="2" t="inlineStr"/>
    </row>
    <row r="1605">
      <c r="A1605" s="5" t="inlineStr">
        <is>
          <t>CC-110</t>
        </is>
      </c>
      <c r="B1605" s="2" t="inlineStr">
        <is>
          <t>CC-110:17</t>
        </is>
      </c>
      <c r="C1605" s="2" t="inlineStr">
        <is>
          <t>Unweighted mean of member states' ZEV shares, 2024</t>
        </is>
      </c>
      <c r="D1605" s="2" t="inlineStr">
        <is>
          <t>14.97</t>
        </is>
      </c>
      <c r="E1605" s="2" t="inlineStr">
        <is>
          <t>%</t>
        </is>
      </c>
      <c r="F1605" s="2" t="inlineStr">
        <is>
          <t>Eurostat road_eqr_carpda / road_eqs_carpda (updated 1 Sep 2026), retrieved 5 Oct 2026</t>
        </is>
      </c>
      <c r="G1605" s="2" t="inlineStr">
        <is>
          <t>for comparison with the report's 13.6%; the EU-27 aggregate is the weighted figure</t>
        </is>
      </c>
      <c r="H1605" s="2" t="inlineStr"/>
    </row>
    <row r="1606">
      <c r="A1606" s="5" t="inlineStr">
        <is>
          <t>CC-110</t>
        </is>
      </c>
      <c r="B1606" s="2" t="inlineStr">
        <is>
          <t>CC-110:18</t>
        </is>
      </c>
      <c r="C1606" s="2" t="inlineStr">
        <is>
          <t>Malta: ZEV share of the passenger-car stock, end 2023</t>
        </is>
      </c>
      <c r="D1606" s="2" t="inlineStr">
        <is>
          <t>1.35</t>
        </is>
      </c>
      <c r="E1606" s="2" t="inlineStr">
        <is>
          <t>%</t>
        </is>
      </c>
      <c r="F1606" s="2" t="inlineStr">
        <is>
          <t>Eurostat road_eqr_carpda / road_eqs_carpda (updated 1 Sep 2026), retrieved 5 Oct 2026</t>
        </is>
      </c>
      <c r="G1606" s="2" t="inlineStr"/>
      <c r="H1606" s="2" t="inlineStr"/>
    </row>
    <row r="1607">
      <c r="A1607" s="5" t="inlineStr">
        <is>
          <t>CC-110</t>
        </is>
      </c>
      <c r="B1607" s="2" t="inlineStr">
        <is>
          <t>CC-110:19</t>
        </is>
      </c>
      <c r="C1607" s="2" t="inlineStr">
        <is>
          <t>EU-27: ZEV share of the passenger-car stock, end 2023</t>
        </is>
      </c>
      <c r="D1607" s="2" t="inlineStr">
        <is>
          <t>1.73</t>
        </is>
      </c>
      <c r="E1607" s="2" t="inlineStr">
        <is>
          <t>%</t>
        </is>
      </c>
      <c r="F1607" s="2" t="inlineStr">
        <is>
          <t>Eurostat road_eqr_carpda / road_eqs_carpda (updated 1 Sep 2026), retrieved 5 Oct 2026</t>
        </is>
      </c>
      <c r="G1607" s="2" t="inlineStr"/>
      <c r="H1607" s="2" t="inlineStr"/>
    </row>
    <row r="1608">
      <c r="A1608" s="5" t="inlineStr">
        <is>
          <t>CC-110</t>
        </is>
      </c>
      <c r="B1608" s="2" t="inlineStr">
        <is>
          <t>CC-110:20</t>
        </is>
      </c>
      <c r="C1608" s="2" t="inlineStr">
        <is>
          <t>Malta: ZEV share of the passenger-car stock, end 2024</t>
        </is>
      </c>
      <c r="D1608" s="2" t="inlineStr">
        <is>
          <t>2.21</t>
        </is>
      </c>
      <c r="E1608" s="2" t="inlineStr">
        <is>
          <t>%</t>
        </is>
      </c>
      <c r="F1608" s="2" t="inlineStr">
        <is>
          <t>Eurostat road_eqr_carpda / road_eqs_carpda (updated 1 Sep 2026), retrieved 5 Oct 2026</t>
        </is>
      </c>
      <c r="G1608" s="2" t="inlineStr"/>
      <c r="H1608" s="2" t="inlineStr"/>
    </row>
    <row r="1609">
      <c r="A1609" s="5" t="inlineStr">
        <is>
          <t>CC-110</t>
        </is>
      </c>
      <c r="B1609" s="2" t="inlineStr">
        <is>
          <t>CC-110:21</t>
        </is>
      </c>
      <c r="C1609" s="2" t="inlineStr">
        <is>
          <t>EU-27: ZEV share of the passenger-car stock, end 2024</t>
        </is>
      </c>
      <c r="D1609" s="2" t="inlineStr">
        <is>
          <t>2.22</t>
        </is>
      </c>
      <c r="E1609" s="2" t="inlineStr">
        <is>
          <t>%</t>
        </is>
      </c>
      <c r="F1609" s="2" t="inlineStr">
        <is>
          <t>Eurostat road_eqr_carpda / road_eqs_carpda (updated 1 Sep 2026), retrieved 5 Oct 2026</t>
        </is>
      </c>
      <c r="G1609" s="2" t="inlineStr"/>
      <c r="H1609" s="2" t="inlineStr"/>
    </row>
    <row r="1610">
      <c r="A1610" s="5" t="inlineStr">
        <is>
          <t>CC-110</t>
        </is>
      </c>
      <c r="B1610" s="2" t="inlineStr">
        <is>
          <t>CC-110:22</t>
        </is>
      </c>
      <c r="C1610" s="2" t="inlineStr">
        <is>
          <t>Malta: net growth of the passenger-car stock in 2024</t>
        </is>
      </c>
      <c r="D1610" s="2" t="inlineStr">
        <is>
          <t>6632</t>
        </is>
      </c>
      <c r="E1610" s="2" t="inlineStr">
        <is>
          <t>cars</t>
        </is>
      </c>
      <c r="F1610" s="2" t="inlineStr">
        <is>
          <t>Eurostat road_eqr_carpda / road_eqs_carpda (updated 1 Sep 2026), retrieved 5 Oct 2026</t>
        </is>
      </c>
      <c r="G1610" s="2" t="inlineStr">
        <is>
          <t>18.1 cars a day (2024 is a leap year)</t>
        </is>
      </c>
      <c r="H1610" s="2" t="inlineStr"/>
    </row>
    <row r="1611">
      <c r="A1611" s="5" t="inlineStr">
        <is>
          <t>CC-110</t>
        </is>
      </c>
      <c r="B1611" s="2" t="inlineStr">
        <is>
          <t>CC-110:23</t>
        </is>
      </c>
      <c r="C1611" s="2" t="inlineStr">
        <is>
          <t>Malta: net growth of ZEVs in the stock in 2024</t>
        </is>
      </c>
      <c r="D1611" s="2" t="inlineStr">
        <is>
          <t>2937</t>
        </is>
      </c>
      <c r="E1611" s="2" t="inlineStr">
        <is>
          <t>cars</t>
        </is>
      </c>
      <c r="F1611" s="2" t="inlineStr">
        <is>
          <t>Eurostat road_eqr_carpda / road_eqs_carpda (updated 1 Sep 2026), retrieved 5 Oct 2026</t>
        </is>
      </c>
      <c r="G1611" s="2" t="inlineStr"/>
      <c r="H1611" s="2" t="inlineStr"/>
    </row>
    <row r="1612">
      <c r="A1612" s="5" t="inlineStr">
        <is>
          <t>CC-111</t>
        </is>
      </c>
      <c r="B1612" s="2" t="inlineStr">
        <is>
          <t>CC-111:2</t>
        </is>
      </c>
      <c r="C1612" s="2" t="inlineStr">
        <is>
          <t>Malta: municipal waste generated per person, 2023</t>
        </is>
      </c>
      <c r="D1612" s="2" t="inlineStr">
        <is>
          <t>603.0</t>
        </is>
      </c>
      <c r="E1612" s="2" t="inlineStr">
        <is>
          <t>kg</t>
        </is>
      </c>
      <c r="F1612" s="2" t="inlineStr">
        <is>
          <t>Eurostat env_wasmun (updated 30 Mar 2026), retrieved 5 Oct 2026</t>
        </is>
      </c>
      <c r="G1612" s="2" t="inlineStr">
        <is>
          <t>flag: none</t>
        </is>
      </c>
      <c r="H1612" s="2" t="inlineStr"/>
    </row>
    <row r="1613">
      <c r="A1613" s="5" t="inlineStr">
        <is>
          <t>CC-111</t>
        </is>
      </c>
      <c r="B1613" s="2" t="inlineStr">
        <is>
          <t>CC-111:3</t>
        </is>
      </c>
      <c r="C1613" s="2" t="inlineStr">
        <is>
          <t>EU-27: municipal waste generated per person, 2023</t>
        </is>
      </c>
      <c r="D1613" s="2" t="inlineStr">
        <is>
          <t>511.0</t>
        </is>
      </c>
      <c r="E1613" s="2" t="inlineStr">
        <is>
          <t>kg</t>
        </is>
      </c>
      <c r="F1613" s="2" t="inlineStr">
        <is>
          <t>Eurostat env_wasmun (updated 30 Mar 2026), retrieved 5 Oct 2026</t>
        </is>
      </c>
      <c r="G1613" s="2" t="inlineStr">
        <is>
          <t>flag: none</t>
        </is>
      </c>
      <c r="H1613" s="2" t="inlineStr"/>
    </row>
    <row r="1614">
      <c r="A1614" s="5" t="inlineStr">
        <is>
          <t>CC-111</t>
        </is>
      </c>
      <c r="B1614" s="2" t="inlineStr">
        <is>
          <t>CC-111:4</t>
        </is>
      </c>
      <c r="C1614" s="2" t="inlineStr">
        <is>
          <t>Malta: municipal waste generated per person, 2024</t>
        </is>
      </c>
      <c r="D1614" s="2" t="inlineStr">
        <is>
          <t>621.0</t>
        </is>
      </c>
      <c r="E1614" s="2" t="inlineStr">
        <is>
          <t>kg</t>
        </is>
      </c>
      <c r="F1614" s="2" t="inlineStr">
        <is>
          <t>Eurostat env_wasmun (updated 30 Mar 2026), retrieved 5 Oct 2026</t>
        </is>
      </c>
      <c r="G1614" s="2" t="inlineStr">
        <is>
          <t>flag: none</t>
        </is>
      </c>
      <c r="H1614" s="2" t="inlineStr"/>
    </row>
    <row r="1615">
      <c r="A1615" s="5" t="inlineStr">
        <is>
          <t>CC-111</t>
        </is>
      </c>
      <c r="B1615" s="2" t="inlineStr">
        <is>
          <t>CC-111:5</t>
        </is>
      </c>
      <c r="C1615" s="2" t="inlineStr">
        <is>
          <t>EU-27: municipal waste generated per person, 2024</t>
        </is>
      </c>
      <c r="D1615" s="2" t="inlineStr">
        <is>
          <t>517.0</t>
        </is>
      </c>
      <c r="E1615" s="2" t="inlineStr">
        <is>
          <t>kg</t>
        </is>
      </c>
      <c r="F1615" s="2" t="inlineStr">
        <is>
          <t>Eurostat env_wasmun (updated 30 Mar 2026), retrieved 5 Oct 2026</t>
        </is>
      </c>
      <c r="G1615" s="2" t="inlineStr">
        <is>
          <t>flag: i</t>
        </is>
      </c>
      <c r="H1615" s="2" t="inlineStr"/>
    </row>
    <row r="1616">
      <c r="A1616" s="5" t="inlineStr">
        <is>
          <t>CC-111</t>
        </is>
      </c>
      <c r="B1616" s="2" t="inlineStr">
        <is>
          <t>CC-111:6</t>
        </is>
      </c>
      <c r="C1616" s="2" t="inlineStr">
        <is>
          <t>Malta vs EU-27, waste per person 2024</t>
        </is>
      </c>
      <c r="D1616" s="2" t="inlineStr">
        <is>
          <t>20.1</t>
        </is>
      </c>
      <c r="E1616" s="2" t="inlineStr">
        <is>
          <t>% above</t>
        </is>
      </c>
      <c r="F1616" s="2" t="inlineStr">
        <is>
          <t>Eurostat env_wasmun (updated 30 Mar 2026), retrieved 5 Oct 2026</t>
        </is>
      </c>
      <c r="G1616" s="2" t="inlineStr"/>
      <c r="H1616" s="2" t="inlineStr"/>
    </row>
    <row r="1617">
      <c r="A1617" s="5" t="inlineStr">
        <is>
          <t>CC-111</t>
        </is>
      </c>
      <c r="B1617" s="2" t="inlineStr">
        <is>
          <t>CC-111:7</t>
        </is>
      </c>
      <c r="C1617" s="2" t="inlineStr">
        <is>
          <t>Malta: landfill rate 2013 (landfilled / generated)</t>
        </is>
      </c>
      <c r="D1617" s="2" t="inlineStr">
        <is>
          <t>82.0</t>
        </is>
      </c>
      <c r="E1617" s="2" t="inlineStr">
        <is>
          <t>%</t>
        </is>
      </c>
      <c r="F1617" s="2" t="inlineStr">
        <is>
          <t>Eurostat env_wasmun (updated 30 Mar 2026), retrieved 5 Oct 2026</t>
        </is>
      </c>
      <c r="G1617" s="2" t="inlineStr"/>
      <c r="H1617" s="2" t="inlineStr"/>
    </row>
    <row r="1618">
      <c r="A1618" s="5" t="inlineStr">
        <is>
          <t>CC-111</t>
        </is>
      </c>
      <c r="B1618" s="2" t="inlineStr">
        <is>
          <t>CC-111:8</t>
        </is>
      </c>
      <c r="C1618" s="2" t="inlineStr">
        <is>
          <t>Malta: landfill rate 2013 (landfilled / treated)</t>
        </is>
      </c>
      <c r="D1618" s="2" t="inlineStr">
        <is>
          <t>86.4</t>
        </is>
      </c>
      <c r="E1618" s="2" t="inlineStr">
        <is>
          <t>%</t>
        </is>
      </c>
      <c r="F1618" s="2" t="inlineStr">
        <is>
          <t>Eurostat env_wasmun (updated 30 Mar 2026), retrieved 5 Oct 2026</t>
        </is>
      </c>
      <c r="G1618" s="2" t="inlineStr"/>
      <c r="H1618" s="2" t="inlineStr"/>
    </row>
    <row r="1619">
      <c r="A1619" s="5" t="inlineStr">
        <is>
          <t>CC-111</t>
        </is>
      </c>
      <c r="B1619" s="2" t="inlineStr">
        <is>
          <t>CC-111:9</t>
        </is>
      </c>
      <c r="C1619" s="2" t="inlineStr">
        <is>
          <t>Malta: landfill rate 2014 (landfilled / generated)</t>
        </is>
      </c>
      <c r="D1619" s="2" t="inlineStr">
        <is>
          <t>80.4</t>
        </is>
      </c>
      <c r="E1619" s="2" t="inlineStr">
        <is>
          <t>%</t>
        </is>
      </c>
      <c r="F1619" s="2" t="inlineStr">
        <is>
          <t>Eurostat env_wasmun (updated 30 Mar 2026), retrieved 5 Oct 2026</t>
        </is>
      </c>
      <c r="G1619" s="2" t="inlineStr"/>
      <c r="H1619" s="2" t="inlineStr"/>
    </row>
    <row r="1620">
      <c r="A1620" s="5" t="inlineStr">
        <is>
          <t>CC-111</t>
        </is>
      </c>
      <c r="B1620" s="2" t="inlineStr">
        <is>
          <t>CC-111:10</t>
        </is>
      </c>
      <c r="C1620" s="2" t="inlineStr">
        <is>
          <t>Malta: landfill rate 2014 (landfilled / treated)</t>
        </is>
      </c>
      <c r="D1620" s="2" t="inlineStr">
        <is>
          <t>87.1</t>
        </is>
      </c>
      <c r="E1620" s="2" t="inlineStr">
        <is>
          <t>%</t>
        </is>
      </c>
      <c r="F1620" s="2" t="inlineStr">
        <is>
          <t>Eurostat env_wasmun (updated 30 Mar 2026), retrieved 5 Oct 2026</t>
        </is>
      </c>
      <c r="G1620" s="2" t="inlineStr"/>
      <c r="H1620" s="2" t="inlineStr"/>
    </row>
    <row r="1621">
      <c r="A1621" s="5" t="inlineStr">
        <is>
          <t>CC-111</t>
        </is>
      </c>
      <c r="B1621" s="2" t="inlineStr">
        <is>
          <t>CC-111:11</t>
        </is>
      </c>
      <c r="C1621" s="2" t="inlineStr">
        <is>
          <t>Malta: landfill rate 2022 (landfilled / generated)</t>
        </is>
      </c>
      <c r="D1621" s="2" t="inlineStr">
        <is>
          <t>83.3</t>
        </is>
      </c>
      <c r="E1621" s="2" t="inlineStr">
        <is>
          <t>%</t>
        </is>
      </c>
      <c r="F1621" s="2" t="inlineStr">
        <is>
          <t>Eurostat env_wasmun (updated 30 Mar 2026), retrieved 5 Oct 2026</t>
        </is>
      </c>
      <c r="G1621" s="2" t="inlineStr"/>
      <c r="H1621" s="2" t="inlineStr"/>
    </row>
    <row r="1622">
      <c r="A1622" s="5" t="inlineStr">
        <is>
          <t>CC-111</t>
        </is>
      </c>
      <c r="B1622" s="2" t="inlineStr">
        <is>
          <t>CC-111:12</t>
        </is>
      </c>
      <c r="C1622" s="2" t="inlineStr">
        <is>
          <t>Malta: landfill rate 2022 (landfilled / treated)</t>
        </is>
      </c>
      <c r="D1622" s="2" t="inlineStr">
        <is>
          <t>85.8</t>
        </is>
      </c>
      <c r="E1622" s="2" t="inlineStr">
        <is>
          <t>%</t>
        </is>
      </c>
      <c r="F1622" s="2" t="inlineStr">
        <is>
          <t>Eurostat env_wasmun (updated 30 Mar 2026), retrieved 5 Oct 2026</t>
        </is>
      </c>
      <c r="G1622" s="2" t="inlineStr"/>
      <c r="H1622" s="2" t="inlineStr"/>
    </row>
    <row r="1623">
      <c r="A1623" s="5" t="inlineStr">
        <is>
          <t>CC-111</t>
        </is>
      </c>
      <c r="B1623" s="2" t="inlineStr">
        <is>
          <t>CC-111:13</t>
        </is>
      </c>
      <c r="C1623" s="2" t="inlineStr">
        <is>
          <t>Malta: landfill rate 2023 (landfilled / generated)</t>
        </is>
      </c>
      <c r="D1623" s="2" t="inlineStr">
        <is>
          <t>73.6</t>
        </is>
      </c>
      <c r="E1623" s="2" t="inlineStr">
        <is>
          <t>%</t>
        </is>
      </c>
      <c r="F1623" s="2" t="inlineStr">
        <is>
          <t>Eurostat env_wasmun (updated 30 Mar 2026), retrieved 5 Oct 2026</t>
        </is>
      </c>
      <c r="G1623" s="2" t="inlineStr"/>
      <c r="H1623" s="2" t="inlineStr"/>
    </row>
    <row r="1624">
      <c r="A1624" s="5" t="inlineStr">
        <is>
          <t>CC-111</t>
        </is>
      </c>
      <c r="B1624" s="2" t="inlineStr">
        <is>
          <t>CC-111:14</t>
        </is>
      </c>
      <c r="C1624" s="2" t="inlineStr">
        <is>
          <t>Malta: landfill rate 2023 (landfilled / treated)</t>
        </is>
      </c>
      <c r="D1624" s="2" t="inlineStr">
        <is>
          <t>78.6</t>
        </is>
      </c>
      <c r="E1624" s="2" t="inlineStr">
        <is>
          <t>%</t>
        </is>
      </c>
      <c r="F1624" s="2" t="inlineStr">
        <is>
          <t>Eurostat env_wasmun (updated 30 Mar 2026), retrieved 5 Oct 2026</t>
        </is>
      </c>
      <c r="G1624" s="2" t="inlineStr"/>
      <c r="H1624" s="2" t="inlineStr"/>
    </row>
    <row r="1625">
      <c r="A1625" s="5" t="inlineStr">
        <is>
          <t>CC-111</t>
        </is>
      </c>
      <c r="B1625" s="2" t="inlineStr">
        <is>
          <t>CC-111:15</t>
        </is>
      </c>
      <c r="C1625" s="2" t="inlineStr">
        <is>
          <t>Malta: landfill rate 2024 (landfilled / generated)</t>
        </is>
      </c>
      <c r="D1625" s="2" t="inlineStr">
        <is>
          <t>72.1</t>
        </is>
      </c>
      <c r="E1625" s="2" t="inlineStr">
        <is>
          <t>%</t>
        </is>
      </c>
      <c r="F1625" s="2" t="inlineStr">
        <is>
          <t>Eurostat env_wasmun (updated 30 Mar 2026), retrieved 5 Oct 2026</t>
        </is>
      </c>
      <c r="G1625" s="2" t="inlineStr"/>
      <c r="H1625" s="2" t="inlineStr"/>
    </row>
    <row r="1626">
      <c r="A1626" s="5" t="inlineStr">
        <is>
          <t>CC-111</t>
        </is>
      </c>
      <c r="B1626" s="2" t="inlineStr">
        <is>
          <t>CC-111:16</t>
        </is>
      </c>
      <c r="C1626" s="2" t="inlineStr">
        <is>
          <t>Malta: landfill rate 2024 (landfilled / treated)</t>
        </is>
      </c>
      <c r="D1626" s="2" t="inlineStr">
        <is>
          <t>79.2</t>
        </is>
      </c>
      <c r="E1626" s="2" t="inlineStr">
        <is>
          <t>%</t>
        </is>
      </c>
      <c r="F1626" s="2" t="inlineStr">
        <is>
          <t>Eurostat env_wasmun (updated 30 Mar 2026), retrieved 5 Oct 2026</t>
        </is>
      </c>
      <c r="G1626" s="2" t="inlineStr"/>
      <c r="H1626" s="2" t="inlineStr"/>
    </row>
    <row r="1627">
      <c r="A1627" s="5" t="inlineStr">
        <is>
          <t>CC-111</t>
        </is>
      </c>
      <c r="B1627" s="2" t="inlineStr">
        <is>
          <t>CC-111:17</t>
        </is>
      </c>
      <c r="C1627" s="2" t="inlineStr">
        <is>
          <t>EU-27: landfill rate 2022 (landfilled / generated)</t>
        </is>
      </c>
      <c r="D1627" s="2" t="inlineStr">
        <is>
          <t>22.6</t>
        </is>
      </c>
      <c r="E1627" s="2" t="inlineStr">
        <is>
          <t>%</t>
        </is>
      </c>
      <c r="F1627" s="2" t="inlineStr">
        <is>
          <t>Eurostat env_wasmun (updated 30 Mar 2026), retrieved 5 Oct 2026</t>
        </is>
      </c>
      <c r="G1627" s="2" t="inlineStr">
        <is>
          <t>EU-27 landfill value for 2023 not published in env_wasmun</t>
        </is>
      </c>
      <c r="H1627" s="2" t="inlineStr"/>
    </row>
    <row r="1628">
      <c r="A1628" s="5" t="inlineStr">
        <is>
          <t>CC-111</t>
        </is>
      </c>
      <c r="B1628" s="2" t="inlineStr">
        <is>
          <t>CC-111:18</t>
        </is>
      </c>
      <c r="C1628" s="2" t="inlineStr">
        <is>
          <t>EU-27: landfill rate 2024 (landfilled / generated)</t>
        </is>
      </c>
      <c r="D1628" s="2" t="inlineStr">
        <is>
          <t>21.3</t>
        </is>
      </c>
      <c r="E1628" s="2" t="inlineStr">
        <is>
          <t>%</t>
        </is>
      </c>
      <c r="F1628" s="2" t="inlineStr">
        <is>
          <t>Eurostat env_wasmun (updated 30 Mar 2026), retrieved 5 Oct 2026</t>
        </is>
      </c>
      <c r="G1628" s="2" t="inlineStr">
        <is>
          <t>EU-27 landfill value for 2023 not published in env_wasmun</t>
        </is>
      </c>
      <c r="H1628" s="2" t="inlineStr"/>
    </row>
    <row r="1629">
      <c r="A1629" s="5" t="inlineStr">
        <is>
          <t>CC-111</t>
        </is>
      </c>
      <c r="B1629" s="2" t="inlineStr">
        <is>
          <t>CC-111:19</t>
        </is>
      </c>
      <c r="C1629" s="2" t="inlineStr">
        <is>
          <t>Malta: incineration with and without energy recovery, 2023 (share of generated)</t>
        </is>
      </c>
      <c r="D1629" s="2" t="inlineStr">
        <is>
          <t>2.7</t>
        </is>
      </c>
      <c r="E1629" s="2" t="inlineStr">
        <is>
          <t>%</t>
        </is>
      </c>
      <c r="F1629" s="2" t="inlineStr">
        <is>
          <t>Eurostat env_wasmun (updated 30 Mar 2026), retrieved 5 Oct 2026</t>
        </is>
      </c>
      <c r="G1629" s="2" t="inlineStr"/>
      <c r="H1629" s="2" t="inlineStr"/>
    </row>
    <row r="1630">
      <c r="A1630" s="5" t="inlineStr">
        <is>
          <t>CC-111</t>
        </is>
      </c>
      <c r="B1630" s="2" t="inlineStr">
        <is>
          <t>CC-111:20</t>
        </is>
      </c>
      <c r="C1630" s="2" t="inlineStr">
        <is>
          <t>Malta: recycling (material, composting, digestion), 2024 (share of generated)</t>
        </is>
      </c>
      <c r="D1630" s="2" t="inlineStr">
        <is>
          <t>16.9</t>
        </is>
      </c>
      <c r="E1630" s="2" t="inlineStr">
        <is>
          <t>%</t>
        </is>
      </c>
      <c r="F1630" s="2" t="inlineStr">
        <is>
          <t>Eurostat env_wasmun (updated 30 Mar 2026), retrieved 5 Oct 2026</t>
        </is>
      </c>
      <c r="G1630" s="2" t="inlineStr">
        <is>
          <t>Eurostat's official recycling rate (cei_wm011) uses a different method; the report gives 16.7%</t>
        </is>
      </c>
      <c r="H1630" s="2" t="inlineStr"/>
    </row>
    <row r="1631">
      <c r="A1631" s="5" t="inlineStr">
        <is>
          <t>CC-111</t>
        </is>
      </c>
      <c r="B1631" s="2" t="inlineStr">
        <is>
          <t>CC-111:21</t>
        </is>
      </c>
      <c r="C1631" s="2" t="inlineStr">
        <is>
          <t>Malta: years 2013-2024 with landfilled tonnage above generated</t>
        </is>
      </c>
      <c r="D1631" s="2" t="inlineStr">
        <is>
          <t>2015</t>
        </is>
      </c>
      <c r="E1631" s="2" t="inlineStr">
        <is>
          <t>years</t>
        </is>
      </c>
      <c r="F1631" s="2" t="inlineStr">
        <is>
          <t>Eurostat env_wasmun (updated 30 Mar 2026), retrieved 5 Oct 2026</t>
        </is>
      </c>
      <c r="G1631" s="2" t="inlineStr">
        <is>
          <t>2015: 676 kg landfilled against 643 kg generated; the dataset gives no reason; 2015 is not used in any test</t>
        </is>
      </c>
      <c r="H1631" s="2" t="inlineStr"/>
    </row>
    <row r="1632">
      <c r="A1632" s="5" t="inlineStr">
        <is>
          <t>CC-111</t>
        </is>
      </c>
      <c r="B1632" s="2" t="inlineStr">
        <is>
          <t>CC-111:22</t>
        </is>
      </c>
      <c r="C1632" s="2" t="inlineStr">
        <is>
          <t>Malta's rank, waste per person 2023</t>
        </is>
      </c>
      <c r="D1632" s="2" t="inlineStr">
        <is>
          <t>7 of 27</t>
        </is>
      </c>
      <c r="E1632" s="2" t="inlineStr">
        <is>
          <t>rank</t>
        </is>
      </c>
      <c r="F1632" s="2" t="inlineStr">
        <is>
          <t>Eurostat env_wasmun (updated 30 Mar 2026), retrieved 5 Oct 2026</t>
        </is>
      </c>
      <c r="G1632" s="2" t="inlineStr">
        <is>
          <t>member states with data, highest first</t>
        </is>
      </c>
      <c r="H1632" s="2" t="inlineStr"/>
    </row>
    <row r="1633">
      <c r="A1633" s="5" t="inlineStr">
        <is>
          <t>CC-111</t>
        </is>
      </c>
      <c r="B1633" s="2" t="inlineStr">
        <is>
          <t>CC-111:23</t>
        </is>
      </c>
      <c r="C1633" s="2" t="inlineStr">
        <is>
          <t>Malta's rank, landfill rate 2023</t>
        </is>
      </c>
      <c r="D1633" s="2" t="inlineStr">
        <is>
          <t>3 of 26</t>
        </is>
      </c>
      <c r="E1633" s="2" t="inlineStr">
        <is>
          <t>rank</t>
        </is>
      </c>
      <c r="F1633" s="2" t="inlineStr">
        <is>
          <t>Eurostat env_wasmun (updated 30 Mar 2026), retrieved 5 Oct 2026</t>
        </is>
      </c>
      <c r="G1633" s="2" t="inlineStr">
        <is>
          <t>higher: EL 80.7%, RO 75.7%</t>
        </is>
      </c>
      <c r="H1633" s="2" t="inlineStr"/>
    </row>
    <row r="1634">
      <c r="A1634" s="5" t="inlineStr">
        <is>
          <t>CC-111</t>
        </is>
      </c>
      <c r="B1634" s="2" t="inlineStr">
        <is>
          <t>CC-111:24</t>
        </is>
      </c>
      <c r="C1634" s="2" t="inlineStr">
        <is>
          <t>Malta's rank, waste per person 2024</t>
        </is>
      </c>
      <c r="D1634" s="2" t="inlineStr">
        <is>
          <t>6 of 20</t>
        </is>
      </c>
      <c r="E1634" s="2" t="inlineStr">
        <is>
          <t>rank</t>
        </is>
      </c>
      <c r="F1634" s="2" t="inlineStr">
        <is>
          <t>Eurostat env_wasmun (updated 30 Mar 2026), retrieved 5 Oct 2026</t>
        </is>
      </c>
      <c r="G1634" s="2" t="inlineStr">
        <is>
          <t>member states with data, highest first</t>
        </is>
      </c>
      <c r="H1634" s="2" t="inlineStr"/>
    </row>
    <row r="1635">
      <c r="A1635" s="5" t="inlineStr">
        <is>
          <t>CC-111</t>
        </is>
      </c>
      <c r="B1635" s="2" t="inlineStr">
        <is>
          <t>CC-111:25</t>
        </is>
      </c>
      <c r="C1635" s="2" t="inlineStr">
        <is>
          <t>Malta's rank, landfill rate 2024</t>
        </is>
      </c>
      <c r="D1635" s="2" t="inlineStr">
        <is>
          <t>1 of 20</t>
        </is>
      </c>
      <c r="E1635" s="2" t="inlineStr">
        <is>
          <t>rank</t>
        </is>
      </c>
      <c r="F1635" s="2" t="inlineStr">
        <is>
          <t>Eurostat env_wasmun (updated 30 Mar 2026), retrieved 5 Oct 2026</t>
        </is>
      </c>
      <c r="G1635" s="2" t="inlineStr">
        <is>
          <t>higher:</t>
        </is>
      </c>
      <c r="H1635" s="2" t="inlineStr"/>
    </row>
    <row r="1636">
      <c r="A1636" s="5" t="inlineStr">
        <is>
          <t>CC-112</t>
        </is>
      </c>
      <c r="B1636" s="2" t="inlineStr">
        <is>
          <t>CC-112:2</t>
        </is>
      </c>
      <c r="C1636" s="2" t="inlineStr">
        <is>
          <t>Malta: population change 1 Jan 2005 to 1 Jan 2015</t>
        </is>
      </c>
      <c r="D1636" s="2" t="inlineStr">
        <is>
          <t>9.0</t>
        </is>
      </c>
      <c r="E1636" s="2" t="inlineStr">
        <is>
          <t>%</t>
        </is>
      </c>
      <c r="F1636" s="2" t="inlineStr">
        <is>
          <t>Eurostat demo_gind (updated 30 Sep 2026), retrieved 5 Oct 2026</t>
        </is>
      </c>
      <c r="G1636" s="2" t="inlineStr">
        <is>
          <t>402,668 -&gt; 438,805; net migration 29,446 (79.2% of the components), natural change 7,736; components sum to 37,182 vs change in stock 36,137 (the gap reflects census revisions)</t>
        </is>
      </c>
      <c r="H1636" s="2" t="inlineStr"/>
    </row>
    <row r="1637">
      <c r="A1637" s="5" t="inlineStr">
        <is>
          <t>CC-112</t>
        </is>
      </c>
      <c r="B1637" s="2" t="inlineStr">
        <is>
          <t>CC-112:3</t>
        </is>
      </c>
      <c r="C1637" s="2" t="inlineStr">
        <is>
          <t>Malta: population change 1 Jan 2006 to 1 Jan 2016</t>
        </is>
      </c>
      <c r="D1637" s="2" t="inlineStr">
        <is>
          <t>11.0</t>
        </is>
      </c>
      <c r="E1637" s="2" t="inlineStr">
        <is>
          <t>%</t>
        </is>
      </c>
      <c r="F1637" s="2" t="inlineStr">
        <is>
          <t>Eurostat demo_gind (updated 30 Sep 2026), retrieved 5 Oct 2026</t>
        </is>
      </c>
      <c r="G1637" s="2" t="inlineStr">
        <is>
          <t>404,999 -&gt; 449,635; net migration 37,788 (82.7% of the components), natural change 7,893; components sum to 45,681 vs change in stock 44,636 (the gap reflects census revisions)</t>
        </is>
      </c>
      <c r="H1637" s="2" t="inlineStr"/>
    </row>
    <row r="1638">
      <c r="A1638" s="5" t="inlineStr">
        <is>
          <t>CC-112</t>
        </is>
      </c>
      <c r="B1638" s="2" t="inlineStr">
        <is>
          <t>CC-112:4</t>
        </is>
      </c>
      <c r="C1638" s="2" t="inlineStr">
        <is>
          <t>Malta: population change 1 Jan 2007 to 1 Jan 2017</t>
        </is>
      </c>
      <c r="D1638" s="2" t="inlineStr">
        <is>
          <t>13.3</t>
        </is>
      </c>
      <c r="E1638" s="2" t="inlineStr">
        <is>
          <t>%</t>
        </is>
      </c>
      <c r="F1638" s="2" t="inlineStr">
        <is>
          <t>Eurostat demo_gind (updated 30 Sep 2026), retrieved 5 Oct 2026</t>
        </is>
      </c>
      <c r="G1638" s="2" t="inlineStr">
        <is>
          <t>405,616 -&gt; 459,375; net migration 46,340 (84.6% of the components), natural change 8,464; components sum to 54,804 vs change in stock 53,759 (the gap reflects census revisions)</t>
        </is>
      </c>
      <c r="H1638" s="2" t="inlineStr"/>
    </row>
    <row r="1639">
      <c r="A1639" s="5" t="inlineStr">
        <is>
          <t>CC-112</t>
        </is>
      </c>
      <c r="B1639" s="2" t="inlineStr">
        <is>
          <t>CC-112:5</t>
        </is>
      </c>
      <c r="C1639" s="2" t="inlineStr">
        <is>
          <t>Malta: population change 1 Jan 2008 to 1 Jan 2018</t>
        </is>
      </c>
      <c r="D1639" s="2" t="inlineStr">
        <is>
          <t>16.4</t>
        </is>
      </c>
      <c r="E1639" s="2" t="inlineStr">
        <is>
          <t>%</t>
        </is>
      </c>
      <c r="F1639" s="2" t="inlineStr">
        <is>
          <t>Eurostat demo_gind (updated 30 Sep 2026), retrieved 5 Oct 2026</t>
        </is>
      </c>
      <c r="G1639" s="2" t="inlineStr">
        <is>
          <t>407,832 -&gt; 474,837; net migration 59,492 (87.4% of the components), natural change 8,558; components sum to 68,050 vs change in stock 67,005 (the gap reflects census revisions)</t>
        </is>
      </c>
      <c r="H1639" s="2" t="inlineStr"/>
    </row>
    <row r="1640">
      <c r="A1640" s="5" t="inlineStr">
        <is>
          <t>CC-112</t>
        </is>
      </c>
      <c r="B1640" s="2" t="inlineStr">
        <is>
          <t>CC-112:6</t>
        </is>
      </c>
      <c r="C1640" s="2" t="inlineStr">
        <is>
          <t>Malta: population change 1 Jan 2009 to 1 Jan 2019</t>
        </is>
      </c>
      <c r="D1640" s="2" t="inlineStr">
        <is>
          <t>20.0</t>
        </is>
      </c>
      <c r="E1640" s="2" t="inlineStr">
        <is>
          <t>%</t>
        </is>
      </c>
      <c r="F1640" s="2" t="inlineStr">
        <is>
          <t>Eurostat demo_gind (updated 30 Sep 2026), retrieved 5 Oct 2026</t>
        </is>
      </c>
      <c r="G1640" s="2" t="inlineStr">
        <is>
          <t>410,926 -&gt; 492,968; net migration 74,543 (89.7% of the components), natural change 8,544; components sum to 83,087 vs change in stock 82,042 (the gap reflects census revisions)</t>
        </is>
      </c>
      <c r="H1640" s="2" t="inlineStr"/>
    </row>
    <row r="1641">
      <c r="A1641" s="5" t="inlineStr">
        <is>
          <t>CC-112</t>
        </is>
      </c>
      <c r="B1641" s="2" t="inlineStr">
        <is>
          <t>CC-112:7</t>
        </is>
      </c>
      <c r="C1641" s="2" t="inlineStr">
        <is>
          <t>Malta: population change 1 Jan 2010 to 1 Jan 2020</t>
        </is>
      </c>
      <c r="D1641" s="2" t="inlineStr">
        <is>
          <t>24.4</t>
        </is>
      </c>
      <c r="E1641" s="2" t="inlineStr">
        <is>
          <t>%</t>
        </is>
      </c>
      <c r="F1641" s="2" t="inlineStr">
        <is>
          <t>Eurostat demo_gind (updated 30 Sep 2026), retrieved 5 Oct 2026</t>
        </is>
      </c>
      <c r="G1641" s="2" t="inlineStr">
        <is>
          <t>414,027 -&gt; 514,855; net migration 93,475 (91.8% of the components), natural change 8,398; components sum to 101,873 vs change in stock 100,828 (the gap reflects census revisions)</t>
        </is>
      </c>
      <c r="H1641" s="2" t="inlineStr"/>
    </row>
    <row r="1642">
      <c r="A1642" s="5" t="inlineStr">
        <is>
          <t>CC-112</t>
        </is>
      </c>
      <c r="B1642" s="2" t="inlineStr">
        <is>
          <t>CC-112:8</t>
        </is>
      </c>
      <c r="C1642" s="2" t="inlineStr">
        <is>
          <t>Malta: population change 1 Jan 2011 to 1 Jan 2021</t>
        </is>
      </c>
      <c r="D1642" s="2" t="inlineStr">
        <is>
          <t>24.4</t>
        </is>
      </c>
      <c r="E1642" s="2" t="inlineStr">
        <is>
          <t>%</t>
        </is>
      </c>
      <c r="F1642" s="2" t="inlineStr">
        <is>
          <t>Eurostat demo_gind (updated 30 Sep 2026), retrieved 5 Oct 2026</t>
        </is>
      </c>
      <c r="G1642" s="2" t="inlineStr">
        <is>
          <t>414,989 -&gt; 516,125; net migration 94,348 (92.3% of the components), natural change 7,833; components sum to 102,181 vs change in stock 101,136 (the gap reflects census revisions)</t>
        </is>
      </c>
      <c r="H1642" s="2" t="inlineStr"/>
    </row>
    <row r="1643">
      <c r="A1643" s="5" t="inlineStr">
        <is>
          <t>CC-112</t>
        </is>
      </c>
      <c r="B1643" s="2" t="inlineStr">
        <is>
          <t>CC-112:9</t>
        </is>
      </c>
      <c r="C1643" s="2" t="inlineStr">
        <is>
          <t>Malta: population change 1 Jan 2012 to 1 Jan 2022</t>
        </is>
      </c>
      <c r="D1643" s="2" t="inlineStr">
        <is>
          <t>24.6</t>
        </is>
      </c>
      <c r="E1643" s="2" t="inlineStr">
        <is>
          <t>%</t>
        </is>
      </c>
      <c r="F1643" s="2" t="inlineStr">
        <is>
          <t>Eurostat demo_gind (updated 30 Sep 2026), retrieved 5 Oct 2026</t>
        </is>
      </c>
      <c r="G1643" s="2" t="inlineStr">
        <is>
          <t>417,546 -&gt; 520,174; net migration 96,506 (93.1% of the components), natural change 7,167; components sum to 103,673 vs change in stock 102,628 (the gap reflects census revisions)</t>
        </is>
      </c>
      <c r="H1643" s="2" t="inlineStr"/>
    </row>
    <row r="1644">
      <c r="A1644" s="5" t="inlineStr">
        <is>
          <t>CC-112</t>
        </is>
      </c>
      <c r="B1644" s="2" t="inlineStr">
        <is>
          <t>CC-112:10</t>
        </is>
      </c>
      <c r="C1644" s="2" t="inlineStr">
        <is>
          <t>Malta: population change 1 Jan 2013 to 1 Jan 2023</t>
        </is>
      </c>
      <c r="D1644" s="2" t="inlineStr">
        <is>
          <t>28.6</t>
        </is>
      </c>
      <c r="E1644" s="2" t="inlineStr">
        <is>
          <t>%</t>
        </is>
      </c>
      <c r="F1644" s="2" t="inlineStr">
        <is>
          <t>Eurostat demo_gind (updated 30 Sep 2026), retrieved 5 Oct 2026</t>
        </is>
      </c>
      <c r="G1644" s="2" t="inlineStr">
        <is>
          <t>421,464 -&gt; 542,051; net migration 114,053 (94.6% of the components), natural change 6,534; components sum to 120,587 vs change in stock 120,587 (the gap reflects census revisions)</t>
        </is>
      </c>
      <c r="H1644" s="2" t="inlineStr"/>
    </row>
    <row r="1645">
      <c r="A1645" s="5" t="inlineStr">
        <is>
          <t>CC-112</t>
        </is>
      </c>
      <c r="B1645" s="2" t="inlineStr">
        <is>
          <t>CC-112:11</t>
        </is>
      </c>
      <c r="C1645" s="2" t="inlineStr">
        <is>
          <t>Malta: population change 1 Jan 2014 to 1 Jan 2024</t>
        </is>
      </c>
      <c r="D1645" s="2" t="inlineStr">
        <is>
          <t>31.6</t>
        </is>
      </c>
      <c r="E1645" s="2" t="inlineStr">
        <is>
          <t>%</t>
        </is>
      </c>
      <c r="F1645" s="2" t="inlineStr">
        <is>
          <t>Eurostat demo_gind (updated 30 Sep 2026), retrieved 5 Oct 2026</t>
        </is>
      </c>
      <c r="G1645" s="2" t="inlineStr">
        <is>
          <t>428,156 -&gt; 563,443; net migration 129,117 (95.4% of the components), natural change 6,170; components sum to 135,287 vs change in stock 135,287 (the gap reflects census revisions)</t>
        </is>
      </c>
      <c r="H1645" s="2" t="inlineStr"/>
    </row>
    <row r="1646">
      <c r="A1646" s="5" t="inlineStr">
        <is>
          <t>CC-112</t>
        </is>
      </c>
      <c r="B1646" s="2" t="inlineStr">
        <is>
          <t>CC-112:12</t>
        </is>
      </c>
      <c r="C1646" s="2" t="inlineStr">
        <is>
          <t>Malta: population change 1 Jan 2015 to 1 Jan 2025</t>
        </is>
      </c>
      <c r="D1646" s="2" t="inlineStr">
        <is>
          <t>30.9</t>
        </is>
      </c>
      <c r="E1646" s="2" t="inlineStr">
        <is>
          <t>%</t>
        </is>
      </c>
      <c r="F1646" s="2" t="inlineStr">
        <is>
          <t>Eurostat demo_gind (updated 30 Sep 2026), retrieved 5 Oct 2026</t>
        </is>
      </c>
      <c r="G1646" s="2" t="inlineStr">
        <is>
          <t>438,805 -&gt; 574,250; net migration 130,003 (96.0% of the components), natural change 5,442; components sum to 135,445 vs change in stock 135,445 (the gap reflects census revisions)</t>
        </is>
      </c>
      <c r="H1646" s="2" t="inlineStr"/>
    </row>
    <row r="1647">
      <c r="A1647" s="5" t="inlineStr">
        <is>
          <t>CC-112</t>
        </is>
      </c>
      <c r="B1647" s="2" t="inlineStr">
        <is>
          <t>CC-112:13</t>
        </is>
      </c>
      <c r="C1647" s="2" t="inlineStr">
        <is>
          <t>Malta: population change 1 Jan 2016 to 1 Jan 2026</t>
        </is>
      </c>
      <c r="D1647" s="2" t="inlineStr">
        <is>
          <t>30.8</t>
        </is>
      </c>
      <c r="E1647" s="2" t="inlineStr">
        <is>
          <t>%</t>
        </is>
      </c>
      <c r="F1647" s="2" t="inlineStr">
        <is>
          <t>Eurostat demo_gind (updated 30 Sep 2026), retrieved 5 Oct 2026</t>
        </is>
      </c>
      <c r="G1647" s="2" t="inlineStr">
        <is>
          <t>449,635 -&gt; 588,254; net migration 133,962 (96.6% of the components), natural change 4,657; components sum to 138,619 vs change in stock 138,619 (the gap reflects census revisions)</t>
        </is>
      </c>
      <c r="H1647" s="2" t="inlineStr"/>
    </row>
    <row r="1648">
      <c r="A1648" s="5" t="inlineStr">
        <is>
          <t>CC-112</t>
        </is>
      </c>
      <c r="B1648" s="2" t="inlineStr">
        <is>
          <t>CC-112:14</t>
        </is>
      </c>
      <c r="C1648" s="2" t="inlineStr">
        <is>
          <t>EU-27: population change 1 Jan 2015 to 1 Jan 2025</t>
        </is>
      </c>
      <c r="D1648" s="2" t="inlineStr">
        <is>
          <t>1.9</t>
        </is>
      </c>
      <c r="E1648" s="2" t="inlineStr">
        <is>
          <t>%</t>
        </is>
      </c>
      <c r="F1648" s="2" t="inlineStr">
        <is>
          <t>Eurostat demo_gind (updated 30 Sep 2026), retrieved 5 Oct 2026</t>
        </is>
      </c>
      <c r="G1648" s="2" t="inlineStr"/>
      <c r="H1648" s="2" t="inlineStr"/>
    </row>
    <row r="1649">
      <c r="A1649" s="5" t="inlineStr">
        <is>
          <t>CC-112</t>
        </is>
      </c>
      <c r="B1649" s="2" t="inlineStr">
        <is>
          <t>CC-112:15</t>
        </is>
      </c>
      <c r="C1649" s="2" t="inlineStr">
        <is>
          <t>Latest population on 1 January in the dataset</t>
        </is>
      </c>
      <c r="D1649" s="2" t="inlineStr">
        <is>
          <t>588,254 (2026)</t>
        </is>
      </c>
      <c r="E1649" s="2" t="inlineStr">
        <is>
          <t>people</t>
        </is>
      </c>
      <c r="F1649" s="2" t="inlineStr">
        <is>
          <t>Eurostat demo_gind (updated 30 Sep 2026), retrieved 5 Oct 2026</t>
        </is>
      </c>
      <c r="G1649" s="2" t="inlineStr"/>
      <c r="H1649" s="2" t="inlineStr"/>
    </row>
    <row r="1650">
      <c r="A1650" s="5" t="inlineStr">
        <is>
          <t>CC-112</t>
        </is>
      </c>
      <c r="B1650" s="2" t="inlineStr">
        <is>
          <t>CC-112:16</t>
        </is>
      </c>
      <c r="C1650" s="2" t="inlineStr">
        <is>
          <t>Ten-year windows within 1.5 points of 25%</t>
        </is>
      </c>
      <c r="D1650" s="2" t="inlineStr">
        <is>
          <t>2010-2020, 2011-2021, 2012-2022</t>
        </is>
      </c>
      <c r="E1650" s="2" t="inlineStr">
        <is>
          <t>windows</t>
        </is>
      </c>
      <c r="F1650" s="2" t="inlineStr">
        <is>
          <t>Eurostat demo_gind (updated 30 Sep 2026), retrieved 5 Oct 2026</t>
        </is>
      </c>
      <c r="G1650" s="2" t="inlineStr"/>
      <c r="H1650" s="2" t="inlineStr"/>
    </row>
    <row r="1651">
      <c r="A1651" s="5" t="inlineStr">
        <is>
          <t>CC-113</t>
        </is>
      </c>
      <c r="B1651" s="2" t="inlineStr">
        <is>
          <t>CC-113:2</t>
        </is>
      </c>
      <c r="C1651" s="2" t="inlineStr">
        <is>
          <t>Rebuilt from local measure rows vs the inventory's pivot, 2023 incl. TBC: largest difference</t>
        </is>
      </c>
      <c r="D1651" s="2" t="inlineStr">
        <is>
          <t>0.0</t>
        </is>
      </c>
      <c r="E1651" s="2" t="inlineStr">
        <is>
          <t>EUR million</t>
        </is>
      </c>
      <c r="F1651" s="2" t="inlineStr">
        <is>
          <t>EC subsidy inventory 2024 ed. (CIRCABC), retrieved 6 Oct 2026</t>
        </is>
      </c>
      <c r="G1651" s="2" t="inlineStr">
        <is>
          <t>measure rows (Enerdata copyright) kept locally, not committed; techno group 'Fossil fuels', no double counting</t>
        </is>
      </c>
      <c r="H1651" s="2" t="inlineStr"/>
    </row>
    <row r="1652">
      <c r="A1652" s="5" t="inlineStr">
        <is>
          <t>CC-113</t>
        </is>
      </c>
      <c r="B1652" s="2" t="inlineStr">
        <is>
          <t>CC-113:3</t>
        </is>
      </c>
      <c r="C1652" s="2" t="inlineStr">
        <is>
          <t>Rebuilt from local measure rows vs pivot, 2023 excl. TBC: largest difference</t>
        </is>
      </c>
      <c r="D1652" s="2" t="inlineStr">
        <is>
          <t>0.0</t>
        </is>
      </c>
      <c r="E1652" s="2" t="inlineStr">
        <is>
          <t>EUR million</t>
        </is>
      </c>
      <c r="F1652" s="2" t="inlineStr">
        <is>
          <t>EC subsidy inventory 2024 ed. (CIRCABC), retrieved 6 Oct 2026</t>
        </is>
      </c>
      <c r="G1652" s="2" t="inlineStr"/>
      <c r="H1652" s="2" t="inlineStr"/>
    </row>
    <row r="1653">
      <c r="A1653" s="5" t="inlineStr">
        <is>
          <t>CC-113</t>
        </is>
      </c>
      <c r="B1653" s="2" t="inlineStr">
        <is>
          <t>CC-113:4</t>
        </is>
      </c>
      <c r="C1653" s="2" t="inlineStr">
        <is>
          <t>Inventory 2023 incl. TBC vs EEA Figure 2 (2023): largest difference</t>
        </is>
      </c>
      <c r="D1653" s="2" t="inlineStr">
        <is>
          <t>0.0</t>
        </is>
      </c>
      <c r="E1653" s="2" t="inlineStr">
        <is>
          <t>EUR billion</t>
        </is>
      </c>
      <c r="F1653" s="2" t="inlineStr">
        <is>
          <t>EC subsidy inventory 2024 ed. (CIRCABC), retrieved 6 Oct 2026; EEA chart data, retrieved 6 Oct 2026</t>
        </is>
      </c>
      <c r="G1653" s="2" t="inlineStr">
        <is>
          <t>the EEA figure is the inventory including the 2022 stand-ins</t>
        </is>
      </c>
      <c r="H1653" s="2" t="inlineStr"/>
    </row>
    <row r="1654">
      <c r="A1654" s="5" t="inlineStr">
        <is>
          <t>CC-113</t>
        </is>
      </c>
      <c r="B1654" s="2" t="inlineStr">
        <is>
          <t>CC-113:5</t>
        </is>
      </c>
      <c r="C1654" s="2" t="inlineStr">
        <is>
          <t>EU-27 FFS 2023 incl. TBC (sum of countries)</t>
        </is>
      </c>
      <c r="D1654" s="2" t="inlineStr">
        <is>
          <t>111.0</t>
        </is>
      </c>
      <c r="E1654" s="2" t="inlineStr">
        <is>
          <t>EUR billion (2023 prices)</t>
        </is>
      </c>
      <c r="F1654" s="2" t="inlineStr">
        <is>
          <t>EC subsidy inventory 2024 ed. (CIRCABC), retrieved 6 Oct 2026</t>
        </is>
      </c>
      <c r="G1654" s="2" t="inlineStr">
        <is>
          <t>EEA text: EUR 111 billion</t>
        </is>
      </c>
      <c r="H1654" s="2" t="inlineStr"/>
    </row>
    <row r="1655">
      <c r="A1655" s="5" t="inlineStr">
        <is>
          <t>CC-113</t>
        </is>
      </c>
      <c r="B1655" s="2" t="inlineStr">
        <is>
          <t>CC-113:6</t>
        </is>
      </c>
      <c r="C1655" s="2" t="inlineStr">
        <is>
          <t>EU-27 FFS 2023 excl. TBC</t>
        </is>
      </c>
      <c r="D1655" s="2" t="inlineStr">
        <is>
          <t>102.8</t>
        </is>
      </c>
      <c r="E1655" s="2" t="inlineStr">
        <is>
          <t>EUR billion (2023 prices)</t>
        </is>
      </c>
      <c r="F1655" s="2" t="inlineStr">
        <is>
          <t>EC subsidy inventory 2024 ed. (CIRCABC), retrieved 6 Oct 2026</t>
        </is>
      </c>
      <c r="G1655" s="2" t="inlineStr"/>
      <c r="H1655" s="2" t="inlineStr"/>
    </row>
    <row r="1656">
      <c r="A1656" s="5" t="inlineStr">
        <is>
          <t>CC-113</t>
        </is>
      </c>
      <c r="B1656" s="2" t="inlineStr">
        <is>
          <t>CC-113:7</t>
        </is>
      </c>
      <c r="C1656" s="2" t="inlineStr">
        <is>
          <t>Share of EU-27 2023 total that is TBC stand-in</t>
        </is>
      </c>
      <c r="D1656" s="2" t="inlineStr">
        <is>
          <t>7.4</t>
        </is>
      </c>
      <c r="E1656" s="2" t="inlineStr">
        <is>
          <t>%</t>
        </is>
      </c>
      <c r="F1656" s="2" t="inlineStr">
        <is>
          <t>calculated</t>
        </is>
      </c>
      <c r="G1656" s="2" t="inlineStr">
        <is>
          <t>EEA figure note: 'about 7% of total'; COM(2025) 17 footnote 6: 8% 'To be confirmed'</t>
        </is>
      </c>
      <c r="H1656" s="2" t="inlineStr"/>
    </row>
    <row r="1657">
      <c r="A1657" s="5" t="inlineStr">
        <is>
          <t>CC-113</t>
        </is>
      </c>
      <c r="B1657" s="2" t="inlineStr">
        <is>
          <t>CC-113:8</t>
        </is>
      </c>
      <c r="C1657" s="2" t="inlineStr">
        <is>
          <t>Malta's rank by absolute amount, 2023 incl. TBC</t>
        </is>
      </c>
      <c r="D1657" s="2" t="inlineStr">
        <is>
          <t>19 of 27 (EUR 0.63bn)</t>
        </is>
      </c>
      <c r="E1657" s="2" t="inlineStr">
        <is>
          <t>rank</t>
        </is>
      </c>
      <c r="F1657" s="2" t="inlineStr">
        <is>
          <t>EC subsidy inventory 2024 ed. (CIRCABC), retrieved 6 Oct 2026</t>
        </is>
      </c>
      <c r="G1657" s="2" t="inlineStr">
        <is>
          <t>largest: DE EUR 41.1bn; smaller than Malta: CZ, LU, AT, DK, LV, SI, CY, EE</t>
        </is>
      </c>
      <c r="H1657" s="2" t="inlineStr"/>
    </row>
    <row r="1658">
      <c r="A1658" s="5" t="inlineStr">
        <is>
          <t>CC-113</t>
        </is>
      </c>
      <c r="B1658" s="2" t="inlineStr">
        <is>
          <t>CC-113:9</t>
        </is>
      </c>
      <c r="C1658" s="2" t="inlineStr">
        <is>
          <t>A: EEA basis (with 2022 stand-ins; inventory GDP): top three</t>
        </is>
      </c>
      <c r="D1658" s="2" t="inlineStr">
        <is>
          <t>MT 3.37%, PL 2.09%, SK 1.51%</t>
        </is>
      </c>
      <c r="E1658" s="2" t="inlineStr">
        <is>
          <t>% of GDP</t>
        </is>
      </c>
      <c r="F1658" s="2" t="inlineStr">
        <is>
          <t>EC subsidy inventory 2024 ed. (CIRCABC), retrieved 6 Oct 2026</t>
        </is>
      </c>
      <c r="G1658" s="2" t="inlineStr"/>
      <c r="H1658" s="2" t="inlineStr"/>
    </row>
    <row r="1659">
      <c r="A1659" s="5" t="inlineStr">
        <is>
          <t>CC-113</t>
        </is>
      </c>
      <c r="B1659" s="2" t="inlineStr">
        <is>
          <t>CC-113:10</t>
        </is>
      </c>
      <c r="C1659" s="2" t="inlineStr">
        <is>
          <t>A: EEA basis (with 2022 stand-ins; inventory GDP): fourth</t>
        </is>
      </c>
      <c r="D1659" s="2" t="inlineStr">
        <is>
          <t>HR 1.15%</t>
        </is>
      </c>
      <c r="E1659" s="2" t="inlineStr">
        <is>
          <t>% of GDP</t>
        </is>
      </c>
      <c r="F1659" s="2" t="inlineStr">
        <is>
          <t>calculated</t>
        </is>
      </c>
      <c r="G1659" s="2" t="inlineStr"/>
      <c r="H1659" s="2" t="inlineStr"/>
    </row>
    <row r="1660">
      <c r="A1660" s="5" t="inlineStr">
        <is>
          <t>CC-113</t>
        </is>
      </c>
      <c r="B1660" s="2" t="inlineStr">
        <is>
          <t>CC-113:11</t>
        </is>
      </c>
      <c r="C1660" s="2" t="inlineStr">
        <is>
          <t>A: EEA basis (with 2022 stand-ins; inventory GDP): countries at or above 1.5%</t>
        </is>
      </c>
      <c r="D1660" s="2" t="inlineStr">
        <is>
          <t>MT, PL, SK</t>
        </is>
      </c>
      <c r="E1660" s="2" t="inlineStr">
        <is>
          <t>list</t>
        </is>
      </c>
      <c r="F1660" s="2" t="inlineStr">
        <is>
          <t>calculated</t>
        </is>
      </c>
      <c r="G1660" s="2" t="inlineStr">
        <is>
          <t>share rounded to two decimals, as the EEA chart prints it</t>
        </is>
      </c>
      <c r="H1660" s="2" t="inlineStr"/>
    </row>
    <row r="1661">
      <c r="A1661" s="5" t="inlineStr">
        <is>
          <t>CC-113</t>
        </is>
      </c>
      <c r="B1661" s="2" t="inlineStr">
        <is>
          <t>CC-113:12</t>
        </is>
      </c>
      <c r="C1661" s="2" t="inlineStr">
        <is>
          <t>A: EEA basis (with 2022 stand-ins; inventory GDP): Malta rank</t>
        </is>
      </c>
      <c r="D1661" s="2" t="inlineStr">
        <is>
          <t>1</t>
        </is>
      </c>
      <c r="E1661" s="2" t="inlineStr">
        <is>
          <t>of 27</t>
        </is>
      </c>
      <c r="F1661" s="2" t="inlineStr">
        <is>
          <t>calculated</t>
        </is>
      </c>
      <c r="G1661" s="2" t="inlineStr"/>
      <c r="H1661" s="2" t="inlineStr"/>
    </row>
    <row r="1662">
      <c r="A1662" s="5" t="inlineStr">
        <is>
          <t>CC-113</t>
        </is>
      </c>
      <c r="B1662" s="2" t="inlineStr">
        <is>
          <t>CC-113:13</t>
        </is>
      </c>
      <c r="C1662" s="2" t="inlineStr">
        <is>
          <t>A: EEA basis (with 2022 stand-ins; inventory GDP): Slovakia share</t>
        </is>
      </c>
      <c r="D1662" s="2" t="inlineStr">
        <is>
          <t>1.507</t>
        </is>
      </c>
      <c r="E1662" s="2" t="inlineStr">
        <is>
          <t>% of GDP</t>
        </is>
      </c>
      <c r="F1662" s="2" t="inlineStr">
        <is>
          <t>calculated</t>
        </is>
      </c>
      <c r="G1662" s="2" t="inlineStr"/>
      <c r="H1662" s="2" t="inlineStr"/>
    </row>
    <row r="1663">
      <c r="A1663" s="5" t="inlineStr">
        <is>
          <t>CC-113</t>
        </is>
      </c>
      <c r="B1663" s="2" t="inlineStr">
        <is>
          <t>CC-113:14</t>
        </is>
      </c>
      <c r="C1663" s="2" t="inlineStr">
        <is>
          <t>A: EEA basis (with 2022 stand-ins; inventory GDP): EU-27 total / EU GDP</t>
        </is>
      </c>
      <c r="D1663" s="2" t="inlineStr">
        <is>
          <t>0.659</t>
        </is>
      </c>
      <c r="E1663" s="2" t="inlineStr">
        <is>
          <t>% of GDP</t>
        </is>
      </c>
      <c r="F1663" s="2" t="inlineStr">
        <is>
          <t>calculated</t>
        </is>
      </c>
      <c r="G1663" s="2" t="inlineStr">
        <is>
          <t>aggregate ratio, not an average of country shares</t>
        </is>
      </c>
      <c r="H1663" s="2" t="inlineStr"/>
    </row>
    <row r="1664">
      <c r="A1664" s="5" t="inlineStr">
        <is>
          <t>CC-113</t>
        </is>
      </c>
      <c r="B1664" s="2" t="inlineStr">
        <is>
          <t>CC-113:15</t>
        </is>
      </c>
      <c r="C1664" s="2" t="inlineStr">
        <is>
          <t>B: with stand-ins; Eurostat GDP as of 6 Oct 2026: top three</t>
        </is>
      </c>
      <c r="D1664" s="2" t="inlineStr">
        <is>
          <t>MT 3.03%, PL 2.08%, SK 1.49%</t>
        </is>
      </c>
      <c r="E1664" s="2" t="inlineStr">
        <is>
          <t>% of GDP</t>
        </is>
      </c>
      <c r="F1664" s="2" t="inlineStr">
        <is>
          <t>EC subsidy inventory 2024 ed. (CIRCABC), retrieved 6 Oct 2026; Eurostat nama_10_gdp (CP_MEUR), updated 2026-10-06, retrieved 6 Oct 2026</t>
        </is>
      </c>
      <c r="G1664" s="2" t="inlineStr"/>
      <c r="H1664" s="2" t="inlineStr"/>
    </row>
    <row r="1665">
      <c r="A1665" s="5" t="inlineStr">
        <is>
          <t>CC-113</t>
        </is>
      </c>
      <c r="B1665" s="2" t="inlineStr">
        <is>
          <t>CC-113:16</t>
        </is>
      </c>
      <c r="C1665" s="2" t="inlineStr">
        <is>
          <t>B: with stand-ins; Eurostat GDP as of 6 Oct 2026: fourth</t>
        </is>
      </c>
      <c r="D1665" s="2" t="inlineStr">
        <is>
          <t>BG 1.08%</t>
        </is>
      </c>
      <c r="E1665" s="2" t="inlineStr">
        <is>
          <t>% of GDP</t>
        </is>
      </c>
      <c r="F1665" s="2" t="inlineStr">
        <is>
          <t>calculated</t>
        </is>
      </c>
      <c r="G1665" s="2" t="inlineStr"/>
      <c r="H1665" s="2" t="inlineStr"/>
    </row>
    <row r="1666">
      <c r="A1666" s="5" t="inlineStr">
        <is>
          <t>CC-113</t>
        </is>
      </c>
      <c r="B1666" s="2" t="inlineStr">
        <is>
          <t>CC-113:17</t>
        </is>
      </c>
      <c r="C1666" s="2" t="inlineStr">
        <is>
          <t>B: with stand-ins; Eurostat GDP as of 6 Oct 2026: countries at or above 1.5%</t>
        </is>
      </c>
      <c r="D1666" s="2" t="inlineStr">
        <is>
          <t>MT, PL</t>
        </is>
      </c>
      <c r="E1666" s="2" t="inlineStr">
        <is>
          <t>list</t>
        </is>
      </c>
      <c r="F1666" s="2" t="inlineStr">
        <is>
          <t>calculated</t>
        </is>
      </c>
      <c r="G1666" s="2" t="inlineStr">
        <is>
          <t>share rounded to two decimals, as the EEA chart prints it</t>
        </is>
      </c>
      <c r="H1666" s="2" t="inlineStr"/>
    </row>
    <row r="1667">
      <c r="A1667" s="5" t="inlineStr">
        <is>
          <t>CC-113</t>
        </is>
      </c>
      <c r="B1667" s="2" t="inlineStr">
        <is>
          <t>CC-113:18</t>
        </is>
      </c>
      <c r="C1667" s="2" t="inlineStr">
        <is>
          <t>B: with stand-ins; Eurostat GDP as of 6 Oct 2026: Malta rank</t>
        </is>
      </c>
      <c r="D1667" s="2" t="inlineStr">
        <is>
          <t>1</t>
        </is>
      </c>
      <c r="E1667" s="2" t="inlineStr">
        <is>
          <t>of 27</t>
        </is>
      </c>
      <c r="F1667" s="2" t="inlineStr">
        <is>
          <t>calculated</t>
        </is>
      </c>
      <c r="G1667" s="2" t="inlineStr"/>
      <c r="H1667" s="2" t="inlineStr"/>
    </row>
    <row r="1668">
      <c r="A1668" s="5" t="inlineStr">
        <is>
          <t>CC-113</t>
        </is>
      </c>
      <c r="B1668" s="2" t="inlineStr">
        <is>
          <t>CC-113:19</t>
        </is>
      </c>
      <c r="C1668" s="2" t="inlineStr">
        <is>
          <t>B: with stand-ins; Eurostat GDP as of 6 Oct 2026: Slovakia share</t>
        </is>
      </c>
      <c r="D1668" s="2" t="inlineStr">
        <is>
          <t>1.494</t>
        </is>
      </c>
      <c r="E1668" s="2" t="inlineStr">
        <is>
          <t>% of GDP</t>
        </is>
      </c>
      <c r="F1668" s="2" t="inlineStr">
        <is>
          <t>calculated</t>
        </is>
      </c>
      <c r="G1668" s="2" t="inlineStr"/>
      <c r="H1668" s="2" t="inlineStr"/>
    </row>
    <row r="1669">
      <c r="A1669" s="5" t="inlineStr">
        <is>
          <t>CC-113</t>
        </is>
      </c>
      <c r="B1669" s="2" t="inlineStr">
        <is>
          <t>CC-113:20</t>
        </is>
      </c>
      <c r="C1669" s="2" t="inlineStr">
        <is>
          <t>B: with stand-ins; Eurostat GDP as of 6 Oct 2026: EU-27 total / EU GDP</t>
        </is>
      </c>
      <c r="D1669" s="2" t="inlineStr">
        <is>
          <t>0.642</t>
        </is>
      </c>
      <c r="E1669" s="2" t="inlineStr">
        <is>
          <t>% of GDP</t>
        </is>
      </c>
      <c r="F1669" s="2" t="inlineStr">
        <is>
          <t>calculated</t>
        </is>
      </c>
      <c r="G1669" s="2" t="inlineStr">
        <is>
          <t>aggregate ratio, not an average of country shares</t>
        </is>
      </c>
      <c r="H1669" s="2" t="inlineStr"/>
    </row>
    <row r="1670">
      <c r="A1670" s="5" t="inlineStr">
        <is>
          <t>CC-113</t>
        </is>
      </c>
      <c r="B1670" s="2" t="inlineStr">
        <is>
          <t>CC-113:21</t>
        </is>
      </c>
      <c r="C1670" s="2" t="inlineStr">
        <is>
          <t>C: lower bound (unconfirmed set to zero); inventory GDP: top three</t>
        </is>
      </c>
      <c r="D1670" s="2" t="inlineStr">
        <is>
          <t>MT 3.22%, PL 1.89%, SK 1.39%</t>
        </is>
      </c>
      <c r="E1670" s="2" t="inlineStr">
        <is>
          <t>% of GDP</t>
        </is>
      </c>
      <c r="F1670" s="2" t="inlineStr">
        <is>
          <t>EC subsidy inventory 2024 ed. (CIRCABC), retrieved 6 Oct 2026</t>
        </is>
      </c>
      <c r="G1670" s="2" t="inlineStr"/>
      <c r="H1670" s="2" t="inlineStr"/>
    </row>
    <row r="1671">
      <c r="A1671" s="5" t="inlineStr">
        <is>
          <t>CC-113</t>
        </is>
      </c>
      <c r="B1671" s="2" t="inlineStr">
        <is>
          <t>CC-113:22</t>
        </is>
      </c>
      <c r="C1671" s="2" t="inlineStr">
        <is>
          <t>C: lower bound (unconfirmed set to zero); inventory GDP: fourth</t>
        </is>
      </c>
      <c r="D1671" s="2" t="inlineStr">
        <is>
          <t>BG 1.02%</t>
        </is>
      </c>
      <c r="E1671" s="2" t="inlineStr">
        <is>
          <t>% of GDP</t>
        </is>
      </c>
      <c r="F1671" s="2" t="inlineStr">
        <is>
          <t>calculated</t>
        </is>
      </c>
      <c r="G1671" s="2" t="inlineStr"/>
      <c r="H1671" s="2" t="inlineStr"/>
    </row>
    <row r="1672">
      <c r="A1672" s="5" t="inlineStr">
        <is>
          <t>CC-113</t>
        </is>
      </c>
      <c r="B1672" s="2" t="inlineStr">
        <is>
          <t>CC-113:23</t>
        </is>
      </c>
      <c r="C1672" s="2" t="inlineStr">
        <is>
          <t>C: lower bound (unconfirmed set to zero); inventory GDP: countries at or above 1.5%</t>
        </is>
      </c>
      <c r="D1672" s="2" t="inlineStr">
        <is>
          <t>MT, PL</t>
        </is>
      </c>
      <c r="E1672" s="2" t="inlineStr">
        <is>
          <t>list</t>
        </is>
      </c>
      <c r="F1672" s="2" t="inlineStr">
        <is>
          <t>calculated</t>
        </is>
      </c>
      <c r="G1672" s="2" t="inlineStr">
        <is>
          <t>share rounded to two decimals, as the EEA chart prints it</t>
        </is>
      </c>
      <c r="H1672" s="2" t="inlineStr"/>
    </row>
    <row r="1673">
      <c r="A1673" s="5" t="inlineStr">
        <is>
          <t>CC-113</t>
        </is>
      </c>
      <c r="B1673" s="2" t="inlineStr">
        <is>
          <t>CC-113:24</t>
        </is>
      </c>
      <c r="C1673" s="2" t="inlineStr">
        <is>
          <t>C: lower bound (unconfirmed set to zero); inventory GDP: Malta rank</t>
        </is>
      </c>
      <c r="D1673" s="2" t="inlineStr">
        <is>
          <t>1</t>
        </is>
      </c>
      <c r="E1673" s="2" t="inlineStr">
        <is>
          <t>of 27</t>
        </is>
      </c>
      <c r="F1673" s="2" t="inlineStr">
        <is>
          <t>calculated</t>
        </is>
      </c>
      <c r="G1673" s="2" t="inlineStr"/>
      <c r="H1673" s="2" t="inlineStr"/>
    </row>
    <row r="1674">
      <c r="A1674" s="5" t="inlineStr">
        <is>
          <t>CC-113</t>
        </is>
      </c>
      <c r="B1674" s="2" t="inlineStr">
        <is>
          <t>CC-113:25</t>
        </is>
      </c>
      <c r="C1674" s="2" t="inlineStr">
        <is>
          <t>C: lower bound (unconfirmed set to zero); inventory GDP: Slovakia share</t>
        </is>
      </c>
      <c r="D1674" s="2" t="inlineStr">
        <is>
          <t>1.388</t>
        </is>
      </c>
      <c r="E1674" s="2" t="inlineStr">
        <is>
          <t>% of GDP</t>
        </is>
      </c>
      <c r="F1674" s="2" t="inlineStr">
        <is>
          <t>calculated</t>
        </is>
      </c>
      <c r="G1674" s="2" t="inlineStr"/>
      <c r="H1674" s="2" t="inlineStr"/>
    </row>
    <row r="1675">
      <c r="A1675" s="5" t="inlineStr">
        <is>
          <t>CC-113</t>
        </is>
      </c>
      <c r="B1675" s="2" t="inlineStr">
        <is>
          <t>CC-113:26</t>
        </is>
      </c>
      <c r="C1675" s="2" t="inlineStr">
        <is>
          <t>C: lower bound (unconfirmed set to zero); inventory GDP: EU-27 total / EU GDP</t>
        </is>
      </c>
      <c r="D1675" s="2" t="inlineStr">
        <is>
          <t>0.61</t>
        </is>
      </c>
      <c r="E1675" s="2" t="inlineStr">
        <is>
          <t>% of GDP</t>
        </is>
      </c>
      <c r="F1675" s="2" t="inlineStr">
        <is>
          <t>calculated</t>
        </is>
      </c>
      <c r="G1675" s="2" t="inlineStr">
        <is>
          <t>aggregate ratio, not an average of country shares</t>
        </is>
      </c>
      <c r="H1675" s="2" t="inlineStr"/>
    </row>
    <row r="1676">
      <c r="A1676" s="5" t="inlineStr">
        <is>
          <t>CC-113</t>
        </is>
      </c>
      <c r="B1676" s="2" t="inlineStr">
        <is>
          <t>CC-113:27</t>
        </is>
      </c>
      <c r="C1676" s="2" t="inlineStr">
        <is>
          <t>D: lower bound (unconfirmed set to zero); Eurostat GDP as of 6 Oct 2026: top three</t>
        </is>
      </c>
      <c r="D1676" s="2" t="inlineStr">
        <is>
          <t>MT 2.89%, PL 1.88%, SK 1.38%</t>
        </is>
      </c>
      <c r="E1676" s="2" t="inlineStr">
        <is>
          <t>% of GDP</t>
        </is>
      </c>
      <c r="F1676" s="2" t="inlineStr">
        <is>
          <t>EC subsidy inventory 2024 ed. (CIRCABC), retrieved 6 Oct 2026; Eurostat nama_10_gdp (CP_MEUR), updated 2026-10-06, retrieved 6 Oct 2026</t>
        </is>
      </c>
      <c r="G1676" s="2" t="inlineStr"/>
      <c r="H1676" s="2" t="inlineStr"/>
    </row>
    <row r="1677">
      <c r="A1677" s="5" t="inlineStr">
        <is>
          <t>CC-113</t>
        </is>
      </c>
      <c r="B1677" s="2" t="inlineStr">
        <is>
          <t>CC-113:28</t>
        </is>
      </c>
      <c r="C1677" s="2" t="inlineStr">
        <is>
          <t>D: lower bound (unconfirmed set to zero); Eurostat GDP as of 6 Oct 2026: fourth</t>
        </is>
      </c>
      <c r="D1677" s="2" t="inlineStr">
        <is>
          <t>BG 1.00%</t>
        </is>
      </c>
      <c r="E1677" s="2" t="inlineStr">
        <is>
          <t>% of GDP</t>
        </is>
      </c>
      <c r="F1677" s="2" t="inlineStr">
        <is>
          <t>calculated</t>
        </is>
      </c>
      <c r="G1677" s="2" t="inlineStr"/>
      <c r="H1677" s="2" t="inlineStr"/>
    </row>
    <row r="1678">
      <c r="A1678" s="5" t="inlineStr">
        <is>
          <t>CC-113</t>
        </is>
      </c>
      <c r="B1678" s="2" t="inlineStr">
        <is>
          <t>CC-113:29</t>
        </is>
      </c>
      <c r="C1678" s="2" t="inlineStr">
        <is>
          <t>D: lower bound (unconfirmed set to zero); Eurostat GDP as of 6 Oct 2026: countries at or above 1.5%</t>
        </is>
      </c>
      <c r="D1678" s="2" t="inlineStr">
        <is>
          <t>MT, PL</t>
        </is>
      </c>
      <c r="E1678" s="2" t="inlineStr">
        <is>
          <t>list</t>
        </is>
      </c>
      <c r="F1678" s="2" t="inlineStr">
        <is>
          <t>calculated</t>
        </is>
      </c>
      <c r="G1678" s="2" t="inlineStr">
        <is>
          <t>share rounded to two decimals, as the EEA chart prints it</t>
        </is>
      </c>
      <c r="H1678" s="2" t="inlineStr"/>
    </row>
    <row r="1679">
      <c r="A1679" s="5" t="inlineStr">
        <is>
          <t>CC-113</t>
        </is>
      </c>
      <c r="B1679" s="2" t="inlineStr">
        <is>
          <t>CC-113:30</t>
        </is>
      </c>
      <c r="C1679" s="2" t="inlineStr">
        <is>
          <t>D: lower bound (unconfirmed set to zero); Eurostat GDP as of 6 Oct 2026: Malta rank</t>
        </is>
      </c>
      <c r="D1679" s="2" t="inlineStr">
        <is>
          <t>1</t>
        </is>
      </c>
      <c r="E1679" s="2" t="inlineStr">
        <is>
          <t>of 27</t>
        </is>
      </c>
      <c r="F1679" s="2" t="inlineStr">
        <is>
          <t>calculated</t>
        </is>
      </c>
      <c r="G1679" s="2" t="inlineStr"/>
      <c r="H1679" s="2" t="inlineStr"/>
    </row>
    <row r="1680">
      <c r="A1680" s="5" t="inlineStr">
        <is>
          <t>CC-113</t>
        </is>
      </c>
      <c r="B1680" s="2" t="inlineStr">
        <is>
          <t>CC-113:31</t>
        </is>
      </c>
      <c r="C1680" s="2" t="inlineStr">
        <is>
          <t>D: lower bound (unconfirmed set to zero); Eurostat GDP as of 6 Oct 2026: Slovakia share</t>
        </is>
      </c>
      <c r="D1680" s="2" t="inlineStr">
        <is>
          <t>1.375</t>
        </is>
      </c>
      <c r="E1680" s="2" t="inlineStr">
        <is>
          <t>% of GDP</t>
        </is>
      </c>
      <c r="F1680" s="2" t="inlineStr">
        <is>
          <t>calculated</t>
        </is>
      </c>
      <c r="G1680" s="2" t="inlineStr"/>
      <c r="H1680" s="2" t="inlineStr"/>
    </row>
    <row r="1681">
      <c r="A1681" s="5" t="inlineStr">
        <is>
          <t>CC-113</t>
        </is>
      </c>
      <c r="B1681" s="2" t="inlineStr">
        <is>
          <t>CC-113:32</t>
        </is>
      </c>
      <c r="C1681" s="2" t="inlineStr">
        <is>
          <t>D: lower bound (unconfirmed set to zero); Eurostat GDP as of 6 Oct 2026: EU-27 total / EU GDP</t>
        </is>
      </c>
      <c r="D1681" s="2" t="inlineStr">
        <is>
          <t>0.594</t>
        </is>
      </c>
      <c r="E1681" s="2" t="inlineStr">
        <is>
          <t>% of GDP</t>
        </is>
      </c>
      <c r="F1681" s="2" t="inlineStr">
        <is>
          <t>calculated</t>
        </is>
      </c>
      <c r="G1681" s="2" t="inlineStr">
        <is>
          <t>aggregate ratio, not an average of country shares</t>
        </is>
      </c>
      <c r="H1681" s="2" t="inlineStr"/>
    </row>
    <row r="1682">
      <c r="A1682" s="5" t="inlineStr">
        <is>
          <t>CC-113</t>
        </is>
      </c>
      <c r="B1682" s="2" t="inlineStr">
        <is>
          <t>CC-113:33</t>
        </is>
      </c>
      <c r="C1682" s="2" t="inlineStr">
        <is>
          <t>EEA printed share vs variant A: largest difference across 27 countries</t>
        </is>
      </c>
      <c r="D1682" s="2" t="inlineStr">
        <is>
          <t>0.0</t>
        </is>
      </c>
      <c r="E1682" s="2" t="inlineStr">
        <is>
          <t>percentage points</t>
        </is>
      </c>
      <c r="F1682" s="2" t="inlineStr">
        <is>
          <t>EEA chart data, retrieved 6 Oct 2026; calculated</t>
        </is>
      </c>
      <c r="G1682" s="2" t="inlineStr">
        <is>
          <t>0 means every printed value is reproduced to two decimals</t>
        </is>
      </c>
      <c r="H1682" s="2" t="inlineStr"/>
    </row>
    <row r="1683">
      <c r="A1683" s="5" t="inlineStr">
        <is>
          <t>CC-113</t>
        </is>
      </c>
      <c r="B1683" s="2" t="inlineStr">
        <is>
          <t>CC-113:34</t>
        </is>
      </c>
      <c r="C1683" s="2" t="inlineStr">
        <is>
          <t>COM(2025) 17 Figure 16 (28 Jan 2025), measured: MT / PL / SK / HR / BG</t>
        </is>
      </c>
      <c r="D1683" s="2" t="inlineStr">
        <is>
          <t>3.367 / 2.091 / 1.507 / 1.152 / 1.103</t>
        </is>
      </c>
      <c r="E1683" s="2" t="inlineStr">
        <is>
          <t>% of GDP</t>
        </is>
      </c>
      <c r="F1683" s="2" t="inlineStr">
        <is>
          <t>COM(2025) 17 via Cellar, pixel measurement (measure_fig16.py)</t>
        </is>
      </c>
      <c r="G1683" s="2" t="inlineStr">
        <is>
          <t>variant A: 3.367 / 2.091 / 1.507 / 1.151 / 1.103</t>
        </is>
      </c>
      <c r="H1683" s="2" t="inlineStr"/>
    </row>
    <row r="1684">
      <c r="A1684" s="5" t="inlineStr">
        <is>
          <t>CC-113</t>
        </is>
      </c>
      <c r="B1684" s="2" t="inlineStr">
        <is>
          <t>CC-113:35</t>
        </is>
      </c>
      <c r="C1684" s="2" t="inlineStr">
        <is>
          <t>Largest difference, Figure 16 (measured) vs variant A, top five</t>
        </is>
      </c>
      <c r="D1684" s="2" t="inlineStr">
        <is>
          <t>0.001</t>
        </is>
      </c>
      <c r="E1684" s="2" t="inlineStr">
        <is>
          <t>percentage points</t>
        </is>
      </c>
      <c r="F1684" s="2" t="inlineStr">
        <is>
          <t>calculated</t>
        </is>
      </c>
      <c r="G1684" s="2" t="inlineStr">
        <is>
          <t>for the top five the CIRCABC file (modified 9 Apr 2025) gives the same values as the report of 28 Jan 2025</t>
        </is>
      </c>
      <c r="H1684" s="2" t="inlineStr"/>
    </row>
    <row r="1685">
      <c r="A1685" s="5" t="inlineStr">
        <is>
          <t>CC-113</t>
        </is>
      </c>
      <c r="B1685" s="2" t="inlineStr">
        <is>
          <t>CC-113:36</t>
        </is>
      </c>
      <c r="C1685" s="2" t="inlineStr">
        <is>
          <t>Largest difference, Figure 16 (measured) vs variant A, the 10 bars above 0.8%</t>
        </is>
      </c>
      <c r="D1685" s="2" t="inlineStr">
        <is>
          <t>0.001</t>
        </is>
      </c>
      <c r="E1685" s="2" t="inlineStr">
        <is>
          <t>percentage points</t>
        </is>
      </c>
      <c r="F1685" s="2" t="inlineStr">
        <is>
          <t>calculated</t>
        </is>
      </c>
      <c r="G1685" s="2" t="inlineStr">
        <is>
          <t>pixel measurement, about +/-0.01 pp; lower bars are hidden by the EU-27 line and 2015 markers, not used</t>
        </is>
      </c>
      <c r="H1685" s="2" t="inlineStr"/>
    </row>
    <row r="1686">
      <c r="A1686" s="5" t="inlineStr">
        <is>
          <t>CC-113</t>
        </is>
      </c>
      <c r="B1686" s="2" t="inlineStr">
        <is>
          <t>CC-113:37</t>
        </is>
      </c>
      <c r="C1686" s="2" t="inlineStr">
        <is>
          <t>EEA printed: Malta / Poland / Slovakia / EU-27</t>
        </is>
      </c>
      <c r="D1686" s="2" t="inlineStr">
        <is>
          <t>3.37 / 2.09 / 1.51 / 0.66</t>
        </is>
      </c>
      <c r="E1686" s="2" t="inlineStr">
        <is>
          <t>% of GDP</t>
        </is>
      </c>
      <c r="F1686" s="2" t="inlineStr">
        <is>
          <t>EEA chart data, retrieved 6 Oct 2026</t>
        </is>
      </c>
      <c r="G1686" s="2" t="inlineStr">
        <is>
          <t>EU-27 = EU total over EU GDP</t>
        </is>
      </c>
      <c r="H1686" s="2" t="inlineStr"/>
    </row>
    <row r="1687">
      <c r="A1687" s="5" t="inlineStr">
        <is>
          <t>CC-113</t>
        </is>
      </c>
      <c r="B1687" s="2" t="inlineStr">
        <is>
          <t>CC-113:38</t>
        </is>
      </c>
      <c r="C1687" s="2" t="inlineStr">
        <is>
          <t>EEA lowest three (printed)</t>
        </is>
      </c>
      <c r="D1687" s="2" t="inlineStr">
        <is>
          <t>AT 0.07%, DK 0.08%, EE 0.12%</t>
        </is>
      </c>
      <c r="E1687" s="2" t="inlineStr">
        <is>
          <t>% of GDP</t>
        </is>
      </c>
      <c r="F1687" s="2" t="inlineStr">
        <is>
          <t>EEA chart data, retrieved 6 Oct 2026</t>
        </is>
      </c>
      <c r="G1687" s="2" t="inlineStr">
        <is>
          <t>EEA text: Austria, Denmark and Estonia below 0.2%</t>
        </is>
      </c>
      <c r="H1687" s="2" t="inlineStr"/>
    </row>
    <row r="1688">
      <c r="A1688" s="5" t="inlineStr">
        <is>
          <t>CC-113</t>
        </is>
      </c>
      <c r="B1688" s="2" t="inlineStr">
        <is>
          <t>CC-113:39</t>
        </is>
      </c>
      <c r="C1688" s="2" t="inlineStr">
        <is>
          <t>Inventory GDP vs Eurostat GDP, Malta 2023</t>
        </is>
      </c>
      <c r="D1688" s="2" t="inlineStr">
        <is>
          <t>18796.7 vs 20914.5</t>
        </is>
      </c>
      <c r="E1688" s="2" t="inlineStr">
        <is>
          <t>EUR million</t>
        </is>
      </c>
      <c r="F1688" s="2" t="inlineStr">
        <is>
          <t>EC subsidy inventory 2024 ed. (CIRCABC), retrieved 6 Oct 2026; Eurostat nama_10_gdp (CP_MEUR), updated 2026-10-06, retrieved 6 Oct 2026</t>
        </is>
      </c>
      <c r="G1688" s="2" t="inlineStr">
        <is>
          <t>Eurostat 11.3% higher; Eurostat flag 'none'</t>
        </is>
      </c>
      <c r="H1688" s="2" t="inlineStr"/>
    </row>
    <row r="1689">
      <c r="A1689" s="5" t="inlineStr">
        <is>
          <t>CC-113</t>
        </is>
      </c>
      <c r="B1689" s="2" t="inlineStr">
        <is>
          <t>CC-113:40</t>
        </is>
      </c>
      <c r="C1689" s="2" t="inlineStr">
        <is>
          <t>Inventory GDP vs Eurostat GDP, Slovakia 2023</t>
        </is>
      </c>
      <c r="D1689" s="2" t="inlineStr">
        <is>
          <t>122419.0 vs 123538.7</t>
        </is>
      </c>
      <c r="E1689" s="2" t="inlineStr">
        <is>
          <t>EUR million</t>
        </is>
      </c>
      <c r="F1689" s="2" t="inlineStr">
        <is>
          <t>EC subsidy inventory 2024 ed. (CIRCABC), retrieved 6 Oct 2026; Eurostat nama_10_gdp (CP_MEUR), updated 2026-10-06, retrieved 6 Oct 2026</t>
        </is>
      </c>
      <c r="G1689" s="2" t="inlineStr">
        <is>
          <t>Eurostat 0.9% higher</t>
        </is>
      </c>
      <c r="H1689" s="2" t="inlineStr"/>
    </row>
    <row r="1690">
      <c r="A1690" s="5" t="inlineStr">
        <is>
          <t>CC-113</t>
        </is>
      </c>
      <c r="B1690" s="2" t="inlineStr">
        <is>
          <t>CC-113:41</t>
        </is>
      </c>
      <c r="C1690" s="2" t="inlineStr">
        <is>
          <t>Slovakia: TBC stand-in amount in 2023</t>
        </is>
      </c>
      <c r="D1690" s="2" t="inlineStr">
        <is>
          <t>146.4</t>
        </is>
      </c>
      <c r="E1690" s="2" t="inlineStr">
        <is>
          <t>EUR million</t>
        </is>
      </c>
      <c r="F1690" s="2" t="inlineStr">
        <is>
          <t>EC subsidy inventory 2024 ed. (CIRCABC), retrieved 6 Oct 2026</t>
        </is>
      </c>
      <c r="G1690" s="2" t="inlineStr"/>
      <c r="H1690" s="2" t="inlineStr"/>
    </row>
    <row r="1691">
      <c r="A1691" s="5" t="inlineStr">
        <is>
          <t>CC-113</t>
        </is>
      </c>
      <c r="B1691" s="2" t="inlineStr">
        <is>
          <t>CC-113:42</t>
        </is>
      </c>
      <c r="C1691" s="2" t="inlineStr">
        <is>
          <t>Malta's 2023 amount that would put it below the fourth country (HR, 1.15%) on the EEA basis</t>
        </is>
      </c>
      <c r="D1691" s="2" t="inlineStr">
        <is>
          <t>216.4</t>
        </is>
      </c>
      <c r="E1691" s="2" t="inlineStr">
        <is>
          <t>EUR million</t>
        </is>
      </c>
      <c r="F1691" s="2" t="inlineStr">
        <is>
          <t>calculated</t>
        </is>
      </c>
      <c r="G1691" s="2" t="inlineStr">
        <is>
          <t>to fall out of the top three on the EEA's basis Malta's 2023 amount would have to be under this, below even the IMF-based EUR 293m (1.4% of Eurostat GDP)</t>
        </is>
      </c>
      <c r="H1691" s="2" t="inlineStr"/>
    </row>
    <row r="1692">
      <c r="A1692" s="5" t="inlineStr">
        <is>
          <t>CC-113</t>
        </is>
      </c>
      <c r="B1692" s="2" t="inlineStr">
        <is>
          <t>CC-113:43</t>
        </is>
      </c>
      <c r="C1692" s="2" t="inlineStr">
        <is>
          <t>Malta FFS item: Energy Support Measures (compensation to Enemalta)</t>
        </is>
      </c>
      <c r="D1692" s="2" t="inlineStr">
        <is>
          <t>246.55 (2022) / 580.00 (2023)</t>
        </is>
      </c>
      <c r="E1692" s="2" t="inlineStr">
        <is>
          <t>EUR million (2023 prices)</t>
        </is>
      </c>
      <c r="F1692" s="2" t="inlineStr">
        <is>
          <t>EC subsidy inventory 2024 ed. (CIRCABC), retrieved 6 Oct 2026 (aggregated)</t>
        </is>
      </c>
      <c r="G1692" s="2" t="inlineStr">
        <is>
          <t>natural gas; income or price support (consumer price guarantee, cost support); created for the price crisis; cost basis: actual costs; to be confirmed: no</t>
        </is>
      </c>
      <c r="H1692" s="2" t="inlineStr"/>
    </row>
    <row r="1693">
      <c r="A1693" s="5" t="inlineStr">
        <is>
          <t>CC-113</t>
        </is>
      </c>
      <c r="B1693" s="2" t="inlineStr">
        <is>
          <t>CC-113:44</t>
        </is>
      </c>
      <c r="C1693" s="2" t="inlineStr">
        <is>
          <t>Malta FFS item: Gas Stabilisation Fund</t>
        </is>
      </c>
      <c r="D1693" s="2" t="inlineStr">
        <is>
          <t>17.20 (2022) / 15.00 (2023)</t>
        </is>
      </c>
      <c r="E1693" s="2" t="inlineStr">
        <is>
          <t>EUR million (2023 prices)</t>
        </is>
      </c>
      <c r="F1693" s="2" t="inlineStr">
        <is>
          <t>EC subsidy inventory 2024 ed. (CIRCABC), retrieved 6 Oct 2026 (aggregated)</t>
        </is>
      </c>
      <c r="G1693" s="2" t="inlineStr">
        <is>
          <t>natural gas; income or price support; created for the price crisis; cost basis: actual costs; to be confirmed: no</t>
        </is>
      </c>
      <c r="H1693" s="2" t="inlineStr"/>
    </row>
    <row r="1694">
      <c r="A1694" s="5" t="inlineStr">
        <is>
          <t>CC-113</t>
        </is>
      </c>
      <c r="B1694" s="2" t="inlineStr">
        <is>
          <t>CC-113:45</t>
        </is>
      </c>
      <c r="C1694" s="2" t="inlineStr">
        <is>
          <t>Malta FFS item: Cut in excise duty on petrol and diesel</t>
        </is>
      </c>
      <c r="D1694" s="2" t="inlineStr">
        <is>
          <t>28.21 (2022) / 0.00 (2023)</t>
        </is>
      </c>
      <c r="E1694" s="2" t="inlineStr">
        <is>
          <t>EUR million (2023 prices)</t>
        </is>
      </c>
      <c r="F1694" s="2" t="inlineStr">
        <is>
          <t>EC subsidy inventory 2024 ed. (CIRCABC), retrieved 6 Oct 2026 (aggregated)</t>
        </is>
      </c>
      <c r="G1694" s="2" t="inlineStr">
        <is>
          <t>oil; tax expenditure; created for the price crisis; 2023 'to be confirmed' (2022 value used as stand-in); cost basis: estimate; to be confirmed: yes</t>
        </is>
      </c>
      <c r="H1694" s="2" t="inlineStr"/>
    </row>
    <row r="1695">
      <c r="A1695" s="5" t="inlineStr">
        <is>
          <t>CC-113</t>
        </is>
      </c>
      <c r="B1695" s="2" t="inlineStr">
        <is>
          <t>CC-113:46</t>
        </is>
      </c>
      <c r="C1695" s="2" t="inlineStr">
        <is>
          <t>Malta FFS item: Excise exemptions: inland navigation, fishing, domestic flights (three measures)</t>
        </is>
      </c>
      <c r="D1695" s="2" t="inlineStr">
        <is>
          <t>9.48 (2022) / 8.50 (2023)</t>
        </is>
      </c>
      <c r="E1695" s="2" t="inlineStr">
        <is>
          <t>EUR million (2023 prices)</t>
        </is>
      </c>
      <c r="F1695" s="2" t="inlineStr">
        <is>
          <t>EC subsidy inventory 2024 ed. (CIRCABC), retrieved 6 Oct 2026 (aggregated)</t>
        </is>
      </c>
      <c r="G1695" s="2" t="inlineStr">
        <is>
          <t>oil; tax expenditures; cost basis: estimate; to be confirmed: no</t>
        </is>
      </c>
      <c r="H1695" s="2" t="inlineStr"/>
    </row>
    <row r="1696">
      <c r="A1696" s="5" t="inlineStr">
        <is>
          <t>CC-113</t>
        </is>
      </c>
      <c r="B1696" s="2" t="inlineStr">
        <is>
          <t>CC-113:47</t>
        </is>
      </c>
      <c r="C1696" s="2" t="inlineStr">
        <is>
          <t>Malta FFS item: Melita TransGas pipeline (Malta-Sicily)</t>
        </is>
      </c>
      <c r="D1696" s="2" t="inlineStr">
        <is>
          <t>1.36 (2022) / 1.20 (2023)</t>
        </is>
      </c>
      <c r="E1696" s="2" t="inlineStr">
        <is>
          <t>EUR million (2023 prices)</t>
        </is>
      </c>
      <c r="F1696" s="2" t="inlineStr">
        <is>
          <t>EC subsidy inventory 2024 ed. (CIRCABC), retrieved 6 Oct 2026 (aggregated)</t>
        </is>
      </c>
      <c r="G1696" s="2" t="inlineStr">
        <is>
          <t>natural gas; grant; cost basis: actual costs; to be confirmed: no</t>
        </is>
      </c>
      <c r="H1696" s="2" t="inlineStr"/>
    </row>
    <row r="1697">
      <c r="A1697" s="5" t="inlineStr">
        <is>
          <t>CC-113</t>
        </is>
      </c>
      <c r="B1697" s="2" t="inlineStr">
        <is>
          <t>CC-113:48</t>
        </is>
      </c>
      <c r="C1697" s="2" t="inlineStr">
        <is>
          <t>Malta: 'Energy Support Measures' share of 2023 FFS (excl. TBC)</t>
        </is>
      </c>
      <c r="D1697" s="2" t="inlineStr">
        <is>
          <t>95.9</t>
        </is>
      </c>
      <c r="E1697" s="2" t="inlineStr">
        <is>
          <t>%</t>
        </is>
      </c>
      <c r="F1697" s="2" t="inlineStr">
        <is>
          <t>calculated</t>
        </is>
      </c>
      <c r="G1697" s="2" t="inlineStr"/>
      <c r="H1697" s="2" t="inlineStr"/>
    </row>
    <row r="1698">
      <c r="A1698" s="5" t="inlineStr">
        <is>
          <t>CC-113</t>
        </is>
      </c>
      <c r="B1698" s="2" t="inlineStr">
        <is>
          <t>CC-113:49</t>
        </is>
      </c>
      <c r="C1698" s="2" t="inlineStr">
        <is>
          <t>Malta: the Energy Support Measures line alone, share of GDP 2023 (inventory GDP)</t>
        </is>
      </c>
      <c r="D1698" s="2" t="inlineStr">
        <is>
          <t>3.09</t>
        </is>
      </c>
      <c r="E1698" s="2" t="inlineStr">
        <is>
          <t>% of GDP</t>
        </is>
      </c>
      <c r="F1698" s="2" t="inlineStr">
        <is>
          <t>calculated</t>
        </is>
      </c>
      <c r="G1698" s="2" t="inlineStr">
        <is>
          <t>the total incl. stand-in is 3.37%</t>
        </is>
      </c>
      <c r="H1698" s="2" t="inlineStr"/>
    </row>
    <row r="1699">
      <c r="A1699" s="5" t="inlineStr">
        <is>
          <t>CC-113</t>
        </is>
      </c>
      <c r="B1699" s="2" t="inlineStr">
        <is>
          <t>CC-113:50</t>
        </is>
      </c>
      <c r="C1699" s="2" t="inlineStr">
        <is>
          <t>Malta: crisis-related share of 2023 FFS (excl. TBC)</t>
        </is>
      </c>
      <c r="D1699" s="2" t="inlineStr">
        <is>
          <t>98.4</t>
        </is>
      </c>
      <c r="E1699" s="2" t="inlineStr">
        <is>
          <t>%</t>
        </is>
      </c>
      <c r="F1699" s="2" t="inlineStr">
        <is>
          <t>calculated</t>
        </is>
      </c>
      <c r="G1699" s="2" t="inlineStr">
        <is>
          <t>items flagged 'Created or modified to address energy price rising'</t>
        </is>
      </c>
      <c r="H1699" s="2" t="inlineStr"/>
    </row>
    <row r="1700">
      <c r="A1700" s="5" t="inlineStr">
        <is>
          <t>CC-113</t>
        </is>
      </c>
      <c r="B1700" s="2" t="inlineStr">
        <is>
          <t>CC-113:51</t>
        </is>
      </c>
      <c r="C1700" s="2" t="inlineStr">
        <is>
          <t>Malta: TBC stand-in in 2023 (excise cut on petrol and diesel, 2022 value)</t>
        </is>
      </c>
      <c r="D1700" s="2" t="inlineStr">
        <is>
          <t>28.21</t>
        </is>
      </c>
      <c r="E1700" s="2" t="inlineStr">
        <is>
          <t>EUR million</t>
        </is>
      </c>
      <c r="F1700" s="2" t="inlineStr">
        <is>
          <t>EC subsidy inventory 2024 ed. (CIRCABC), retrieved 6 Oct 2026</t>
        </is>
      </c>
      <c r="G1700" s="2" t="inlineStr"/>
      <c r="H1700" s="2" t="inlineStr"/>
    </row>
    <row r="1701">
      <c r="A1701" s="5" t="inlineStr">
        <is>
          <t>CC-113</t>
        </is>
      </c>
      <c r="B1701" s="2" t="inlineStr">
        <is>
          <t>CC-113:52</t>
        </is>
      </c>
      <c r="C1701" s="2" t="inlineStr">
        <is>
          <t>Malta FFS share of GDP and rank, 2015 (inventory pivot, excl. TBC)</t>
        </is>
      </c>
      <c r="D1701" s="2" t="inlineStr">
        <is>
          <t>0.09% (rank 26 of 27)</t>
        </is>
      </c>
      <c r="E1701" s="2" t="inlineStr">
        <is>
          <t>% of GDP</t>
        </is>
      </c>
      <c r="F1701" s="2" t="inlineStr">
        <is>
          <t>EC subsidy inventory 2024 ed. (CIRCABC), retrieved 6 Oct 2026</t>
        </is>
      </c>
      <c r="G1701" s="2" t="inlineStr">
        <is>
          <t>first: EL</t>
        </is>
      </c>
      <c r="H1701" s="2" t="inlineStr"/>
    </row>
    <row r="1702">
      <c r="A1702" s="5" t="inlineStr">
        <is>
          <t>CC-113</t>
        </is>
      </c>
      <c r="B1702" s="2" t="inlineStr">
        <is>
          <t>CC-113:53</t>
        </is>
      </c>
      <c r="C1702" s="2" t="inlineStr">
        <is>
          <t>Malta FFS share of GDP and rank, 2016 (inventory pivot, excl. TBC)</t>
        </is>
      </c>
      <c r="D1702" s="2" t="inlineStr">
        <is>
          <t>0.08% (rank 26 of 27)</t>
        </is>
      </c>
      <c r="E1702" s="2" t="inlineStr">
        <is>
          <t>% of GDP</t>
        </is>
      </c>
      <c r="F1702" s="2" t="inlineStr">
        <is>
          <t>EC subsidy inventory 2024 ed. (CIRCABC), retrieved 6 Oct 2026</t>
        </is>
      </c>
      <c r="G1702" s="2" t="inlineStr">
        <is>
          <t>first: EL</t>
        </is>
      </c>
      <c r="H1702" s="2" t="inlineStr"/>
    </row>
    <row r="1703">
      <c r="A1703" s="5" t="inlineStr">
        <is>
          <t>CC-113</t>
        </is>
      </c>
      <c r="B1703" s="2" t="inlineStr">
        <is>
          <t>CC-113:54</t>
        </is>
      </c>
      <c r="C1703" s="2" t="inlineStr">
        <is>
          <t>Malta FFS share of GDP and rank, 2017 (inventory pivot, excl. TBC)</t>
        </is>
      </c>
      <c r="D1703" s="2" t="inlineStr">
        <is>
          <t>0.09% (rank 26 of 27)</t>
        </is>
      </c>
      <c r="E1703" s="2" t="inlineStr">
        <is>
          <t>% of GDP</t>
        </is>
      </c>
      <c r="F1703" s="2" t="inlineStr">
        <is>
          <t>EC subsidy inventory 2024 ed. (CIRCABC), retrieved 6 Oct 2026</t>
        </is>
      </c>
      <c r="G1703" s="2" t="inlineStr">
        <is>
          <t>first: EL</t>
        </is>
      </c>
      <c r="H1703" s="2" t="inlineStr"/>
    </row>
    <row r="1704">
      <c r="A1704" s="5" t="inlineStr">
        <is>
          <t>CC-113</t>
        </is>
      </c>
      <c r="B1704" s="2" t="inlineStr">
        <is>
          <t>CC-113:55</t>
        </is>
      </c>
      <c r="C1704" s="2" t="inlineStr">
        <is>
          <t>Malta FFS share of GDP and rank, 2018 (inventory pivot, excl. TBC)</t>
        </is>
      </c>
      <c r="D1704" s="2" t="inlineStr">
        <is>
          <t>0.08% (rank 27 of 27)</t>
        </is>
      </c>
      <c r="E1704" s="2" t="inlineStr">
        <is>
          <t>% of GDP</t>
        </is>
      </c>
      <c r="F1704" s="2" t="inlineStr">
        <is>
          <t>EC subsidy inventory 2024 ed. (CIRCABC), retrieved 6 Oct 2026</t>
        </is>
      </c>
      <c r="G1704" s="2" t="inlineStr">
        <is>
          <t>first: EL</t>
        </is>
      </c>
      <c r="H1704" s="2" t="inlineStr"/>
    </row>
    <row r="1705">
      <c r="A1705" s="5" t="inlineStr">
        <is>
          <t>CC-113</t>
        </is>
      </c>
      <c r="B1705" s="2" t="inlineStr">
        <is>
          <t>CC-113:56</t>
        </is>
      </c>
      <c r="C1705" s="2" t="inlineStr">
        <is>
          <t>Malta FFS share of GDP and rank, 2019 (inventory pivot, excl. TBC)</t>
        </is>
      </c>
      <c r="D1705" s="2" t="inlineStr">
        <is>
          <t>0.09% (rank 26 of 27)</t>
        </is>
      </c>
      <c r="E1705" s="2" t="inlineStr">
        <is>
          <t>% of GDP</t>
        </is>
      </c>
      <c r="F1705" s="2" t="inlineStr">
        <is>
          <t>EC subsidy inventory 2024 ed. (CIRCABC), retrieved 6 Oct 2026</t>
        </is>
      </c>
      <c r="G1705" s="2" t="inlineStr">
        <is>
          <t>first: EL</t>
        </is>
      </c>
      <c r="H1705" s="2" t="inlineStr"/>
    </row>
    <row r="1706">
      <c r="A1706" s="5" t="inlineStr">
        <is>
          <t>CC-113</t>
        </is>
      </c>
      <c r="B1706" s="2" t="inlineStr">
        <is>
          <t>CC-113:57</t>
        </is>
      </c>
      <c r="C1706" s="2" t="inlineStr">
        <is>
          <t>Malta FFS share of GDP and rank, 2020 (inventory pivot, excl. TBC)</t>
        </is>
      </c>
      <c r="D1706" s="2" t="inlineStr">
        <is>
          <t>0.10% (rank 24 of 27)</t>
        </is>
      </c>
      <c r="E1706" s="2" t="inlineStr">
        <is>
          <t>% of GDP</t>
        </is>
      </c>
      <c r="F1706" s="2" t="inlineStr">
        <is>
          <t>EC subsidy inventory 2024 ed. (CIRCABC), retrieved 6 Oct 2026</t>
        </is>
      </c>
      <c r="G1706" s="2" t="inlineStr">
        <is>
          <t>first: CY</t>
        </is>
      </c>
      <c r="H1706" s="2" t="inlineStr"/>
    </row>
    <row r="1707">
      <c r="A1707" s="5" t="inlineStr">
        <is>
          <t>CC-113</t>
        </is>
      </c>
      <c r="B1707" s="2" t="inlineStr">
        <is>
          <t>CC-113:58</t>
        </is>
      </c>
      <c r="C1707" s="2" t="inlineStr">
        <is>
          <t>Malta FFS share of GDP and rank, 2021 (inventory pivot, excl. TBC)</t>
        </is>
      </c>
      <c r="D1707" s="2" t="inlineStr">
        <is>
          <t>1.33% (rank 1 of 27)</t>
        </is>
      </c>
      <c r="E1707" s="2" t="inlineStr">
        <is>
          <t>% of GDP</t>
        </is>
      </c>
      <c r="F1707" s="2" t="inlineStr">
        <is>
          <t>EC subsidy inventory 2024 ed. (CIRCABC), retrieved 6 Oct 2026</t>
        </is>
      </c>
      <c r="G1707" s="2" t="inlineStr">
        <is>
          <t>first: MT</t>
        </is>
      </c>
      <c r="H1707" s="2" t="inlineStr"/>
    </row>
    <row r="1708">
      <c r="A1708" s="5" t="inlineStr">
        <is>
          <t>CC-113</t>
        </is>
      </c>
      <c r="B1708" s="2" t="inlineStr">
        <is>
          <t>CC-113:59</t>
        </is>
      </c>
      <c r="C1708" s="2" t="inlineStr">
        <is>
          <t>Malta FFS share of GDP and rank, 2022 (inventory pivot, excl. TBC)</t>
        </is>
      </c>
      <c r="D1708" s="2" t="inlineStr">
        <is>
          <t>1.71% (rank 2 of 27)</t>
        </is>
      </c>
      <c r="E1708" s="2" t="inlineStr">
        <is>
          <t>% of GDP</t>
        </is>
      </c>
      <c r="F1708" s="2" t="inlineStr">
        <is>
          <t>EC subsidy inventory 2024 ed. (CIRCABC), retrieved 6 Oct 2026</t>
        </is>
      </c>
      <c r="G1708" s="2" t="inlineStr">
        <is>
          <t>first: HR</t>
        </is>
      </c>
      <c r="H1708" s="2" t="inlineStr"/>
    </row>
    <row r="1709">
      <c r="A1709" s="5" t="inlineStr">
        <is>
          <t>CC-113</t>
        </is>
      </c>
      <c r="B1709" s="2" t="inlineStr">
        <is>
          <t>CC-113:60</t>
        </is>
      </c>
      <c r="C1709" s="2" t="inlineStr">
        <is>
          <t>Malta FFS share of GDP and rank, 2023 (inventory pivot, excl. TBC)</t>
        </is>
      </c>
      <c r="D1709" s="2" t="inlineStr">
        <is>
          <t>3.22% (rank 1 of 27)</t>
        </is>
      </c>
      <c r="E1709" s="2" t="inlineStr">
        <is>
          <t>% of GDP</t>
        </is>
      </c>
      <c r="F1709" s="2" t="inlineStr">
        <is>
          <t>EC subsidy inventory 2024 ed. (CIRCABC), retrieved 6 Oct 2026</t>
        </is>
      </c>
      <c r="G1709" s="2" t="inlineStr">
        <is>
          <t>first: MT</t>
        </is>
      </c>
      <c r="H1709" s="2" t="inlineStr"/>
    </row>
    <row r="1710">
      <c r="A1710" s="5" t="inlineStr">
        <is>
          <t>CC-113</t>
        </is>
      </c>
      <c r="B1710" s="2" t="inlineStr">
        <is>
          <t>CC-113:61</t>
        </is>
      </c>
      <c r="C1710" s="2" t="inlineStr">
        <is>
          <t>Malta 2023 FFS vs 2022 (inventory, excl. TBC)</t>
        </is>
      </c>
      <c r="D1710" s="2" t="inlineStr">
        <is>
          <t>99.7</t>
        </is>
      </c>
      <c r="E1710" s="2" t="inlineStr">
        <is>
          <t>% change</t>
        </is>
      </c>
      <c r="F1710" s="2" t="inlineStr">
        <is>
          <t>calculated</t>
        </is>
      </c>
      <c r="G1710" s="2" t="inlineStr">
        <is>
          <t>302.8 -&gt; 604.7 EUR million</t>
        </is>
      </c>
      <c r="H1710" s="2" t="inlineStr"/>
    </row>
    <row r="1711">
      <c r="A1711" s="5" t="inlineStr">
        <is>
          <t>CC-113</t>
        </is>
      </c>
      <c r="B1711" s="2" t="inlineStr">
        <is>
          <t>CC-113:62</t>
        </is>
      </c>
      <c r="C1711" s="2" t="inlineStr">
        <is>
          <t>EEA Malta country chart (Europe's environment 2025): 2015, 2020, 2021, 2022, 2023</t>
        </is>
      </c>
      <c r="D1711" s="2" t="inlineStr">
        <is>
          <t>0.09 / 0.10 / 1.33 / 1.71 / 3.37</t>
        </is>
      </c>
      <c r="E1711" s="2" t="inlineStr">
        <is>
          <t>% of GDP</t>
        </is>
      </c>
      <c r="F1711" s="2" t="inlineStr">
        <is>
          <t>EEA, retrieved 6 Oct 2026</t>
        </is>
      </c>
      <c r="G1711" s="2" t="inlineStr">
        <is>
          <t>same values as the inventory pivot (2023 incl. TBC)</t>
        </is>
      </c>
      <c r="H1711" s="2" t="inlineStr"/>
    </row>
    <row r="1712">
      <c r="A1712" s="5" t="inlineStr">
        <is>
          <t>CC-113</t>
        </is>
      </c>
      <c r="B1712" s="2" t="inlineStr">
        <is>
          <t>CC-113:63</t>
        </is>
      </c>
      <c r="C1712" s="2" t="inlineStr">
        <is>
          <t>Member States whose FFS fell 2022 to 2023 (incl. TBC)</t>
        </is>
      </c>
      <c r="D1712" s="2" t="inlineStr">
        <is>
          <t>19</t>
        </is>
      </c>
      <c r="E1712" s="2" t="inlineStr">
        <is>
          <t>of 27</t>
        </is>
      </c>
      <c r="F1712" s="2" t="inlineStr">
        <is>
          <t>calculated</t>
        </is>
      </c>
      <c r="G1712" s="2" t="inlineStr">
        <is>
          <t>EEA text: 'declined in 20 EU Member States' (not part of the claim); Malta rose</t>
        </is>
      </c>
      <c r="H1712" s="2" t="inlineStr"/>
    </row>
    <row r="1713">
      <c r="A1713" s="5" t="inlineStr">
        <is>
          <t>CC-113</t>
        </is>
      </c>
      <c r="B1713" s="2" t="inlineStr">
        <is>
          <t>CC-113:64</t>
        </is>
      </c>
      <c r="C1713" s="2" t="inlineStr">
        <is>
          <t>Malta 2023: electricity imports / (gross production + imports)</t>
        </is>
      </c>
      <c r="D1713" s="2" t="inlineStr">
        <is>
          <t>21.7</t>
        </is>
      </c>
      <c r="E1713" s="2" t="inlineStr">
        <is>
          <t>%</t>
        </is>
      </c>
      <c r="F1713" s="2" t="inlineStr">
        <is>
          <t>Eurostat nrg_cb_e, retrieved 6 Oct 2026</t>
        </is>
      </c>
      <c r="G1713" s="2" t="inlineStr">
        <is>
          <t>648.4 of 2992.7 GWh</t>
        </is>
      </c>
      <c r="H1713" s="2" t="inlineStr"/>
    </row>
    <row r="1714">
      <c r="A1714" s="5" t="inlineStr">
        <is>
          <t>CC-113</t>
        </is>
      </c>
      <c r="B1714" s="2" t="inlineStr">
        <is>
          <t>CC-113:65</t>
        </is>
      </c>
      <c r="C1714" s="2" t="inlineStr">
        <is>
          <t>Sensitivity: Malta's 2023 share (EEA basis) if the import share of the Enemalta line were not counted</t>
        </is>
      </c>
      <c r="D1714" s="2" t="inlineStr">
        <is>
          <t>2.70% (rank 1 of 27)</t>
        </is>
      </c>
      <c r="E1714" s="2" t="inlineStr">
        <is>
          <t>% of GDP</t>
        </is>
      </c>
      <c r="F1714" s="2" t="inlineStr">
        <is>
          <t>calculated</t>
        </is>
      </c>
      <c r="G1714" s="2" t="inlineStr">
        <is>
          <t>imports are not all non-fossil; a bound on the pro-rating question, not an estimate</t>
        </is>
      </c>
      <c r="H1714" s="2" t="inlineStr"/>
    </row>
    <row r="1715">
      <c r="A1715" s="5" t="inlineStr">
        <is>
          <t>CC-113</t>
        </is>
      </c>
      <c r="B1715" s="2" t="inlineStr">
        <is>
          <t>CC-113:66</t>
        </is>
      </c>
      <c r="C1715" s="2" t="inlineStr">
        <is>
          <t>Malta general government subsidies (all purposes, D.3), 2019</t>
        </is>
      </c>
      <c r="D1715" s="2" t="inlineStr">
        <is>
          <t>195.1 (1.3% of GDP)</t>
        </is>
      </c>
      <c r="E1715" s="2" t="inlineStr">
        <is>
          <t>EUR million</t>
        </is>
      </c>
      <c r="F1715" s="2" t="inlineStr">
        <is>
          <t>Eurostat gov_10a_main, retrieved 6 Oct 2026</t>
        </is>
      </c>
      <c r="G1715" s="2" t="inlineStr"/>
      <c r="H1715" s="2" t="inlineStr"/>
    </row>
    <row r="1716">
      <c r="A1716" s="5" t="inlineStr">
        <is>
          <t>CC-113</t>
        </is>
      </c>
      <c r="B1716" s="2" t="inlineStr">
        <is>
          <t>CC-113:67</t>
        </is>
      </c>
      <c r="C1716" s="2" t="inlineStr">
        <is>
          <t>Malta general government subsidies (all purposes, D.3), 2021</t>
        </is>
      </c>
      <c r="D1716" s="2" t="inlineStr">
        <is>
          <t>698.0 (4.2% of GDP)</t>
        </is>
      </c>
      <c r="E1716" s="2" t="inlineStr">
        <is>
          <t>EUR million</t>
        </is>
      </c>
      <c r="F1716" s="2" t="inlineStr">
        <is>
          <t>Eurostat gov_10a_main, retrieved 6 Oct 2026</t>
        </is>
      </c>
      <c r="G1716" s="2" t="inlineStr"/>
      <c r="H1716" s="2" t="inlineStr"/>
    </row>
    <row r="1717">
      <c r="A1717" s="5" t="inlineStr">
        <is>
          <t>CC-113</t>
        </is>
      </c>
      <c r="B1717" s="2" t="inlineStr">
        <is>
          <t>CC-113:68</t>
        </is>
      </c>
      <c r="C1717" s="2" t="inlineStr">
        <is>
          <t>Malta general government subsidies (all purposes, D.3), 2022</t>
        </is>
      </c>
      <c r="D1717" s="2" t="inlineStr">
        <is>
          <t>823.9 (4.6% of GDP)</t>
        </is>
      </c>
      <c r="E1717" s="2" t="inlineStr">
        <is>
          <t>EUR million</t>
        </is>
      </c>
      <c r="F1717" s="2" t="inlineStr">
        <is>
          <t>Eurostat gov_10a_main, retrieved 6 Oct 2026</t>
        </is>
      </c>
      <c r="G1717" s="2" t="inlineStr"/>
      <c r="H1717" s="2" t="inlineStr"/>
    </row>
    <row r="1718">
      <c r="A1718" s="5" t="inlineStr">
        <is>
          <t>CC-113</t>
        </is>
      </c>
      <c r="B1718" s="2" t="inlineStr">
        <is>
          <t>CC-113:69</t>
        </is>
      </c>
      <c r="C1718" s="2" t="inlineStr">
        <is>
          <t>Malta general government subsidies (all purposes, D.3), 2023</t>
        </is>
      </c>
      <c r="D1718" s="2" t="inlineStr">
        <is>
          <t>659.7 (3.2% of GDP)</t>
        </is>
      </c>
      <c r="E1718" s="2" t="inlineStr">
        <is>
          <t>EUR million</t>
        </is>
      </c>
      <c r="F1718" s="2" t="inlineStr">
        <is>
          <t>Eurostat gov_10a_main, retrieved 6 Oct 2026</t>
        </is>
      </c>
      <c r="G1718" s="2" t="inlineStr"/>
      <c r="H1718" s="2" t="inlineStr"/>
    </row>
    <row r="1719">
      <c r="A1719" s="5" t="inlineStr">
        <is>
          <t>CC-113</t>
        </is>
      </c>
      <c r="B1719" s="2" t="inlineStr">
        <is>
          <t>CC-113:70</t>
        </is>
      </c>
      <c r="C1719" s="2" t="inlineStr">
        <is>
          <t>Malta general government subsidies (all purposes, D.3), 2024</t>
        </is>
      </c>
      <c r="D1719" s="2" t="inlineStr">
        <is>
          <t>509.3 (2.2% of GDP)</t>
        </is>
      </c>
      <c r="E1719" s="2" t="inlineStr">
        <is>
          <t>EUR million</t>
        </is>
      </c>
      <c r="F1719" s="2" t="inlineStr">
        <is>
          <t>Eurostat gov_10a_main, retrieved 6 Oct 2026</t>
        </is>
      </c>
      <c r="G1719" s="2" t="inlineStr"/>
      <c r="H1719" s="2" t="inlineStr"/>
    </row>
    <row r="1720">
      <c r="A1720" s="5" t="inlineStr">
        <is>
          <t>CC-113</t>
        </is>
      </c>
      <c r="B1720" s="2" t="inlineStr">
        <is>
          <t>CC-113:71</t>
        </is>
      </c>
      <c r="C1720" s="2" t="inlineStr">
        <is>
          <t>Energy support measures (Government of Malta), 2022, in EUR with Eurostat GDP</t>
        </is>
      </c>
      <c r="D1720" s="2" t="inlineStr">
        <is>
          <t>450.7</t>
        </is>
      </c>
      <c r="E1720" s="2" t="inlineStr">
        <is>
          <t>EUR million</t>
        </is>
      </c>
      <c r="F1720" s="2" t="inlineStr">
        <is>
          <t>transcribed % of GDP x Eurostat GDP</t>
        </is>
      </c>
      <c r="G1720" s="2" t="inlineStr">
        <is>
          <t>2.5% of GDP</t>
        </is>
      </c>
      <c r="H1720" s="2" t="inlineStr"/>
    </row>
    <row r="1721">
      <c r="A1721" s="5" t="inlineStr">
        <is>
          <t>CC-113</t>
        </is>
      </c>
      <c r="B1721" s="2" t="inlineStr">
        <is>
          <t>CC-113:72</t>
        </is>
      </c>
      <c r="C1721" s="2" t="inlineStr">
        <is>
          <t>Energy support measures (Government of Malta), 2023, in EUR with Eurostat GDP</t>
        </is>
      </c>
      <c r="D1721" s="2" t="inlineStr">
        <is>
          <t>355.5</t>
        </is>
      </c>
      <c r="E1721" s="2" t="inlineStr">
        <is>
          <t>EUR million</t>
        </is>
      </c>
      <c r="F1721" s="2" t="inlineStr">
        <is>
          <t>transcribed % of GDP x Eurostat GDP</t>
        </is>
      </c>
      <c r="G1721" s="2" t="inlineStr">
        <is>
          <t>1.7% of GDP</t>
        </is>
      </c>
      <c r="H1721" s="2" t="inlineStr"/>
    </row>
    <row r="1722">
      <c r="A1722" s="5" t="inlineStr">
        <is>
          <t>CC-113</t>
        </is>
      </c>
      <c r="B1722" s="2" t="inlineStr">
        <is>
          <t>CC-113:73</t>
        </is>
      </c>
      <c r="C1722" s="2" t="inlineStr">
        <is>
          <t>Energy subsidies (IMF Article IV), 2022, in EUR with Eurostat GDP</t>
        </is>
      </c>
      <c r="D1722" s="2" t="inlineStr">
        <is>
          <t>324.5</t>
        </is>
      </c>
      <c r="E1722" s="2" t="inlineStr">
        <is>
          <t>EUR million</t>
        </is>
      </c>
      <c r="F1722" s="2" t="inlineStr">
        <is>
          <t>transcribed % of GDP x Eurostat GDP</t>
        </is>
      </c>
      <c r="G1722" s="2" t="inlineStr">
        <is>
          <t>1.8% of GDP</t>
        </is>
      </c>
      <c r="H1722" s="2" t="inlineStr"/>
    </row>
    <row r="1723">
      <c r="A1723" s="5" t="inlineStr">
        <is>
          <t>CC-113</t>
        </is>
      </c>
      <c r="B1723" s="2" t="inlineStr">
        <is>
          <t>CC-113:74</t>
        </is>
      </c>
      <c r="C1723" s="2" t="inlineStr">
        <is>
          <t>Energy subsidies (IMF Article IV), 2023, in EUR with Eurostat GDP</t>
        </is>
      </c>
      <c r="D1723" s="2" t="inlineStr">
        <is>
          <t>292.8</t>
        </is>
      </c>
      <c r="E1723" s="2" t="inlineStr">
        <is>
          <t>EUR million</t>
        </is>
      </c>
      <c r="F1723" s="2" t="inlineStr">
        <is>
          <t>transcribed % of GDP x Eurostat GDP</t>
        </is>
      </c>
      <c r="G1723" s="2" t="inlineStr">
        <is>
          <t>1.4% of GDP</t>
        </is>
      </c>
      <c r="H1723" s="2" t="inlineStr"/>
    </row>
    <row r="1724">
      <c r="A1724" s="5" t="inlineStr">
        <is>
          <t>CC-113</t>
        </is>
      </c>
      <c r="B1724" s="2" t="inlineStr">
        <is>
          <t>CC-113:75</t>
        </is>
      </c>
      <c r="C1724" s="2" t="inlineStr">
        <is>
          <t>Inventory Enemalta line 2022 vs Government and IMF 2022</t>
        </is>
      </c>
      <c r="D1724" s="2" t="inlineStr">
        <is>
          <t>246.6 vs 450.7 vs 324.5</t>
        </is>
      </c>
      <c r="E1724" s="2" t="inlineStr">
        <is>
          <t>EUR million</t>
        </is>
      </c>
      <c r="F1724" s="2" t="inlineStr">
        <is>
          <t>calculated</t>
        </is>
      </c>
      <c r="G1724" s="2" t="inlineStr">
        <is>
          <t>the database is lower in 2022</t>
        </is>
      </c>
      <c r="H1724" s="2" t="inlineStr"/>
    </row>
    <row r="1725">
      <c r="A1725" s="5" t="inlineStr">
        <is>
          <t>CC-113</t>
        </is>
      </c>
      <c r="B1725" s="2" t="inlineStr">
        <is>
          <t>CC-113:76</t>
        </is>
      </c>
      <c r="C1725" s="2" t="inlineStr">
        <is>
          <t>Two-year total 2022-23: inventory Enemalta line / Government / IMF</t>
        </is>
      </c>
      <c r="D1725" s="2" t="inlineStr">
        <is>
          <t>826.5 / 806.2 / 617.3</t>
        </is>
      </c>
      <c r="E1725" s="2" t="inlineStr">
        <is>
          <t>EUR million</t>
        </is>
      </c>
      <c r="F1725" s="2" t="inlineStr">
        <is>
          <t>calculated</t>
        </is>
      </c>
      <c r="G1725" s="2" t="inlineStr">
        <is>
          <t>inventory 2022 in 2023 prices; budget figures nominal; points to timing or basis</t>
        </is>
      </c>
      <c r="H1725" s="2" t="inlineStr"/>
    </row>
    <row r="1726">
      <c r="A1726" s="5" t="inlineStr">
        <is>
          <t>CC-113</t>
        </is>
      </c>
      <c r="B1726" s="2" t="inlineStr">
        <is>
          <t>CC-113:77</t>
        </is>
      </c>
      <c r="C1726" s="2" t="inlineStr">
        <is>
          <t>Inventory Malta FFS 2022 share (excl. TBC, inventory GDP)</t>
        </is>
      </c>
      <c r="D1726" s="2" t="inlineStr">
        <is>
          <t>1.71</t>
        </is>
      </c>
      <c r="E1726" s="2" t="inlineStr">
        <is>
          <t>% of GDP</t>
        </is>
      </c>
      <c r="F1726" s="2" t="inlineStr">
        <is>
          <t>EC subsidy inventory 2024 ed. (CIRCABC), retrieved 6 Oct 2026</t>
        </is>
      </c>
      <c r="G1726" s="2" t="inlineStr">
        <is>
          <t>Government 2.5%, IMF 1.8%</t>
        </is>
      </c>
      <c r="H1726" s="2" t="inlineStr"/>
    </row>
    <row r="1727">
      <c r="A1727" s="5" t="inlineStr">
        <is>
          <t>CC-113</t>
        </is>
      </c>
      <c r="B1727" s="2" t="inlineStr">
        <is>
          <t>CC-113:78</t>
        </is>
      </c>
      <c r="C1727" s="2" t="inlineStr">
        <is>
          <t>Sensitivity: Malta's rank if its 2023 share were the IMF Article IV figure (1.4%), others on the EEA basis</t>
        </is>
      </c>
      <c r="D1727" s="2" t="inlineStr">
        <is>
          <t>3</t>
        </is>
      </c>
      <c r="E1727" s="2" t="inlineStr">
        <is>
          <t>of 27</t>
        </is>
      </c>
      <c r="F1727" s="2" t="inlineStr">
        <is>
          <t>calculated</t>
        </is>
      </c>
      <c r="G1727" s="2" t="inlineStr">
        <is>
          <t>mixes definitions; a robustness check, not a like-for-like figure</t>
        </is>
      </c>
      <c r="H1727" s="2" t="inlineStr"/>
    </row>
    <row r="1728">
      <c r="A1728" s="5" t="inlineStr">
        <is>
          <t>CC-113</t>
        </is>
      </c>
      <c r="B1728" s="2" t="inlineStr">
        <is>
          <t>CC-113:79</t>
        </is>
      </c>
      <c r="C1728" s="2" t="inlineStr">
        <is>
          <t>Sensitivity: Malta's rank if its 2023 share were the Government of Malta DBP 2024 figure (1.7%), others on the EEA basis</t>
        </is>
      </c>
      <c r="D1728" s="2" t="inlineStr">
        <is>
          <t>2</t>
        </is>
      </c>
      <c r="E1728" s="2" t="inlineStr">
        <is>
          <t>of 27</t>
        </is>
      </c>
      <c r="F1728" s="2" t="inlineStr">
        <is>
          <t>calculated</t>
        </is>
      </c>
      <c r="G1728" s="2" t="inlineStr">
        <is>
          <t>mixes definitions; a robustness check, not a like-for-like figure</t>
        </is>
      </c>
      <c r="H1728" s="2" t="inlineStr"/>
    </row>
    <row r="1729">
      <c r="A1729" s="5" t="inlineStr">
        <is>
          <t>CC-113</t>
        </is>
      </c>
      <c r="B1729" s="2" t="inlineStr">
        <is>
          <t>CC-113:80</t>
        </is>
      </c>
      <c r="C1729" s="2" t="inlineStr">
        <is>
          <t>Inventory Malta FFS 2023 (excl. TBC) / IMF Article IV energy subsidies 2023 (EUR, Eurostat GDP)</t>
        </is>
      </c>
      <c r="D1729" s="2" t="inlineStr">
        <is>
          <t>2.07</t>
        </is>
      </c>
      <c r="E1729" s="2" t="inlineStr">
        <is>
          <t>x</t>
        </is>
      </c>
      <c r="F1729" s="2" t="inlineStr">
        <is>
          <t>calculated</t>
        </is>
      </c>
      <c r="G1729" s="2" t="inlineStr">
        <is>
          <t>inventory in 2023 prices = nominal for 2023</t>
        </is>
      </c>
      <c r="H1729" s="2" t="inlineStr"/>
    </row>
    <row r="1730">
      <c r="A1730" s="5" t="inlineStr">
        <is>
          <t>CC-113</t>
        </is>
      </c>
      <c r="B1730" s="2" t="inlineStr">
        <is>
          <t>CC-113:81</t>
        </is>
      </c>
      <c r="C1730" s="2" t="inlineStr">
        <is>
          <t>Inventory Malta FFS 2023 (excl. TBC) / Government DBP energy support 2023 (EUR, Eurostat GDP)</t>
        </is>
      </c>
      <c r="D1730" s="2" t="inlineStr">
        <is>
          <t>1.7</t>
        </is>
      </c>
      <c r="E1730" s="2" t="inlineStr">
        <is>
          <t>x</t>
        </is>
      </c>
      <c r="F1730" s="2" t="inlineStr">
        <is>
          <t>calculated</t>
        </is>
      </c>
      <c r="G1730" s="2" t="inlineStr">
        <is>
          <t>the Government's figure includes other basic commodities</t>
        </is>
      </c>
      <c r="H1730" s="2" t="inlineStr"/>
    </row>
    <row r="1731">
      <c r="A1731" s="5" t="inlineStr">
        <is>
          <t>CC-113</t>
        </is>
      </c>
      <c r="B1731" s="2" t="inlineStr">
        <is>
          <t>CC-113:82</t>
        </is>
      </c>
      <c r="C1731" s="2" t="inlineStr">
        <is>
          <t>IMF FFS data (2023 update): Malta explicit subsidies, 2015-2025</t>
        </is>
      </c>
      <c r="D1731" s="2" t="inlineStr">
        <is>
          <t>zero in every year</t>
        </is>
      </c>
      <c r="E1731" s="2" t="inlineStr">
        <is>
          <t>% of GDP</t>
        </is>
      </c>
      <c r="F1731" s="2" t="inlineStr">
        <is>
          <t>IMF climate data dashboard, retrieved 6 Oct 2026</t>
        </is>
      </c>
      <c r="G1731" s="2" t="inlineStr">
        <is>
          <t>values for 2023 onwards estimated in Aug 2023</t>
        </is>
      </c>
      <c r="H1731" s="2" t="inlineStr"/>
    </row>
    <row r="1732">
      <c r="A1732" s="5" t="inlineStr">
        <is>
          <t>CC-113</t>
        </is>
      </c>
      <c r="B1732" s="2" t="inlineStr">
        <is>
          <t>CC-113:83</t>
        </is>
      </c>
      <c r="C1732" s="2" t="inlineStr">
        <is>
          <t>IMF explicit FFS 2022: top three EU</t>
        </is>
      </c>
      <c r="D1732" s="2" t="inlineStr">
        <is>
          <t>HU 3.50%, EE 3.00%, SK 2.09%</t>
        </is>
      </c>
      <c r="E1732" s="2" t="inlineStr">
        <is>
          <t>% of GDP</t>
        </is>
      </c>
      <c r="F1732" s="2" t="inlineStr">
        <is>
          <t>IMF climate data dashboard</t>
        </is>
      </c>
      <c r="G1732" s="2" t="inlineStr">
        <is>
          <t>2 of 27 at zero, Malta among them</t>
        </is>
      </c>
      <c r="H1732" s="2" t="inlineStr"/>
    </row>
    <row r="1733">
      <c r="A1733" s="5" t="inlineStr">
        <is>
          <t>CC-113</t>
        </is>
      </c>
      <c r="B1733" s="2" t="inlineStr">
        <is>
          <t>CC-113:84</t>
        </is>
      </c>
      <c r="C1733" s="2" t="inlineStr">
        <is>
          <t>IMF explicit + implicit FFS 2022: Malta</t>
        </is>
      </c>
      <c r="D1733" s="2" t="inlineStr">
        <is>
          <t>2.86% (rank 15 of 27)</t>
        </is>
      </c>
      <c r="E1733" s="2" t="inlineStr">
        <is>
          <t>% of GDP</t>
        </is>
      </c>
      <c r="F1733" s="2" t="inlineStr">
        <is>
          <t>IMF climate data dashboard</t>
        </is>
      </c>
      <c r="G1733" s="2" t="inlineStr">
        <is>
          <t>implicit = unpriced environmental costs and forgone VAT</t>
        </is>
      </c>
      <c r="H1733" s="2" t="inlineStr"/>
    </row>
    <row r="1734">
      <c r="A1734" s="5" t="inlineStr">
        <is>
          <t>CC-113</t>
        </is>
      </c>
      <c r="B1734" s="2" t="inlineStr">
        <is>
          <t>CC-113:85</t>
        </is>
      </c>
      <c r="C1734" s="2" t="inlineStr">
        <is>
          <t>IMF explicit FFS 2023: top three EU</t>
        </is>
      </c>
      <c r="D1734" s="2" t="inlineStr">
        <is>
          <t>EE 2.91%, HU 2.34%, BG 1.95%</t>
        </is>
      </c>
      <c r="E1734" s="2" t="inlineStr">
        <is>
          <t>% of GDP</t>
        </is>
      </c>
      <c r="F1734" s="2" t="inlineStr">
        <is>
          <t>IMF climate data dashboard</t>
        </is>
      </c>
      <c r="G1734" s="2" t="inlineStr">
        <is>
          <t>2 of 27 at zero, Malta among them</t>
        </is>
      </c>
      <c r="H1734" s="2" t="inlineStr"/>
    </row>
    <row r="1735">
      <c r="A1735" s="5" t="inlineStr">
        <is>
          <t>CC-113</t>
        </is>
      </c>
      <c r="B1735" s="2" t="inlineStr">
        <is>
          <t>CC-113:86</t>
        </is>
      </c>
      <c r="C1735" s="2" t="inlineStr">
        <is>
          <t>IMF explicit + implicit FFS 2023: Malta</t>
        </is>
      </c>
      <c r="D1735" s="2" t="inlineStr">
        <is>
          <t>2.27% (rank 15 of 27)</t>
        </is>
      </c>
      <c r="E1735" s="2" t="inlineStr">
        <is>
          <t>% of GDP</t>
        </is>
      </c>
      <c r="F1735" s="2" t="inlineStr">
        <is>
          <t>IMF climate data dashboard</t>
        </is>
      </c>
      <c r="G1735" s="2" t="inlineStr">
        <is>
          <t>implicit = unpriced environmental costs and forgone VAT</t>
        </is>
      </c>
      <c r="H1735" s="2" t="inlineStr"/>
    </row>
    <row r="1736">
      <c r="A1736" s="5" t="inlineStr">
        <is>
          <t>CC-113</t>
        </is>
      </c>
      <c r="B1736" s="2" t="inlineStr">
        <is>
          <t>CC-113:87</t>
        </is>
      </c>
      <c r="C1736" s="2" t="inlineStr">
        <is>
          <t>OECD/IISD tracker: data sources for Malta</t>
        </is>
      </c>
      <c r="D1736" s="2" t="inlineStr">
        <is>
          <t>IMF</t>
        </is>
      </c>
      <c r="E1736" s="2" t="inlineStr">
        <is>
          <t>list</t>
        </is>
      </c>
      <c r="F1736" s="2" t="inlineStr">
        <is>
          <t>OECD/IISD Fossil Fuel Subsidy Tracker, retrieved 6 Oct 2026</t>
        </is>
      </c>
      <c r="G1736" s="2" t="inlineStr">
        <is>
          <t>no OECD-inventory or IEA rows for Malta</t>
        </is>
      </c>
      <c r="H1736" s="2" t="inlineStr"/>
    </row>
    <row r="1737">
      <c r="A1737" s="5" t="inlineStr">
        <is>
          <t>CC-113</t>
        </is>
      </c>
      <c r="B1737" s="2" t="inlineStr">
        <is>
          <t>CC-113:88</t>
        </is>
      </c>
      <c r="C1737" s="2" t="inlineStr">
        <is>
          <t>OECD/IISD tracker: Malta total 2022</t>
        </is>
      </c>
      <c r="D1737" s="2" t="inlineStr">
        <is>
          <t>0.0</t>
        </is>
      </c>
      <c r="E1737" s="2" t="inlineStr">
        <is>
          <t>USD million</t>
        </is>
      </c>
      <c r="F1737" s="2" t="inlineStr">
        <is>
          <t>tracker</t>
        </is>
      </c>
      <c r="G1737" s="2" t="inlineStr"/>
      <c r="H1737" s="2" t="inlineStr"/>
    </row>
    <row r="1738">
      <c r="A1738" s="5" t="inlineStr">
        <is>
          <t>CC-113</t>
        </is>
      </c>
      <c r="B1738" s="2" t="inlineStr">
        <is>
          <t>CC-113:89</t>
        </is>
      </c>
      <c r="C1738" s="2" t="inlineStr">
        <is>
          <t>OECD/IISD tracker: Malta total 2023</t>
        </is>
      </c>
      <c r="D1738" s="2" t="inlineStr">
        <is>
          <t>0.0</t>
        </is>
      </c>
      <c r="E1738" s="2" t="inlineStr">
        <is>
          <t>USD million</t>
        </is>
      </c>
      <c r="F1738" s="2" t="inlineStr">
        <is>
          <t>tracker</t>
        </is>
      </c>
      <c r="G1738" s="2" t="inlineStr"/>
      <c r="H1738" s="2" t="inlineStr"/>
    </row>
    <row r="1739">
      <c r="A1739" s="5" t="inlineStr">
        <is>
          <t>CC-113</t>
        </is>
      </c>
      <c r="B1739" s="2" t="inlineStr">
        <is>
          <t>CC-113:90</t>
        </is>
      </c>
      <c r="C1739" s="2" t="inlineStr">
        <is>
          <t>OECD/IISD tracker: Malta total 2024</t>
        </is>
      </c>
      <c r="D1739" s="2" t="inlineStr">
        <is>
          <t>0.0</t>
        </is>
      </c>
      <c r="E1739" s="2" t="inlineStr">
        <is>
          <t>USD million</t>
        </is>
      </c>
      <c r="F1739" s="2" t="inlineStr">
        <is>
          <t>tracker</t>
        </is>
      </c>
      <c r="G1739" s="2" t="inlineStr"/>
      <c r="H1739" s="2" t="inlineStr"/>
    </row>
    <row r="1740">
      <c r="A1740" s="5" t="inlineStr">
        <is>
          <t>CC-114</t>
        </is>
      </c>
      <c r="B1740" s="2" t="inlineStr">
        <is>
          <t>CC-114:2</t>
        </is>
      </c>
      <c r="C1740" s="2" t="inlineStr">
        <is>
          <t>Published GHG intensity of GVA (g per EUR, chain-linked 2020), change 2013-2024: Malta</t>
        </is>
      </c>
      <c r="D1740" s="2" t="inlineStr">
        <is>
          <t>14.3</t>
        </is>
      </c>
      <c r="E1740" s="2" t="inlineStr">
        <is>
          <t>%</t>
        </is>
      </c>
      <c r="F1740" s="2" t="inlineStr">
        <is>
          <t>Eurostat (data/cc-114/eurostat_extract.csv, retrieved 6 Oct 2026)</t>
        </is>
      </c>
      <c r="G1740" s="2" t="inlineStr">
        <is>
          <t>325.21 -&gt; 371.69 g/EUR; 2024 flagged 'i'</t>
        </is>
      </c>
      <c r="H1740" s="2" t="inlineStr"/>
    </row>
    <row r="1741">
      <c r="A1741" s="5" t="inlineStr">
        <is>
          <t>CC-114</t>
        </is>
      </c>
      <c r="B1741" s="2" t="inlineStr">
        <is>
          <t>CC-114:3</t>
        </is>
      </c>
      <c r="C1741" s="2" t="inlineStr">
        <is>
          <t>Same, EU-27</t>
        </is>
      </c>
      <c r="D1741" s="2" t="inlineStr">
        <is>
          <t>-34.0</t>
        </is>
      </c>
      <c r="E1741" s="2" t="inlineStr">
        <is>
          <t>%</t>
        </is>
      </c>
      <c r="F1741" s="2" t="inlineStr">
        <is>
          <t>Eurostat (data/cc-114/eurostat_extract.csv, retrieved 6 Oct 2026)</t>
        </is>
      </c>
      <c r="G1741" s="2" t="inlineStr">
        <is>
          <t>291.66 -&gt; 192.39 g/EUR</t>
        </is>
      </c>
      <c r="H1741" s="2" t="inlineStr"/>
    </row>
    <row r="1742">
      <c r="A1742" s="5" t="inlineStr">
        <is>
          <t>CC-114</t>
        </is>
      </c>
      <c r="B1742" s="2" t="inlineStr">
        <is>
          <t>CC-114:4</t>
        </is>
      </c>
      <c r="C1742" s="2" t="inlineStr">
        <is>
          <t>Same: Member States with an increase</t>
        </is>
      </c>
      <c r="D1742" s="2" t="inlineStr">
        <is>
          <t>MT</t>
        </is>
      </c>
      <c r="E1742" s="2" t="inlineStr">
        <is>
          <t>list</t>
        </is>
      </c>
      <c r="F1742" s="2" t="inlineStr">
        <is>
          <t>Eurostat (data/cc-114/eurostat_extract.csv, retrieved 6 Oct 2026)</t>
        </is>
      </c>
      <c r="G1742" s="2" t="inlineStr">
        <is>
          <t>1 of 27</t>
        </is>
      </c>
      <c r="H1742" s="2" t="inlineStr"/>
    </row>
    <row r="1743">
      <c r="A1743" s="5" t="inlineStr">
        <is>
          <t>CC-114</t>
        </is>
      </c>
      <c r="B1743" s="2" t="inlineStr">
        <is>
          <t>CC-114:5</t>
        </is>
      </c>
      <c r="C1743" s="2" t="inlineStr">
        <is>
          <t>Same: Malta's rank (1 = largest fall)</t>
        </is>
      </c>
      <c r="D1743" s="2" t="inlineStr">
        <is>
          <t>27</t>
        </is>
      </c>
      <c r="E1743" s="2" t="inlineStr">
        <is>
          <t>of 27</t>
        </is>
      </c>
      <c r="F1743" s="2" t="inlineStr">
        <is>
          <t>Eurostat (data/cc-114/eurostat_extract.csv, retrieved 6 Oct 2026)</t>
        </is>
      </c>
      <c r="G1743" s="2" t="inlineStr"/>
      <c r="H1743" s="2" t="inlineStr"/>
    </row>
    <row r="1744">
      <c r="A1744" s="5" t="inlineStr">
        <is>
          <t>CC-114</t>
        </is>
      </c>
      <c r="B1744" s="2" t="inlineStr">
        <is>
          <t>CC-114:6</t>
        </is>
      </c>
      <c r="C1744" s="2" t="inlineStr">
        <is>
          <t>Same: next-weakest Member State</t>
        </is>
      </c>
      <c r="D1744" s="2" t="inlineStr">
        <is>
          <t>Luxembourg -13.6%</t>
        </is>
      </c>
      <c r="E1744" s="2" t="inlineStr"/>
      <c r="F1744" s="2" t="inlineStr">
        <is>
          <t>Eurostat (data/cc-114/eurostat_extract.csv, retrieved 6 Oct 2026)</t>
        </is>
      </c>
      <c r="G1744" s="2" t="inlineStr"/>
      <c r="H1744" s="2" t="inlineStr"/>
    </row>
    <row r="1745">
      <c r="A1745" s="5" t="inlineStr">
        <is>
          <t>CC-114</t>
        </is>
      </c>
      <c r="B1745" s="2" t="inlineStr">
        <is>
          <t>CC-114:7</t>
        </is>
      </c>
      <c r="C1745" s="2" t="inlineStr">
        <is>
          <t>Same, Estonia</t>
        </is>
      </c>
      <c r="D1745" s="2" t="inlineStr">
        <is>
          <t>-63.9</t>
        </is>
      </c>
      <c r="E1745" s="2" t="inlineStr">
        <is>
          <t>%</t>
        </is>
      </c>
      <c r="F1745" s="2" t="inlineStr">
        <is>
          <t>Eurostat (data/cc-114/eurostat_extract.csv, retrieved 6 Oct 2026)</t>
        </is>
      </c>
      <c r="G1745" s="2" t="inlineStr"/>
      <c r="H1745" s="2" t="inlineStr"/>
    </row>
    <row r="1746">
      <c r="A1746" s="5" t="inlineStr">
        <is>
          <t>CC-114</t>
        </is>
      </c>
      <c r="B1746" s="2" t="inlineStr">
        <is>
          <t>CC-114:8</t>
        </is>
      </c>
      <c r="C1746" s="2" t="inlineStr">
        <is>
          <t>Same, Ireland</t>
        </is>
      </c>
      <c r="D1746" s="2" t="inlineStr">
        <is>
          <t>-50.2</t>
        </is>
      </c>
      <c r="E1746" s="2" t="inlineStr">
        <is>
          <t>%</t>
        </is>
      </c>
      <c r="F1746" s="2" t="inlineStr">
        <is>
          <t>Eurostat (data/cc-114/eurostat_extract.csv, retrieved 6 Oct 2026)</t>
        </is>
      </c>
      <c r="G1746" s="2" t="inlineStr"/>
      <c r="H1746" s="2" t="inlineStr"/>
    </row>
    <row r="1747">
      <c r="A1747" s="5" t="inlineStr">
        <is>
          <t>CC-114</t>
        </is>
      </c>
      <c r="B1747" s="2" t="inlineStr">
        <is>
          <t>CC-114:9</t>
        </is>
      </c>
      <c r="C1747" s="2" t="inlineStr">
        <is>
          <t>Same, Finland</t>
        </is>
      </c>
      <c r="D1747" s="2" t="inlineStr">
        <is>
          <t>-43.9</t>
        </is>
      </c>
      <c r="E1747" s="2" t="inlineStr">
        <is>
          <t>%</t>
        </is>
      </c>
      <c r="F1747" s="2" t="inlineStr">
        <is>
          <t>Eurostat (data/cc-114/eurostat_extract.csv, retrieved 6 Oct 2026)</t>
        </is>
      </c>
      <c r="G1747" s="2" t="inlineStr"/>
      <c r="H1747" s="2" t="inlineStr"/>
    </row>
    <row r="1748">
      <c r="A1748" s="5" t="inlineStr">
        <is>
          <t>CC-114</t>
        </is>
      </c>
      <c r="B1748" s="2" t="inlineStr">
        <is>
          <t>CC-114:10</t>
        </is>
      </c>
      <c r="C1748" s="2" t="inlineStr">
        <is>
          <t>Same: unweighted mean of the 27 national changes</t>
        </is>
      </c>
      <c r="D1748" s="2" t="inlineStr">
        <is>
          <t>-32.4</t>
        </is>
      </c>
      <c r="E1748" s="2" t="inlineStr">
        <is>
          <t>%</t>
        </is>
      </c>
      <c r="F1748" s="2" t="inlineStr">
        <is>
          <t>Eurostat (data/cc-114/eurostat_extract.csv, retrieved 6 Oct 2026)</t>
        </is>
      </c>
      <c r="G1748" s="2" t="inlineStr">
        <is>
          <t>the -34% is the EU aggregate (EU emissions / EU GVA), not a mean of countries</t>
        </is>
      </c>
      <c r="H1748" s="2" t="inlineStr"/>
    </row>
    <row r="1749">
      <c r="A1749" s="5" t="inlineStr">
        <is>
          <t>CC-114</t>
        </is>
      </c>
      <c r="B1749" s="2" t="inlineStr">
        <is>
          <t>CC-114:11</t>
        </is>
      </c>
      <c r="C1749" s="2" t="inlineStr">
        <is>
          <t>Published GHG intensity at current prices, change 2013-2024: Malta</t>
        </is>
      </c>
      <c r="D1749" s="2" t="inlineStr">
        <is>
          <t>-20.3</t>
        </is>
      </c>
      <c r="E1749" s="2" t="inlineStr">
        <is>
          <t>%</t>
        </is>
      </c>
      <c r="F1749" s="2" t="inlineStr">
        <is>
          <t>Eurostat (data/cc-114/eurostat_extract.csv, retrieved 6 Oct 2026)</t>
        </is>
      </c>
      <c r="G1749" s="2" t="inlineStr">
        <is>
          <t>risers at current prices: none; EU-27 -49.3%</t>
        </is>
      </c>
      <c r="H1749" s="2" t="inlineStr"/>
    </row>
    <row r="1750">
      <c r="A1750" s="5" t="inlineStr">
        <is>
          <t>CC-114</t>
        </is>
      </c>
      <c r="B1750" s="2" t="inlineStr">
        <is>
          <t>CC-114:12</t>
        </is>
      </c>
      <c r="C1750" s="2" t="inlineStr">
        <is>
          <t>Malta: published intensity, change 2013-2016 and 2013-2021</t>
        </is>
      </c>
      <c r="D1750" s="2" t="inlineStr">
        <is>
          <t>-39.6 / -39.0</t>
        </is>
      </c>
      <c r="E1750" s="2" t="inlineStr">
        <is>
          <t>%</t>
        </is>
      </c>
      <c r="F1750" s="2" t="inlineStr">
        <is>
          <t>Eurostat (data/cc-114/eurostat_extract.csv, retrieved 6 Oct 2026)</t>
        </is>
      </c>
      <c r="G1750" s="2" t="inlineStr"/>
      <c r="H1750" s="2" t="inlineStr"/>
    </row>
    <row r="1751">
      <c r="A1751" s="5" t="inlineStr">
        <is>
          <t>CC-114</t>
        </is>
      </c>
      <c r="B1751" s="2" t="inlineStr">
        <is>
          <t>CC-114:13</t>
        </is>
      </c>
      <c r="C1751" s="2" t="inlineStr">
        <is>
          <t>January 2026 vintage (Eurostat map, 20 Jan 2026): Malta</t>
        </is>
      </c>
      <c r="D1751" s="2" t="inlineStr">
        <is>
          <t>16.6</t>
        </is>
      </c>
      <c r="E1751" s="2" t="inlineStr">
        <is>
          <t>%</t>
        </is>
      </c>
      <c r="F1751" s="2" t="inlineStr">
        <is>
          <t>data/cc-114/eurostat_map_jan2026.csv</t>
        </is>
      </c>
      <c r="G1751" s="2" t="inlineStr"/>
      <c r="H1751" s="2" t="inlineStr"/>
    </row>
    <row r="1752">
      <c r="A1752" s="5" t="inlineStr">
        <is>
          <t>CC-114</t>
        </is>
      </c>
      <c r="B1752" s="2" t="inlineStr">
        <is>
          <t>CC-114:14</t>
        </is>
      </c>
      <c r="C1752" s="2" t="inlineStr">
        <is>
          <t>January 2026 vintage: EU-27</t>
        </is>
      </c>
      <c r="D1752" s="2" t="inlineStr">
        <is>
          <t>-34.0</t>
        </is>
      </c>
      <c r="E1752" s="2" t="inlineStr">
        <is>
          <t>%</t>
        </is>
      </c>
      <c r="F1752" s="2" t="inlineStr">
        <is>
          <t>data/cc-114/eurostat_map_jan2026.csv</t>
        </is>
      </c>
      <c r="G1752" s="2" t="inlineStr"/>
      <c r="H1752" s="2" t="inlineStr"/>
    </row>
    <row r="1753">
      <c r="A1753" s="5" t="inlineStr">
        <is>
          <t>CC-114</t>
        </is>
      </c>
      <c r="B1753" s="2" t="inlineStr">
        <is>
          <t>CC-114:15</t>
        </is>
      </c>
      <c r="C1753" s="2" t="inlineStr">
        <is>
          <t>January 2026 vintage: Member States with an increase</t>
        </is>
      </c>
      <c r="D1753" s="2" t="inlineStr">
        <is>
          <t>MT</t>
        </is>
      </c>
      <c r="E1753" s="2" t="inlineStr">
        <is>
          <t>list</t>
        </is>
      </c>
      <c r="F1753" s="2" t="inlineStr">
        <is>
          <t>data/cc-114/eurostat_map_jan2026.csv</t>
        </is>
      </c>
      <c r="G1753" s="2" t="inlineStr"/>
      <c r="H1753" s="2" t="inlineStr"/>
    </row>
    <row r="1754">
      <c r="A1754" s="5" t="inlineStr">
        <is>
          <t>CC-114</t>
        </is>
      </c>
      <c r="B1754" s="2" t="inlineStr">
        <is>
          <t>CC-114:16</t>
        </is>
      </c>
      <c r="C1754" s="2" t="inlineStr">
        <is>
          <t>Revisions between the January map and the August 2026 data (points, &gt;=0.15)</t>
        </is>
      </c>
      <c r="D1754" s="2" t="inlineStr">
        <is>
          <t>DK -25.1-&gt;-25.8; CY -28.9-&gt;-29.1; MT +16.6-&gt;+14.3; FI -43.7-&gt;-43.9</t>
        </is>
      </c>
      <c r="E1754" s="2" t="inlineStr"/>
      <c r="F1754" s="2" t="inlineStr">
        <is>
          <t>Eurostat (data/cc-114/eurostat_extract.csv, retrieved 6 Oct 2026)</t>
        </is>
      </c>
      <c r="G1754" s="2" t="inlineStr">
        <is>
          <t>Malta's NSO revised 2013-2018 air transport in Feb 2026</t>
        </is>
      </c>
      <c r="H1754" s="2" t="inlineStr"/>
    </row>
    <row r="1755">
      <c r="A1755" s="5" t="inlineStr">
        <is>
          <t>CC-114</t>
        </is>
      </c>
      <c r="B1755" s="2" t="inlineStr">
        <is>
          <t>CC-114:17</t>
        </is>
      </c>
      <c r="C1755" s="2" t="inlineStr">
        <is>
          <t>End year 2023 (last year Malta reported; 2024 is a Eurostat estimate): Malta 2013-2023</t>
        </is>
      </c>
      <c r="D1755" s="2" t="inlineStr">
        <is>
          <t>-8.3</t>
        </is>
      </c>
      <c r="E1755" s="2" t="inlineStr">
        <is>
          <t>%</t>
        </is>
      </c>
      <c r="F1755" s="2" t="inlineStr">
        <is>
          <t>Eurostat (data/cc-114/eurostat_extract.csv, retrieved 6 Oct 2026)</t>
        </is>
      </c>
      <c r="G1755" s="2" t="inlineStr">
        <is>
          <t>risers 2013-2023: none</t>
        </is>
      </c>
      <c r="H1755" s="2" t="inlineStr"/>
    </row>
    <row r="1756">
      <c r="A1756" s="5" t="inlineStr">
        <is>
          <t>CC-114</t>
        </is>
      </c>
      <c r="B1756" s="2" t="inlineStr">
        <is>
          <t>CC-114:18</t>
        </is>
      </c>
      <c r="C1756" s="2" t="inlineStr">
        <is>
          <t>End year 2022: Malta 2013-2022</t>
        </is>
      </c>
      <c r="D1756" s="2" t="inlineStr">
        <is>
          <t>-29.8</t>
        </is>
      </c>
      <c r="E1756" s="2" t="inlineStr">
        <is>
          <t>%</t>
        </is>
      </c>
      <c r="F1756" s="2" t="inlineStr">
        <is>
          <t>Eurostat (data/cc-114/eurostat_extract.csv, retrieved 6 Oct 2026)</t>
        </is>
      </c>
      <c r="G1756" s="2" t="inlineStr"/>
      <c r="H1756" s="2" t="inlineStr"/>
    </row>
    <row r="1757">
      <c r="A1757" s="5" t="inlineStr">
        <is>
          <t>CC-114</t>
        </is>
      </c>
      <c r="B1757" s="2" t="inlineStr">
        <is>
          <t>CC-114:19</t>
        </is>
      </c>
      <c r="C1757" s="2" t="inlineStr">
        <is>
          <t>End years (base 2013) in which Malta is the only riser</t>
        </is>
      </c>
      <c r="D1757" s="2" t="inlineStr">
        <is>
          <t>2024</t>
        </is>
      </c>
      <c r="E1757" s="2" t="inlineStr">
        <is>
          <t>years</t>
        </is>
      </c>
      <c r="F1757" s="2" t="inlineStr">
        <is>
          <t>Eurostat (data/cc-114/eurostat_extract.csv, retrieved 6 Oct 2026)</t>
        </is>
      </c>
      <c r="G1757" s="2" t="inlineStr"/>
      <c r="H1757" s="2" t="inlineStr"/>
    </row>
    <row r="1758">
      <c r="A1758" s="5" t="inlineStr">
        <is>
          <t>CC-114</t>
        </is>
      </c>
      <c r="B1758" s="2" t="inlineStr">
        <is>
          <t>CC-114:20</t>
        </is>
      </c>
      <c r="C1758" s="2" t="inlineStr">
        <is>
          <t>Base years (end 2024) in which Malta is the only riser</t>
        </is>
      </c>
      <c r="D1758" s="2" t="inlineStr">
        <is>
          <t>2014, 2015, 2016, 2017, 2018, 2019</t>
        </is>
      </c>
      <c r="E1758" s="2" t="inlineStr">
        <is>
          <t>years</t>
        </is>
      </c>
      <c r="F1758" s="2" t="inlineStr">
        <is>
          <t>Eurostat (data/cc-114/eurostat_extract.csv, retrieved 6 Oct 2026)</t>
        </is>
      </c>
      <c r="G1758" s="2" t="inlineStr"/>
      <c r="H1758" s="2" t="inlineStr"/>
    </row>
    <row r="1759">
      <c r="A1759" s="5" t="inlineStr">
        <is>
          <t>CC-114</t>
        </is>
      </c>
      <c r="B1759" s="2" t="inlineStr">
        <is>
          <t>CC-114:21</t>
        </is>
      </c>
      <c r="C1759" s="2" t="inlineStr">
        <is>
          <t>Malta: published intensity 2008, 2013, 2016, 2020, 2022, 2023, 2024</t>
        </is>
      </c>
      <c r="D1759" s="2" t="inlineStr">
        <is>
          <t>408, 325, 196, 186, 228, 298, 372</t>
        </is>
      </c>
      <c r="E1759" s="2" t="inlineStr">
        <is>
          <t>g/EUR</t>
        </is>
      </c>
      <c r="F1759" s="2" t="inlineStr">
        <is>
          <t>Eurostat (data/cc-114/eurostat_extract.csv, retrieved 6 Oct 2026)</t>
        </is>
      </c>
      <c r="G1759" s="2" t="inlineStr"/>
      <c r="H1759" s="2" t="inlineStr"/>
    </row>
    <row r="1760">
      <c r="A1760" s="5" t="inlineStr">
        <is>
          <t>CC-114</t>
        </is>
      </c>
      <c r="B1760" s="2" t="inlineStr">
        <is>
          <t>CC-114:22</t>
        </is>
      </c>
      <c r="C1760" s="2" t="inlineStr">
        <is>
          <t>Malta: change 2022-2024</t>
        </is>
      </c>
      <c r="D1760" s="2" t="inlineStr">
        <is>
          <t>62.9</t>
        </is>
      </c>
      <c r="E1760" s="2" t="inlineStr">
        <is>
          <t>%</t>
        </is>
      </c>
      <c r="F1760" s="2" t="inlineStr">
        <is>
          <t>Eurostat (data/cc-114/eurostat_extract.csv, retrieved 6 Oct 2026)</t>
        </is>
      </c>
      <c r="G1760" s="2" t="inlineStr"/>
      <c r="H1760" s="2" t="inlineStr"/>
    </row>
    <row r="1761">
      <c r="A1761" s="5" t="inlineStr">
        <is>
          <t>CC-114</t>
        </is>
      </c>
      <c r="B1761" s="2" t="inlineStr">
        <is>
          <t>CC-114:23</t>
        </is>
      </c>
      <c r="C1761" s="2" t="inlineStr">
        <is>
          <t>Malta: recomputed intensity 2013 (ainah TOTAL / a64 GVA)</t>
        </is>
      </c>
      <c r="D1761" s="2" t="inlineStr">
        <is>
          <t>325.2</t>
        </is>
      </c>
      <c r="E1761" s="2" t="inlineStr">
        <is>
          <t>g/EUR</t>
        </is>
      </c>
      <c r="F1761" s="2" t="inlineStr">
        <is>
          <t>Eurostat (data/cc-114/eurostat_extract.csv, retrieved 6 Oct 2026)</t>
        </is>
      </c>
      <c r="G1761" s="2" t="inlineStr">
        <is>
          <t>published 325.21; GVA vintage of 6 Oct 2026</t>
        </is>
      </c>
      <c r="H1761" s="2" t="inlineStr"/>
    </row>
    <row r="1762">
      <c r="A1762" s="5" t="inlineStr">
        <is>
          <t>CC-114</t>
        </is>
      </c>
      <c r="B1762" s="2" t="inlineStr">
        <is>
          <t>CC-114:24</t>
        </is>
      </c>
      <c r="C1762" s="2" t="inlineStr">
        <is>
          <t>Malta: recomputed intensity 2024 (ainah TOTAL / a64 GVA)</t>
        </is>
      </c>
      <c r="D1762" s="2" t="inlineStr">
        <is>
          <t>369.8</t>
        </is>
      </c>
      <c r="E1762" s="2" t="inlineStr">
        <is>
          <t>g/EUR</t>
        </is>
      </c>
      <c r="F1762" s="2" t="inlineStr">
        <is>
          <t>Eurostat (data/cc-114/eurostat_extract.csv, retrieved 6 Oct 2026)</t>
        </is>
      </c>
      <c r="G1762" s="2" t="inlineStr">
        <is>
          <t>published 371.69; GVA vintage of 6 Oct 2026</t>
        </is>
      </c>
      <c r="H1762" s="2" t="inlineStr"/>
    </row>
    <row r="1763">
      <c r="A1763" s="5" t="inlineStr">
        <is>
          <t>CC-114</t>
        </is>
      </c>
      <c r="B1763" s="2" t="inlineStr">
        <is>
          <t>CC-114:25</t>
        </is>
      </c>
      <c r="C1763" s="2" t="inlineStr">
        <is>
          <t>Malta: GHG of resident production units (NACE total), 2013 -&gt; 2024</t>
        </is>
      </c>
      <c r="D1763" s="2" t="inlineStr">
        <is>
          <t>2.78 -&gt; 6.59</t>
        </is>
      </c>
      <c r="E1763" s="2" t="inlineStr">
        <is>
          <t>Mt CO2e</t>
        </is>
      </c>
      <c r="F1763" s="2" t="inlineStr">
        <is>
          <t>Eurostat (data/cc-114/eurostat_extract.csv, retrieved 6 Oct 2026)</t>
        </is>
      </c>
      <c r="G1763" s="2" t="inlineStr">
        <is>
          <t>+137%</t>
        </is>
      </c>
      <c r="H1763" s="2" t="inlineStr"/>
    </row>
    <row r="1764">
      <c r="A1764" s="5" t="inlineStr">
        <is>
          <t>CC-114</t>
        </is>
      </c>
      <c r="B1764" s="2" t="inlineStr">
        <is>
          <t>CC-114:26</t>
        </is>
      </c>
      <c r="C1764" s="2" t="inlineStr">
        <is>
          <t>Malta: real GVA change 2013-2024</t>
        </is>
      </c>
      <c r="D1764" s="2" t="inlineStr">
        <is>
          <t>108.5</t>
        </is>
      </c>
      <c r="E1764" s="2" t="inlineStr">
        <is>
          <t>%</t>
        </is>
      </c>
      <c r="F1764" s="2" t="inlineStr">
        <is>
          <t>Eurostat (data/cc-114/eurostat_extract.csv, retrieved 6 Oct 2026)</t>
        </is>
      </c>
      <c r="G1764" s="2" t="inlineStr">
        <is>
          <t>nama_10_a64, chain-linked volumes 2020</t>
        </is>
      </c>
      <c r="H1764" s="2" t="inlineStr"/>
    </row>
    <row r="1765">
      <c r="A1765" s="5" t="inlineStr">
        <is>
          <t>CC-114</t>
        </is>
      </c>
      <c r="B1765" s="2" t="inlineStr">
        <is>
          <t>CC-114:27</t>
        </is>
      </c>
      <c r="C1765" s="2" t="inlineStr">
        <is>
          <t>EU-27: real GVA change 2013-2024</t>
        </is>
      </c>
      <c r="D1765" s="2" t="inlineStr">
        <is>
          <t>20.3</t>
        </is>
      </c>
      <c r="E1765" s="2" t="inlineStr">
        <is>
          <t>%</t>
        </is>
      </c>
      <c r="F1765" s="2" t="inlineStr">
        <is>
          <t>Eurostat (data/cc-114/eurostat_extract.csv, retrieved 6 Oct 2026)</t>
        </is>
      </c>
      <c r="G1765" s="2" t="inlineStr"/>
      <c r="H1765" s="2" t="inlineStr"/>
    </row>
    <row r="1766">
      <c r="A1766" s="5" t="inlineStr">
        <is>
          <t>CC-114</t>
        </is>
      </c>
      <c r="B1766" s="2" t="inlineStr">
        <is>
          <t>CC-114:28</t>
        </is>
      </c>
      <c r="C1766" s="2" t="inlineStr">
        <is>
          <t>Malta: air transport (H51), 2013 -&gt; 2024</t>
        </is>
      </c>
      <c r="D1766" s="2" t="inlineStr">
        <is>
          <t>304 -&gt; 4730</t>
        </is>
      </c>
      <c r="E1766" s="2" t="inlineStr">
        <is>
          <t>kt CO2e</t>
        </is>
      </c>
      <c r="F1766" s="2" t="inlineStr">
        <is>
          <t>Eurostat (data/cc-114/eurostat_extract.csv, retrieved 6 Oct 2026)</t>
        </is>
      </c>
      <c r="G1766" s="2" t="inlineStr">
        <is>
          <t>+1456%</t>
        </is>
      </c>
      <c r="H1766" s="2" t="inlineStr"/>
    </row>
    <row r="1767">
      <c r="A1767" s="5" t="inlineStr">
        <is>
          <t>CC-114</t>
        </is>
      </c>
      <c r="B1767" s="2" t="inlineStr">
        <is>
          <t>CC-114:29</t>
        </is>
      </c>
      <c r="C1767" s="2" t="inlineStr">
        <is>
          <t>Malta: electricity, gas, steam (D), 2013 -&gt; 2024</t>
        </is>
      </c>
      <c r="D1767" s="2" t="inlineStr">
        <is>
          <t>1703 -&gt; 743</t>
        </is>
      </c>
      <c r="E1767" s="2" t="inlineStr">
        <is>
          <t>kt CO2e</t>
        </is>
      </c>
      <c r="F1767" s="2" t="inlineStr">
        <is>
          <t>Eurostat (data/cc-114/eurostat_extract.csv, retrieved 6 Oct 2026)</t>
        </is>
      </c>
      <c r="G1767" s="2" t="inlineStr">
        <is>
          <t>-56%</t>
        </is>
      </c>
      <c r="H1767" s="2" t="inlineStr"/>
    </row>
    <row r="1768">
      <c r="A1768" s="5" t="inlineStr">
        <is>
          <t>CC-114</t>
        </is>
      </c>
      <c r="B1768" s="2" t="inlineStr">
        <is>
          <t>CC-114:30</t>
        </is>
      </c>
      <c r="C1768" s="2" t="inlineStr">
        <is>
          <t>Malta: water transport (H50), 2013 -&gt; 2024</t>
        </is>
      </c>
      <c r="D1768" s="2" t="inlineStr">
        <is>
          <t>56 -&gt; 113</t>
        </is>
      </c>
      <c r="E1768" s="2" t="inlineStr">
        <is>
          <t>kt CO2e</t>
        </is>
      </c>
      <c r="F1768" s="2" t="inlineStr">
        <is>
          <t>Eurostat (data/cc-114/eurostat_extract.csv, retrieved 6 Oct 2026)</t>
        </is>
      </c>
      <c r="G1768" s="2" t="inlineStr">
        <is>
          <t>+100%</t>
        </is>
      </c>
      <c r="H1768" s="2" t="inlineStr"/>
    </row>
    <row r="1769">
      <c r="A1769" s="5" t="inlineStr">
        <is>
          <t>CC-114</t>
        </is>
      </c>
      <c r="B1769" s="2" t="inlineStr">
        <is>
          <t>CC-114:31</t>
        </is>
      </c>
      <c r="C1769" s="2" t="inlineStr">
        <is>
          <t>Malta: land transport (H49), 2013 -&gt; 2024</t>
        </is>
      </c>
      <c r="D1769" s="2" t="inlineStr">
        <is>
          <t>49 -&gt; 86</t>
        </is>
      </c>
      <c r="E1769" s="2" t="inlineStr">
        <is>
          <t>kt CO2e</t>
        </is>
      </c>
      <c r="F1769" s="2" t="inlineStr">
        <is>
          <t>Eurostat (data/cc-114/eurostat_extract.csv, retrieved 6 Oct 2026)</t>
        </is>
      </c>
      <c r="G1769" s="2" t="inlineStr">
        <is>
          <t>+75%</t>
        </is>
      </c>
      <c r="H1769" s="2" t="inlineStr"/>
    </row>
    <row r="1770">
      <c r="A1770" s="5" t="inlineStr">
        <is>
          <t>CC-114</t>
        </is>
      </c>
      <c r="B1770" s="2" t="inlineStr">
        <is>
          <t>CC-114:32</t>
        </is>
      </c>
      <c r="C1770" s="2" t="inlineStr">
        <is>
          <t>Malta: households (not in the intensity) (HH), 2013 -&gt; 2024</t>
        </is>
      </c>
      <c r="D1770" s="2" t="inlineStr">
        <is>
          <t>289 -&gt; 362</t>
        </is>
      </c>
      <c r="E1770" s="2" t="inlineStr">
        <is>
          <t>kt CO2e</t>
        </is>
      </c>
      <c r="F1770" s="2" t="inlineStr">
        <is>
          <t>Eurostat (data/cc-114/eurostat_extract.csv, retrieved 6 Oct 2026)</t>
        </is>
      </c>
      <c r="G1770" s="2" t="inlineStr">
        <is>
          <t>+25%</t>
        </is>
      </c>
      <c r="H1770" s="2" t="inlineStr"/>
    </row>
    <row r="1771">
      <c r="A1771" s="5" t="inlineStr">
        <is>
          <t>CC-114</t>
        </is>
      </c>
      <c r="B1771" s="2" t="inlineStr">
        <is>
          <t>CC-114:33</t>
        </is>
      </c>
      <c r="C1771" s="2" t="inlineStr">
        <is>
          <t>Malta: all other activities (NACE total less transport and electricity), 2013 -&gt; 2024</t>
        </is>
      </c>
      <c r="D1771" s="2" t="inlineStr">
        <is>
          <t>592 -&gt; 858</t>
        </is>
      </c>
      <c r="E1771" s="2" t="inlineStr">
        <is>
          <t>kt CO2e</t>
        </is>
      </c>
      <c r="F1771" s="2" t="inlineStr">
        <is>
          <t>Eurostat (data/cc-114/eurostat_extract.csv, retrieved 6 Oct 2026)</t>
        </is>
      </c>
      <c r="G1771" s="2" t="inlineStr">
        <is>
          <t>+45%</t>
        </is>
      </c>
      <c r="H1771" s="2" t="inlineStr"/>
    </row>
    <row r="1772">
      <c r="A1772" s="5" t="inlineStr">
        <is>
          <t>CC-114</t>
        </is>
      </c>
      <c r="B1772" s="2" t="inlineStr">
        <is>
          <t>CC-114:34</t>
        </is>
      </c>
      <c r="C1772" s="2" t="inlineStr">
        <is>
          <t>Malta: air transport share of NACE-total GHG, 2024</t>
        </is>
      </c>
      <c r="D1772" s="2" t="inlineStr">
        <is>
          <t>71.8</t>
        </is>
      </c>
      <c r="E1772" s="2" t="inlineStr">
        <is>
          <t>%</t>
        </is>
      </c>
      <c r="F1772" s="2" t="inlineStr">
        <is>
          <t>Eurostat (data/cc-114/eurostat_extract.csv, retrieved 6 Oct 2026)</t>
        </is>
      </c>
      <c r="G1772" s="2" t="inlineStr">
        <is>
          <t>2013: 10.9%</t>
        </is>
      </c>
      <c r="H1772" s="2" t="inlineStr"/>
    </row>
    <row r="1773">
      <c r="A1773" s="5" t="inlineStr">
        <is>
          <t>CC-114</t>
        </is>
      </c>
      <c r="B1773" s="2" t="inlineStr">
        <is>
          <t>CC-114:35</t>
        </is>
      </c>
      <c r="C1773" s="2" t="inlineStr">
        <is>
          <t>Malta: increase in NACE-total GHG 2013-2024 accounted for by air transport</t>
        </is>
      </c>
      <c r="D1773" s="2" t="inlineStr">
        <is>
          <t>116.2</t>
        </is>
      </c>
      <c r="E1773" s="2" t="inlineStr">
        <is>
          <t>%</t>
        </is>
      </c>
      <c r="F1773" s="2" t="inlineStr">
        <is>
          <t>Eurostat (data/cc-114/eurostat_extract.csv, retrieved 6 Oct 2026)</t>
        </is>
      </c>
      <c r="G1773" s="2" t="inlineStr">
        <is>
          <t>more than 100% means the other activities fell together</t>
        </is>
      </c>
      <c r="H1773" s="2" t="inlineStr"/>
    </row>
    <row r="1774">
      <c r="A1774" s="5" t="inlineStr">
        <is>
          <t>CC-114</t>
        </is>
      </c>
      <c r="B1774" s="2" t="inlineStr">
        <is>
          <t>CC-114:36</t>
        </is>
      </c>
      <c r="C1774" s="2" t="inlineStr">
        <is>
          <t>Cross-check with CC-026: Malta air transport (H51) 2015 -&gt; 2024</t>
        </is>
      </c>
      <c r="D1774" s="2" t="inlineStr">
        <is>
          <t>444 -&gt; 4730</t>
        </is>
      </c>
      <c r="E1774" s="2" t="inlineStr">
        <is>
          <t>kt CO2e</t>
        </is>
      </c>
      <c r="F1774" s="2" t="inlineStr">
        <is>
          <t>Eurostat (data/cc-114/eurostat_extract.csv, retrieved 6 Oct 2026)</t>
        </is>
      </c>
      <c r="G1774" s="2" t="inlineStr">
        <is>
          <t>CC-026 reported 444 -&gt; 4,730 kt (data/cc-026/)</t>
        </is>
      </c>
      <c r="H1774" s="2" t="inlineStr"/>
    </row>
    <row r="1775">
      <c r="A1775" s="5" t="inlineStr">
        <is>
          <t>CC-114</t>
        </is>
      </c>
      <c r="B1775" s="2" t="inlineStr">
        <is>
          <t>CC-114:37</t>
        </is>
      </c>
      <c r="C1775" s="2" t="inlineStr">
        <is>
          <t>Malta (bridging table): emissions by resident units from fuel bought abroad, air transport, 2013/2019/2022/2023/2024</t>
        </is>
      </c>
      <c r="D1775" s="2" t="inlineStr">
        <is>
          <t>299 / 912 / 1589 / 3109 / 4730</t>
        </is>
      </c>
      <c r="E1775" s="2" t="inlineStr">
        <is>
          <t>kt CO2e</t>
        </is>
      </c>
      <c r="F1775" s="2" t="inlineStr">
        <is>
          <t>Eurostat (data/cc-114/eurostat_extract.csv, retrieved 6 Oct 2026)</t>
        </is>
      </c>
      <c r="G1775" s="2" t="inlineStr">
        <is>
          <t>2024 imputed by Eurostat (i)</t>
        </is>
      </c>
      <c r="H1775" s="2" t="inlineStr"/>
    </row>
    <row r="1776">
      <c r="A1776" s="5" t="inlineStr">
        <is>
          <t>CC-114</t>
        </is>
      </c>
      <c r="B1776" s="2" t="inlineStr">
        <is>
          <t>CC-114:38</t>
        </is>
      </c>
      <c r="C1776" s="2" t="inlineStr">
        <is>
          <t>Malta: fuel-bought-abroad air emissions as % of air transport (H51), 2024</t>
        </is>
      </c>
      <c r="D1776" s="2" t="inlineStr">
        <is>
          <t>100.0</t>
        </is>
      </c>
      <c r="E1776" s="2" t="inlineStr">
        <is>
          <t>%</t>
        </is>
      </c>
      <c r="F1776" s="2" t="inlineStr">
        <is>
          <t>Eurostat (data/cc-114/eurostat_extract.csv, retrieved 6 Oct 2026)</t>
        </is>
      </c>
      <c r="G1776" s="2" t="inlineStr"/>
      <c r="H1776" s="2" t="inlineStr"/>
    </row>
    <row r="1777">
      <c r="A1777" s="5" t="inlineStr">
        <is>
          <t>CC-114</t>
        </is>
      </c>
      <c r="B1777" s="2" t="inlineStr">
        <is>
          <t>CC-114:39</t>
        </is>
      </c>
      <c r="C1777" s="2" t="inlineStr">
        <is>
          <t>Malta (bridging table): territorial inventory total (no LULUCF), 2013 -&gt; 2024</t>
        </is>
      </c>
      <c r="D1777" s="2" t="inlineStr">
        <is>
          <t>2835 -&gt; 2198</t>
        </is>
      </c>
      <c r="E1777" s="2" t="inlineStr">
        <is>
          <t>kt CO2e</t>
        </is>
      </c>
      <c r="F1777" s="2" t="inlineStr">
        <is>
          <t>Eurostat (data/cc-114/eurostat_extract.csv, retrieved 6 Oct 2026)</t>
        </is>
      </c>
      <c r="G1777" s="2" t="inlineStr">
        <is>
          <t>-22%; residence total incl. households 3069 -&gt; 6951</t>
        </is>
      </c>
      <c r="H1777" s="2" t="inlineStr"/>
    </row>
    <row r="1778">
      <c r="A1778" s="5" t="inlineStr">
        <is>
          <t>CC-114</t>
        </is>
      </c>
      <c r="B1778" s="2" t="inlineStr">
        <is>
          <t>CC-114:40</t>
        </is>
      </c>
      <c r="C1778" s="2" t="inlineStr">
        <is>
          <t>Malta's share of EU-27 air-transport emissions from fuel bought abroad by resident units, 2013 / 2024</t>
        </is>
      </c>
      <c r="D1778" s="2" t="inlineStr">
        <is>
          <t>0.4 / 4.4</t>
        </is>
      </c>
      <c r="E1778" s="2" t="inlineStr">
        <is>
          <t>%</t>
        </is>
      </c>
      <c r="F1778" s="2" t="inlineStr">
        <is>
          <t>Eurostat (data/cc-114/eurostat_extract.csv, retrieved 6 Oct 2026)</t>
        </is>
      </c>
      <c r="G1778" s="2" t="inlineStr">
        <is>
          <t>Malta's share of EU-27 real GVA 2024: 0.13%</t>
        </is>
      </c>
      <c r="H1778" s="2" t="inlineStr"/>
    </row>
    <row r="1779">
      <c r="A1779" s="5" t="inlineStr">
        <is>
          <t>CC-114</t>
        </is>
      </c>
      <c r="B1779" s="2" t="inlineStr">
        <is>
          <t>CC-114:41</t>
        </is>
      </c>
      <c r="C1779" s="2" t="inlineStr">
        <is>
          <t>EU-27 (bridging table): fuel bought abroad by resident units, air transport, 2013 -&gt; 2024</t>
        </is>
      </c>
      <c r="D1779" s="2" t="inlineStr">
        <is>
          <t>84.0 -&gt; 107.4</t>
        </is>
      </c>
      <c r="E1779" s="2" t="inlineStr">
        <is>
          <t>Mt CO2e</t>
        </is>
      </c>
      <c r="F1779" s="2" t="inlineStr">
        <is>
          <t>Eurostat (data/cc-114/eurostat_extract.csv, retrieved 6 Oct 2026)</t>
        </is>
      </c>
      <c r="G1779" s="2" t="inlineStr">
        <is>
          <t>+28%</t>
        </is>
      </c>
      <c r="H1779" s="2" t="inlineStr"/>
    </row>
    <row r="1780">
      <c r="A1780" s="5" t="inlineStr">
        <is>
          <t>CC-114</t>
        </is>
      </c>
      <c r="B1780" s="2" t="inlineStr">
        <is>
          <t>CC-114:42</t>
        </is>
      </c>
      <c r="C1780" s="2" t="inlineStr">
        <is>
          <t>Published: GHG of resident units per euro of GVA (Eurostat), change 2013-2024: Malta</t>
        </is>
      </c>
      <c r="D1780" s="2" t="inlineStr">
        <is>
          <t>14.3</t>
        </is>
      </c>
      <c r="E1780" s="2" t="inlineStr">
        <is>
          <t>%</t>
        </is>
      </c>
      <c r="F1780" s="2" t="inlineStr">
        <is>
          <t>Eurostat (data/cc-114/eurostat_extract.csv, retrieved 6 Oct 2026)</t>
        </is>
      </c>
      <c r="G1780" s="2" t="inlineStr">
        <is>
          <t>EU-27 -34.0%; Malta rank 27 of 27 (1 = largest fall); risers: MT</t>
        </is>
      </c>
      <c r="H1780" s="2" t="inlineStr"/>
    </row>
    <row r="1781">
      <c r="A1781" s="5" t="inlineStr">
        <is>
          <t>CC-114</t>
        </is>
      </c>
      <c r="B1781" s="2" t="inlineStr">
        <is>
          <t>CC-114:43</t>
        </is>
      </c>
      <c r="C1781" s="2" t="inlineStr">
        <is>
          <t>Same, without air transport emissions (H51), change 2013-2024: Malta</t>
        </is>
      </c>
      <c r="D1781" s="2" t="inlineStr">
        <is>
          <t>-64.0</t>
        </is>
      </c>
      <c r="E1781" s="2" t="inlineStr">
        <is>
          <t>%</t>
        </is>
      </c>
      <c r="F1781" s="2" t="inlineStr">
        <is>
          <t>Eurostat (data/cc-114/eurostat_extract.csv, retrieved 6 Oct 2026)</t>
        </is>
      </c>
      <c r="G1781" s="2" t="inlineStr">
        <is>
          <t>EU-27 -35.2%; Malta rank 2 of 27 (1 = largest fall); risers: none</t>
        </is>
      </c>
      <c r="H1781" s="2" t="inlineStr"/>
    </row>
    <row r="1782">
      <c r="A1782" s="5" t="inlineStr">
        <is>
          <t>CC-114</t>
        </is>
      </c>
      <c r="B1782" s="2" t="inlineStr">
        <is>
          <t>CC-114:44</t>
        </is>
      </c>
      <c r="C1782" s="2" t="inlineStr">
        <is>
          <t>Same, without transport and storage (H) in emissions and GVA, change 2013-2024: Malta</t>
        </is>
      </c>
      <c r="D1782" s="2" t="inlineStr">
        <is>
          <t>-66.3</t>
        </is>
      </c>
      <c r="E1782" s="2" t="inlineStr">
        <is>
          <t>%</t>
        </is>
      </c>
      <c r="F1782" s="2" t="inlineStr">
        <is>
          <t>Eurostat (data/cc-114/eurostat_extract.csv, retrieved 6 Oct 2026)</t>
        </is>
      </c>
      <c r="G1782" s="2" t="inlineStr">
        <is>
          <t>EU-27 -38.3%; Malta rank 2 of 27 (1 = largest fall); risers: none</t>
        </is>
      </c>
      <c r="H1782" s="2" t="inlineStr"/>
    </row>
    <row r="1783">
      <c r="A1783" s="5" t="inlineStr">
        <is>
          <t>CC-114</t>
        </is>
      </c>
      <c r="B1783" s="2" t="inlineStr">
        <is>
          <t>CC-114:45</t>
        </is>
      </c>
      <c r="C1783" s="2" t="inlineStr">
        <is>
          <t>Territorial inventory per euro of GDP (volumes), change 2013-2024: Malta</t>
        </is>
      </c>
      <c r="D1783" s="2" t="inlineStr">
        <is>
          <t>-61.3</t>
        </is>
      </c>
      <c r="E1783" s="2" t="inlineStr">
        <is>
          <t>%</t>
        </is>
      </c>
      <c r="F1783" s="2" t="inlineStr">
        <is>
          <t>Eurostat (data/cc-114/eurostat_extract.csv, retrieved 6 Oct 2026)</t>
        </is>
      </c>
      <c r="G1783" s="2" t="inlineStr">
        <is>
          <t>EU-27 -35.5%; Malta rank 2 of 27 (1 = largest fall); risers: none</t>
        </is>
      </c>
      <c r="H1783" s="2" t="inlineStr"/>
    </row>
    <row r="1784">
      <c r="A1784" s="5" t="inlineStr">
        <is>
          <t>CC-114</t>
        </is>
      </c>
      <c r="B1784" s="2" t="inlineStr">
        <is>
          <t>CC-114:46</t>
        </is>
      </c>
      <c r="C1784" s="2" t="inlineStr">
        <is>
          <t>Territorial inventory per euro of GDP (current prices), change 2013-2024: Malta</t>
        </is>
      </c>
      <c r="D1784" s="2" t="inlineStr">
        <is>
          <t>-72.9</t>
        </is>
      </c>
      <c r="E1784" s="2" t="inlineStr">
        <is>
          <t>%</t>
        </is>
      </c>
      <c r="F1784" s="2" t="inlineStr">
        <is>
          <t>Eurostat (data/cc-114/eurostat_extract.csv, retrieved 6 Oct 2026)</t>
        </is>
      </c>
      <c r="G1784" s="2" t="inlineStr">
        <is>
          <t>EU-27 -50.4%; Malta rank 2 of 27 (1 = largest fall); risers: none</t>
        </is>
      </c>
      <c r="H1784" s="2" t="inlineStr"/>
    </row>
    <row r="1785">
      <c r="A1785" s="5" t="inlineStr">
        <is>
          <t>CC-114</t>
        </is>
      </c>
      <c r="B1785" s="2" t="inlineStr">
        <is>
          <t>CC-114:47</t>
        </is>
      </c>
      <c r="C1785" s="2" t="inlineStr">
        <is>
          <t>Territorial inventory per person, change 2013-2024: Malta</t>
        </is>
      </c>
      <c r="D1785" s="2" t="inlineStr">
        <is>
          <t>-42.6</t>
        </is>
      </c>
      <c r="E1785" s="2" t="inlineStr">
        <is>
          <t>%</t>
        </is>
      </c>
      <c r="F1785" s="2" t="inlineStr">
        <is>
          <t>Eurostat (data/cc-114/eurostat_extract.csv, retrieved 6 Oct 2026)</t>
        </is>
      </c>
      <c r="G1785" s="2" t="inlineStr">
        <is>
          <t>EU-27 -24.2%; Malta rank 3 of 27 (1 = largest fall); risers: HR</t>
        </is>
      </c>
      <c r="H1785" s="2" t="inlineStr"/>
    </row>
    <row r="1786">
      <c r="A1786" s="5" t="inlineStr">
        <is>
          <t>CC-114</t>
        </is>
      </c>
      <c r="B1786" s="2" t="inlineStr">
        <is>
          <t>CC-114:48</t>
        </is>
      </c>
      <c r="C1786" s="2" t="inlineStr">
        <is>
          <t>Residence accounts incl. households, per person, change 2013-2024: Malta</t>
        </is>
      </c>
      <c r="D1786" s="2" t="inlineStr">
        <is>
          <t>69.2</t>
        </is>
      </c>
      <c r="E1786" s="2" t="inlineStr">
        <is>
          <t>%</t>
        </is>
      </c>
      <c r="F1786" s="2" t="inlineStr">
        <is>
          <t>Eurostat (data/cc-114/eurostat_extract.csv, retrieved 6 Oct 2026)</t>
        </is>
      </c>
      <c r="G1786" s="2" t="inlineStr">
        <is>
          <t>EU-27 -21.2%; Malta rank 27 of 27 (1 = largest fall); risers: HR, LV, LT, MT, RO</t>
        </is>
      </c>
      <c r="H1786" s="2" t="inlineStr"/>
    </row>
    <row r="1787">
      <c r="A1787" s="5" t="inlineStr">
        <is>
          <t>CC-114</t>
        </is>
      </c>
      <c r="B1787" s="2" t="inlineStr">
        <is>
          <t>CC-114:49</t>
        </is>
      </c>
      <c r="C1787" s="2" t="inlineStr">
        <is>
          <t>Cross-check with CC-025: territorial GHG per unit of GDP, Malta 2005-2024, volumes / current prices</t>
        </is>
      </c>
      <c r="D1787" s="2" t="inlineStr">
        <is>
          <t>-72.2 / -83.8</t>
        </is>
      </c>
      <c r="E1787" s="2" t="inlineStr">
        <is>
          <t>%</t>
        </is>
      </c>
      <c r="F1787" s="2" t="inlineStr">
        <is>
          <t>Eurostat (data/cc-114/eurostat_extract.csv, retrieved 6 Oct 2026)</t>
        </is>
      </c>
      <c r="G1787" s="2" t="inlineStr">
        <is>
          <t>CC-025 reported -72% (volumes) and -84% (current prices)</t>
        </is>
      </c>
      <c r="H1787" s="2" t="inlineStr"/>
    </row>
    <row r="1788">
      <c r="A1788" s="5" t="inlineStr">
        <is>
          <t>CC-114</t>
        </is>
      </c>
      <c r="B1788" s="2" t="inlineStr">
        <is>
          <t>CC-114:50</t>
        </is>
      </c>
      <c r="C1788" s="2" t="inlineStr">
        <is>
          <t>EU-27: territorial GHG per unit of GDP 2005-2024, volumes / current prices</t>
        </is>
      </c>
      <c r="D1788" s="2" t="inlineStr">
        <is>
          <t>-47.9 / -64.7</t>
        </is>
      </c>
      <c r="E1788" s="2" t="inlineStr">
        <is>
          <t>%</t>
        </is>
      </c>
      <c r="F1788" s="2" t="inlineStr">
        <is>
          <t>Eurostat (data/cc-114/eurostat_extract.csv, retrieved 6 Oct 2026)</t>
        </is>
      </c>
      <c r="G1788" s="2" t="inlineStr"/>
      <c r="H1788" s="2" t="inlineStr"/>
    </row>
    <row r="1789">
      <c r="A1789" s="5" t="inlineStr">
        <is>
          <t>CC-114</t>
        </is>
      </c>
      <c r="B1789" s="2" t="inlineStr">
        <is>
          <t>CC-114:51</t>
        </is>
      </c>
      <c r="C1789" s="2" t="inlineStr">
        <is>
          <t>CC-025 checks.csv, same figures</t>
        </is>
      </c>
      <c r="D1789" s="2" t="inlineStr">
        <is>
          <t>-72.2 / -83.8</t>
        </is>
      </c>
      <c r="E1789" s="2" t="inlineStr">
        <is>
          <t>%</t>
        </is>
      </c>
      <c r="F1789" s="2" t="inlineStr">
        <is>
          <t>data/cc-025/checks.csv</t>
        </is>
      </c>
      <c r="G1789" s="2" t="inlineStr"/>
      <c r="H1789" s="2" t="inlineStr"/>
    </row>
    <row r="1790">
      <c r="A1790" s="5" t="inlineStr">
        <is>
          <t>CC-114</t>
        </is>
      </c>
      <c r="B1790" s="2" t="inlineStr">
        <is>
          <t>CC-114:52</t>
        </is>
      </c>
      <c r="C1790" s="2" t="inlineStr">
        <is>
          <t>Malta: inventory memo items, international navigation / aviation bunkers sold in Malta, 2024</t>
        </is>
      </c>
      <c r="D1790" s="2" t="inlineStr">
        <is>
          <t>6.81 / 0.53</t>
        </is>
      </c>
      <c r="E1790" s="2" t="inlineStr">
        <is>
          <t>Mt CO2e</t>
        </is>
      </c>
      <c r="F1790" s="2" t="inlineStr">
        <is>
          <t>Eurostat (data/cc-114/eurostat_extract.csv, retrieved 6 Oct 2026)</t>
        </is>
      </c>
      <c r="G1790" s="2" t="inlineStr">
        <is>
          <t>fuel sold on the territory to ships and aircraft of any residence; outside both measures above</t>
        </is>
      </c>
      <c r="H1790" s="2" t="inlineStr"/>
    </row>
    <row r="1791">
      <c r="A1791" s="5" t="inlineStr">
        <is>
          <t>CC-114</t>
        </is>
      </c>
      <c r="B1791" s="2" t="inlineStr">
        <is>
          <t>CC-114:53</t>
        </is>
      </c>
      <c r="C1791" s="2" t="inlineStr">
        <is>
          <t>Without air transport: Malta's change to 2024 from every base year 2008-2023 (all falls?)</t>
        </is>
      </c>
      <c r="D1791" s="2" t="inlineStr">
        <is>
          <t>yes: -8.5% (base 2023) to -72.3% (base 2008)</t>
        </is>
      </c>
      <c r="E1791" s="2" t="inlineStr">
        <is>
          <t>%</t>
        </is>
      </c>
      <c r="F1791" s="2" t="inlineStr">
        <is>
          <t>Eurostat (data/cc-114/eurostat_extract.csv, retrieved 6 Oct 2026)</t>
        </is>
      </c>
      <c r="G1791" s="2" t="inlineStr">
        <is>
          <t>rank 1 = largest fall; data/cc-114/sensitivity_base_years.csv</t>
        </is>
      </c>
      <c r="H1791" s="2" t="inlineStr"/>
    </row>
    <row r="1792">
      <c r="A1792" s="5" t="inlineStr">
        <is>
          <t>CC-114</t>
        </is>
      </c>
      <c r="B1792" s="2" t="inlineStr">
        <is>
          <t>CC-114:54</t>
        </is>
      </c>
      <c r="C1792" s="2" t="inlineStr">
        <is>
          <t>Territorial inventory per euro of GDP: Malta's change to 2024 from every base year 2008-2023 (all falls?)</t>
        </is>
      </c>
      <c r="D1792" s="2" t="inlineStr">
        <is>
          <t>yes: -6.6% to -69.3%</t>
        </is>
      </c>
      <c r="E1792" s="2" t="inlineStr">
        <is>
          <t>%</t>
        </is>
      </c>
      <c r="F1792" s="2" t="inlineStr">
        <is>
          <t>Eurostat (data/cc-114/eurostat_extract.csv, retrieved 6 Oct 2026)</t>
        </is>
      </c>
      <c r="G1792" s="2" t="inlineStr"/>
      <c r="H1792" s="2" t="inlineStr"/>
    </row>
    <row r="1793">
      <c r="A1793" s="5" t="inlineStr">
        <is>
          <t>CC-114</t>
        </is>
      </c>
      <c r="B1793" s="2" t="inlineStr">
        <is>
          <t>CC-114:55</t>
        </is>
      </c>
      <c r="C1793" s="2" t="inlineStr">
        <is>
          <t>From base 2016 to 2024: without air transport / territorial per euro of GDP (Malta, rank, EU-27)</t>
        </is>
      </c>
      <c r="D1793" s="2" t="inlineStr">
        <is>
          <t>-29.5% (17th; EU -30.1%) / -27.1% (21st; EU -29.8%)</t>
        </is>
      </c>
      <c r="E1793" s="2" t="inlineStr">
        <is>
          <t>%</t>
        </is>
      </c>
      <c r="F1793" s="2" t="inlineStr">
        <is>
          <t>Eurostat (data/cc-114/eurostat_extract.csv, retrieved 6 Oct 2026)</t>
        </is>
      </c>
      <c r="G1793" s="2" t="inlineStr">
        <is>
          <t>the falls since 2013 come mostly from 2014-2016</t>
        </is>
      </c>
      <c r="H1793" s="2" t="inlineStr"/>
    </row>
    <row r="1794">
      <c r="A1794" s="5" t="inlineStr">
        <is>
          <t>CC-114</t>
        </is>
      </c>
      <c r="B1794" s="2" t="inlineStr">
        <is>
          <t>CC-114:56</t>
        </is>
      </c>
      <c r="C1794" s="2" t="inlineStr">
        <is>
          <t>Malta: electricity, gas, steam (D) emissions 2013 / 2016 / 2024; change from 2016</t>
        </is>
      </c>
      <c r="D1794" s="2" t="inlineStr">
        <is>
          <t>1703 / 581 / 743</t>
        </is>
      </c>
      <c r="E1794" s="2" t="inlineStr">
        <is>
          <t>kt CO2e</t>
        </is>
      </c>
      <c r="F1794" s="2" t="inlineStr">
        <is>
          <t>Eurostat (data/cc-114/eurostat_extract.csv, retrieved 6 Oct 2026)</t>
        </is>
      </c>
      <c r="G1794" s="2" t="inlineStr">
        <is>
          <t>+28% from 2016</t>
        </is>
      </c>
      <c r="H1794" s="2" t="inlineStr"/>
    </row>
    <row r="1795">
      <c r="A1795" s="5" t="inlineStr">
        <is>
          <t>CC-114</t>
        </is>
      </c>
      <c r="B1795" s="2" t="inlineStr">
        <is>
          <t>CC-114:57</t>
        </is>
      </c>
      <c r="C1795" s="2" t="inlineStr">
        <is>
          <t>In the PN's favour: published indicator, Malta's rise to 2024 from base years 2014-2019</t>
        </is>
      </c>
      <c r="D1795" s="2" t="inlineStr">
        <is>
          <t>+19.5% to +97.0%</t>
        </is>
      </c>
      <c r="E1795" s="2" t="inlineStr">
        <is>
          <t>%</t>
        </is>
      </c>
      <c r="F1795" s="2" t="inlineStr">
        <is>
          <t>Eurostat (data/cc-114/eurostat_extract.csv, retrieved 6 Oct 2026)</t>
        </is>
      </c>
      <c r="G1795" s="2" t="inlineStr">
        <is>
          <t>2013 is not a convenient base for the PN</t>
        </is>
      </c>
      <c r="H1795" s="2" t="inlineStr"/>
    </row>
    <row r="1796">
      <c r="A1796" s="5" t="inlineStr">
        <is>
          <t>CC-114</t>
        </is>
      </c>
      <c r="B1796" s="2" t="inlineStr">
        <is>
          <t>CC-114:58</t>
        </is>
      </c>
      <c r="C1796" s="2" t="inlineStr">
        <is>
          <t>Bound: Malta's 2024 indicator with zero electricity-sector (D) emissions, vs 2013</t>
        </is>
      </c>
      <c r="D1796" s="2" t="inlineStr">
        <is>
          <t>329.8 vs 325.21</t>
        </is>
      </c>
      <c r="E1796" s="2" t="inlineStr">
        <is>
          <t>g/EUR</t>
        </is>
      </c>
      <c r="F1796" s="2" t="inlineStr">
        <is>
          <t>Eurostat (data/cc-114/eurostat_extract.csv, retrieved 6 Oct 2026)</t>
        </is>
      </c>
      <c r="G1796" s="2" t="inlineStr">
        <is>
          <t>+1.4%: still above 2013, so more renewable electricity, on its own, could not have removed the rise (371.69 x (1 - D/TOTAL 2024)); tests electricity-sector emissions (NACE D) only</t>
        </is>
      </c>
      <c r="H1796" s="2" t="inlineStr"/>
    </row>
    <row r="1797">
      <c r="A1797" s="5" t="inlineStr">
        <is>
          <t>CC-114</t>
        </is>
      </c>
      <c r="B1797" s="2" t="inlineStr">
        <is>
          <t>CC-114:59</t>
        </is>
      </c>
      <c r="C1797" s="2" t="inlineStr">
        <is>
          <t>Intensity view: air transport (H51) emissions per euro of Malta's total GVA, 2013 / 2024 (2024 estimate, flag i)</t>
        </is>
      </c>
      <c r="D1797" s="2" t="inlineStr">
        <is>
          <t>35.6 / 265.5</t>
        </is>
      </c>
      <c r="E1797" s="2" t="inlineStr">
        <is>
          <t>g/EUR</t>
        </is>
      </c>
      <c r="F1797" s="2" t="inlineStr">
        <is>
          <t>Eurostat (data/cc-114/eurostat_extract.csv, retrieved 6 Oct 2026)</t>
        </is>
      </c>
      <c r="G1797" s="2" t="inlineStr">
        <is>
          <t>air transport alone, divided by total real GVA; the 2024 value is an estimate</t>
        </is>
      </c>
      <c r="H1797" s="2" t="inlineStr"/>
    </row>
    <row r="1798">
      <c r="A1798" s="5" t="inlineStr">
        <is>
          <t>CC-114</t>
        </is>
      </c>
      <c r="B1798" s="2" t="inlineStr">
        <is>
          <t>CC-114:60</t>
        </is>
      </c>
      <c r="C1798" s="2" t="inlineStr">
        <is>
          <t>Is 2024 with D zeroed above 2013? (bound test)</t>
        </is>
      </c>
      <c r="D1798" s="2" t="inlineStr">
        <is>
          <t>yes</t>
        </is>
      </c>
      <c r="E1798" s="2" t="inlineStr"/>
      <c r="F1798" s="2" t="inlineStr">
        <is>
          <t>Eurostat (data/cc-114/eurostat_extract.csv, retrieved 6 Oct 2026)</t>
        </is>
      </c>
      <c r="G1798" s="2" t="inlineStr">
        <is>
          <t>329.8 against 325.21 g/EUR</t>
        </is>
      </c>
      <c r="H1798" s="2" t="inlineStr"/>
    </row>
    <row r="1799">
      <c r="A1799" s="5" t="inlineStr">
        <is>
          <t>CC-114</t>
        </is>
      </c>
      <c r="B1799" s="2" t="inlineStr">
        <is>
          <t>CC-114:61</t>
        </is>
      </c>
      <c r="C1799" s="2" t="inlineStr">
        <is>
          <t>Air transport (H51) 2024 emissions, estimate (flag i)</t>
        </is>
      </c>
      <c r="D1799" s="2" t="inlineStr">
        <is>
          <t>4730</t>
        </is>
      </c>
      <c r="E1799" s="2" t="inlineStr">
        <is>
          <t>kt CO2e</t>
        </is>
      </c>
      <c r="F1799" s="2" t="inlineStr">
        <is>
          <t>Eurostat (data/cc-114/eurostat_extract.csv, retrieved 6 Oct 2026)</t>
        </is>
      </c>
      <c r="G1799" s="2" t="inlineStr">
        <is>
          <t>flag i</t>
        </is>
      </c>
      <c r="H1799" s="2" t="inlineStr"/>
    </row>
    <row r="1800">
      <c r="A1800" s="5" t="inlineStr">
        <is>
          <t>CC-114</t>
        </is>
      </c>
      <c r="B1800" s="2" t="inlineStr">
        <is>
          <t>CC-114:62</t>
        </is>
      </c>
      <c r="C1800" s="2" t="inlineStr">
        <is>
          <t>Malta renewable shares 2013 -&gt; 2024: electricity / overall</t>
        </is>
      </c>
      <c r="D1800" s="2" t="inlineStr">
        <is>
          <t>1.6 -&gt; 10.7 / 3.8 -&gt; 17.2</t>
        </is>
      </c>
      <c r="E1800" s="2" t="inlineStr">
        <is>
          <t>%</t>
        </is>
      </c>
      <c r="F1800" s="2" t="inlineStr">
        <is>
          <t>Eurostat (data/cc-114/eurostat_extract.csv, retrieved 6 Oct 2026)</t>
        </is>
      </c>
      <c r="G1800" s="2" t="inlineStr">
        <is>
          <t>shares rose over the period</t>
        </is>
      </c>
      <c r="H1800" s="2" t="inlineStr"/>
    </row>
    <row r="1801">
      <c r="A1801" s="5" t="inlineStr">
        <is>
          <t>CC-114</t>
        </is>
      </c>
      <c r="B1801" s="2" t="inlineStr">
        <is>
          <t>CC-114:63</t>
        </is>
      </c>
      <c r="C1801" s="2" t="inlineStr">
        <is>
          <t>Malta: components of NACE-total GHG 2013 -&gt; 2024: air transport / electricity (D) / other transport (H less H51) / all other activities</t>
        </is>
      </c>
      <c r="D1801" s="2" t="inlineStr">
        <is>
          <t>0.30 -&gt; 4.73 / 1.70 -&gt; 0.74 / 0.18 -&gt; 0.26 / 0.59 -&gt; 0.86</t>
        </is>
      </c>
      <c r="E1801" s="2" t="inlineStr">
        <is>
          <t>Mt CO2e</t>
        </is>
      </c>
      <c r="F1801" s="2" t="inlineStr">
        <is>
          <t>Eurostat (data/cc-114/eurostat_extract.csv, retrieved 6 Oct 2026)</t>
        </is>
      </c>
      <c r="G1801" s="2" t="inlineStr">
        <is>
          <t>sum = NACE total; Figure 2's 'other activities' = other transport + all other</t>
        </is>
      </c>
      <c r="H1801" s="2" t="inlineStr"/>
    </row>
    <row r="1802">
      <c r="A1802" s="5" t="inlineStr">
        <is>
          <t>CC-114</t>
        </is>
      </c>
      <c r="B1802" s="2" t="inlineStr">
        <is>
          <t>CC-114:64</t>
        </is>
      </c>
      <c r="C1802" s="2" t="inlineStr">
        <is>
          <t>Malta (bridging table): air-transport fuel bought abroad as share of air transport (H51), 2013 / 2024</t>
        </is>
      </c>
      <c r="D1802" s="2" t="inlineStr">
        <is>
          <t>299 of 304 kt / 100%</t>
        </is>
      </c>
      <c r="E1802" s="2" t="inlineStr"/>
      <c r="F1802" s="2" t="inlineStr">
        <is>
          <t>Eurostat (data/cc-114/eurostat_extract.csv, retrieved 6 Oct 2026)</t>
        </is>
      </c>
      <c r="G1802" s="2" t="inlineStr">
        <is>
          <t>rise in fuel bought abroad 4431 kt &gt;= rise in H51 4426 kt: all of the rise</t>
        </is>
      </c>
      <c r="H1802" s="2" t="inlineStr"/>
    </row>
    <row r="1803">
      <c r="A1803" s="5" t="inlineStr">
        <is>
          <t>CC-114</t>
        </is>
      </c>
      <c r="B1803" s="2" t="inlineStr">
        <is>
          <t>CC-114:65</t>
        </is>
      </c>
      <c r="C1803" s="2" t="inlineStr">
        <is>
          <t>Estonia: emissions change 2013-2024, residence accounts / territorial inventory (the release says 'reduced emissions by')</t>
        </is>
      </c>
      <c r="D1803" s="2" t="inlineStr">
        <is>
          <t>-55.4 / -53.1</t>
        </is>
      </c>
      <c r="E1803" s="2" t="inlineStr">
        <is>
          <t>%</t>
        </is>
      </c>
      <c r="F1803" s="2" t="inlineStr">
        <is>
          <t>Eurostat (data/cc-114/eurostat_extract.csv, retrieved 6 Oct 2026)</t>
        </is>
      </c>
      <c r="G1803" s="2" t="inlineStr">
        <is>
          <t>intensity change -63.9%; 2024 flags: accounts 'i', intensity 'i', inventory ''</t>
        </is>
      </c>
      <c r="H1803" s="2" t="inlineStr"/>
    </row>
    <row r="1804">
      <c r="A1804" s="5" t="inlineStr">
        <is>
          <t>CC-114</t>
        </is>
      </c>
      <c r="B1804" s="2" t="inlineStr">
        <is>
          <t>CC-114:66</t>
        </is>
      </c>
      <c r="C1804" s="2" t="inlineStr">
        <is>
          <t>Ireland: emissions change 2013-2024, residence accounts / territorial inventory (the release says 'reduced emissions by')</t>
        </is>
      </c>
      <c r="D1804" s="2" t="inlineStr">
        <is>
          <t>+13.7 / -6.9</t>
        </is>
      </c>
      <c r="E1804" s="2" t="inlineStr">
        <is>
          <t>%</t>
        </is>
      </c>
      <c r="F1804" s="2" t="inlineStr">
        <is>
          <t>Eurostat (data/cc-114/eurostat_extract.csv, retrieved 6 Oct 2026)</t>
        </is>
      </c>
      <c r="G1804" s="2" t="inlineStr">
        <is>
          <t>intensity change -50.2%; 2024 flags: accounts 'e', intensity 'e', inventory ''</t>
        </is>
      </c>
      <c r="H1804" s="2" t="inlineStr"/>
    </row>
    <row r="1805">
      <c r="A1805" s="5" t="inlineStr">
        <is>
          <t>CC-114</t>
        </is>
      </c>
      <c r="B1805" s="2" t="inlineStr">
        <is>
          <t>CC-114:67</t>
        </is>
      </c>
      <c r="C1805" s="2" t="inlineStr">
        <is>
          <t>Finland: emissions change 2013-2024, residence accounts / territorial inventory (the release says 'reduced emissions by')</t>
        </is>
      </c>
      <c r="D1805" s="2" t="inlineStr">
        <is>
          <t>-37.9 / -37.6</t>
        </is>
      </c>
      <c r="E1805" s="2" t="inlineStr">
        <is>
          <t>%</t>
        </is>
      </c>
      <c r="F1805" s="2" t="inlineStr">
        <is>
          <t>Eurostat (data/cc-114/eurostat_extract.csv, retrieved 6 Oct 2026)</t>
        </is>
      </c>
      <c r="G1805" s="2" t="inlineStr">
        <is>
          <t>intensity change -43.9%; 2024 flags: accounts 'i', intensity 'i', inventory ''</t>
        </is>
      </c>
      <c r="H1805" s="2" t="inlineStr"/>
    </row>
    <row r="1806">
      <c r="A1806" s="5" t="inlineStr">
        <is>
          <t>CC-114</t>
        </is>
      </c>
      <c r="B1806" s="2" t="inlineStr">
        <is>
          <t>CC-114:68</t>
        </is>
      </c>
      <c r="C1806" s="2" t="inlineStr">
        <is>
          <t>Ireland: air transport (H51) 2013 -&gt; 2024 and its share of the rise in residence emissions</t>
        </is>
      </c>
      <c r="D1806" s="2" t="inlineStr">
        <is>
          <t>9.90 -&gt; 16.32 Mt; 87%</t>
        </is>
      </c>
      <c r="E1806" s="2" t="inlineStr"/>
      <c r="F1806" s="2" t="inlineStr">
        <is>
          <t>Eurostat (data/cc-114/eurostat_extract.csv, retrieved 6 Oct 2026)</t>
        </is>
      </c>
      <c r="G1806" s="2" t="inlineStr">
        <is>
          <t>territorial inventory 57.95 -&gt; 53.93 Mt</t>
        </is>
      </c>
      <c r="H1806" s="2" t="inlineStr"/>
    </row>
    <row r="1807">
      <c r="A1807" s="5" t="inlineStr">
        <is>
          <t>CC-114</t>
        </is>
      </c>
      <c r="B1807" s="2" t="inlineStr">
        <is>
          <t>CC-114:69</t>
        </is>
      </c>
      <c r="C1807" s="2" t="inlineStr">
        <is>
          <t>EU-27 published intensity flags 2013 / 2023 / 2024</t>
        </is>
      </c>
      <c r="D1807" s="2" t="inlineStr">
        <is>
          <t>i / i / i</t>
        </is>
      </c>
      <c r="E1807" s="2" t="inlineStr">
        <is>
          <t>flags</t>
        </is>
      </c>
      <c r="F1807" s="2" t="inlineStr">
        <is>
          <t>Eurostat (data/cc-114/eurostat_extract.csv, retrieved 6 Oct 2026)</t>
        </is>
      </c>
      <c r="G1807" s="2" t="inlineStr"/>
      <c r="H1807" s="2" t="inlineStr"/>
    </row>
    <row r="1808">
      <c r="A1808" s="5" t="inlineStr">
        <is>
          <t>CC-114</t>
        </is>
      </c>
      <c r="B1808" s="2" t="inlineStr">
        <is>
          <t>CC-114:70</t>
        </is>
      </c>
      <c r="C1808" s="2" t="inlineStr">
        <is>
          <t>Eurostat news 18 Dec 2025: EU share and three lowest (vs current nrg_ind_ren)</t>
        </is>
      </c>
      <c r="D1808" s="2" t="inlineStr">
        <is>
          <t>EU 25.2; BE 14.3 (now 14.3), LU 14.7 (now 14.7), IE 16.1 (now 16.1)</t>
        </is>
      </c>
      <c r="E1808" s="2" t="inlineStr">
        <is>
          <t>%</t>
        </is>
      </c>
      <c r="F1808" s="2" t="inlineStr">
        <is>
          <t>data/cc-114/eurostat_ren_news_dec2025.csv</t>
        </is>
      </c>
      <c r="G1808" s="2" t="inlineStr">
        <is>
          <t>Malta not among them in the release the PN could have used; Malta now 17.2</t>
        </is>
      </c>
      <c r="H1808" s="2" t="inlineStr"/>
    </row>
    <row r="1809">
      <c r="A1809" s="5" t="inlineStr">
        <is>
          <t>CC-114</t>
        </is>
      </c>
      <c r="B1809" s="2" t="inlineStr">
        <is>
          <t>CC-114:71</t>
        </is>
      </c>
      <c r="C1809" s="2" t="inlineStr">
        <is>
          <t>Renewable share, overall (gross final energy consumption), 2023: Malta / EU-27</t>
        </is>
      </c>
      <c r="D1809" s="2" t="inlineStr">
        <is>
          <t>15.4 / 24.6</t>
        </is>
      </c>
      <c r="E1809" s="2" t="inlineStr">
        <is>
          <t>%</t>
        </is>
      </c>
      <c r="F1809" s="2" t="inlineStr">
        <is>
          <t>Eurostat (data/cc-114/eurostat_extract.csv, retrieved 6 Oct 2026)</t>
        </is>
      </c>
      <c r="G1809" s="2" t="inlineStr">
        <is>
          <t>Malta 4 from the bottom of 27; lowest three: LU 14.3, BE 14.7, IE 15.2</t>
        </is>
      </c>
      <c r="H1809" s="2" t="inlineStr"/>
    </row>
    <row r="1810">
      <c r="A1810" s="5" t="inlineStr">
        <is>
          <t>CC-114</t>
        </is>
      </c>
      <c r="B1810" s="2" t="inlineStr">
        <is>
          <t>CC-114:72</t>
        </is>
      </c>
      <c r="C1810" s="2" t="inlineStr">
        <is>
          <t>Renewable share, overall (gross final energy consumption), 2024: Malta / EU-27</t>
        </is>
      </c>
      <c r="D1810" s="2" t="inlineStr">
        <is>
          <t>17.2 / 25.2</t>
        </is>
      </c>
      <c r="E1810" s="2" t="inlineStr">
        <is>
          <t>%</t>
        </is>
      </c>
      <c r="F1810" s="2" t="inlineStr">
        <is>
          <t>Eurostat (data/cc-114/eurostat_extract.csv, retrieved 6 Oct 2026)</t>
        </is>
      </c>
      <c r="G1810" s="2" t="inlineStr">
        <is>
          <t>Malta 4 from the bottom of 27; lowest three: BE 14.3, LU 14.7, IE 16.1</t>
        </is>
      </c>
      <c r="H1810" s="2" t="inlineStr"/>
    </row>
    <row r="1811">
      <c r="A1811" s="5" t="inlineStr">
        <is>
          <t>CC-114</t>
        </is>
      </c>
      <c r="B1811" s="2" t="inlineStr">
        <is>
          <t>CC-114:73</t>
        </is>
      </c>
      <c r="C1811" s="2" t="inlineStr">
        <is>
          <t>Renewable share, electricity, 2023: Malta / EU-27</t>
        </is>
      </c>
      <c r="D1811" s="2" t="inlineStr">
        <is>
          <t>10.7 / 45.4</t>
        </is>
      </c>
      <c r="E1811" s="2" t="inlineStr">
        <is>
          <t>%</t>
        </is>
      </c>
      <c r="F1811" s="2" t="inlineStr">
        <is>
          <t>Eurostat (data/cc-114/eurostat_extract.csv, retrieved 6 Oct 2026)</t>
        </is>
      </c>
      <c r="G1811" s="2" t="inlineStr">
        <is>
          <t>Malta 1 from the bottom of 27; lowest three: MT 10.7, CZ 16.4, LU 18.2</t>
        </is>
      </c>
      <c r="H1811" s="2" t="inlineStr"/>
    </row>
    <row r="1812">
      <c r="A1812" s="5" t="inlineStr">
        <is>
          <t>CC-114</t>
        </is>
      </c>
      <c r="B1812" s="2" t="inlineStr">
        <is>
          <t>CC-114:74</t>
        </is>
      </c>
      <c r="C1812" s="2" t="inlineStr">
        <is>
          <t>Renewable share, electricity, 2024: Malta / EU-27</t>
        </is>
      </c>
      <c r="D1812" s="2" t="inlineStr">
        <is>
          <t>10.7 / 47.5</t>
        </is>
      </c>
      <c r="E1812" s="2" t="inlineStr">
        <is>
          <t>%</t>
        </is>
      </c>
      <c r="F1812" s="2" t="inlineStr">
        <is>
          <t>Eurostat (data/cc-114/eurostat_extract.csv, retrieved 6 Oct 2026)</t>
        </is>
      </c>
      <c r="G1812" s="2" t="inlineStr">
        <is>
          <t>Malta 1 from the bottom of 27; lowest three: MT 10.7, CZ 17.9, LU 20.5</t>
        </is>
      </c>
      <c r="H1812" s="2" t="inlineStr"/>
    </row>
    <row r="1813">
      <c r="A1813" s="5" t="inlineStr">
        <is>
          <t>CC-114</t>
        </is>
      </c>
      <c r="B1813" s="2" t="inlineStr">
        <is>
          <t>CC-114:75</t>
        </is>
      </c>
      <c r="C1813" s="2" t="inlineStr">
        <is>
          <t>Eurostat status flags on Malta values used</t>
        </is>
      </c>
      <c r="D1813" s="2" t="inlineStr">
        <is>
          <t>env_ac_aeint_r2 2024:i; env_ac_aibrid_r2 2024:i; env_ac_ainah_r2 2024:i</t>
        </is>
      </c>
      <c r="E1813" s="2" t="inlineStr">
        <is>
          <t>flags</t>
        </is>
      </c>
      <c r="F1813" s="2" t="inlineStr">
        <is>
          <t>Eurostat (data/cc-114/eurostat_extract.csv, retrieved 6 Oct 2026)</t>
        </is>
      </c>
      <c r="G1813" s="2" t="inlineStr">
        <is>
          <t>i = imputed by Eurostat or other receiving agencies; e = estimated; p = provisional</t>
        </is>
      </c>
      <c r="H1813" s="2" t="inlineStr"/>
    </row>
    <row r="1814">
      <c r="A1814" s="5" t="inlineStr">
        <is>
          <t>CC-115</t>
        </is>
      </c>
      <c r="B1814" s="2" t="inlineStr">
        <is>
          <t>CC-115:2</t>
        </is>
      </c>
      <c r="C1814" s="2" t="inlineStr">
        <is>
          <t>Malta: nominal GDP 2025 (current prices)</t>
        </is>
      </c>
      <c r="D1814" s="2" t="inlineStr">
        <is>
          <t>24664.0</t>
        </is>
      </c>
      <c r="E1814" s="2" t="inlineStr">
        <is>
          <t>EUR million</t>
        </is>
      </c>
      <c r="F1814" s="2" t="inlineStr">
        <is>
          <t>Eurostat nama_10_gdp (updated 2 Oct 2026), retrieved 5 Oct 2026; National Transport Master Plan 2030 p. 124</t>
        </is>
      </c>
      <c r="G1814" s="2" t="inlineStr"/>
      <c r="H1814" s="2" t="inlineStr"/>
    </row>
    <row r="1815">
      <c r="A1815" s="5" t="inlineStr">
        <is>
          <t>CC-115</t>
        </is>
      </c>
      <c r="B1815" s="2" t="inlineStr">
        <is>
          <t>CC-115:3</t>
        </is>
      </c>
      <c r="C1815" s="2" t="inlineStr">
        <is>
          <t>EUR 770 million as a share of nominal GDP 2025 (current prices)</t>
        </is>
      </c>
      <c r="D1815" s="2" t="inlineStr">
        <is>
          <t>3.12</t>
        </is>
      </c>
      <c r="E1815" s="2" t="inlineStr">
        <is>
          <t>%</t>
        </is>
      </c>
      <c r="F1815" s="2" t="inlineStr">
        <is>
          <t>Eurostat nama_10_gdp (updated 2 Oct 2026), retrieved 5 Oct 2026; National Transport Master Plan 2030 p. 124</t>
        </is>
      </c>
      <c r="G1815" s="2" t="inlineStr"/>
      <c r="H1815" s="2" t="inlineStr"/>
    </row>
    <row r="1816">
      <c r="A1816" s="5" t="inlineStr">
        <is>
          <t>CC-115</t>
        </is>
      </c>
      <c r="B1816" s="2" t="inlineStr">
        <is>
          <t>CC-115:4</t>
        </is>
      </c>
      <c r="C1816" s="2" t="inlineStr">
        <is>
          <t>Malta: nominal GDP 2024</t>
        </is>
      </c>
      <c r="D1816" s="2" t="inlineStr">
        <is>
          <t>23079.3</t>
        </is>
      </c>
      <c r="E1816" s="2" t="inlineStr">
        <is>
          <t>EUR million</t>
        </is>
      </c>
      <c r="F1816" s="2" t="inlineStr">
        <is>
          <t>Eurostat nama_10_gdp (updated 2 Oct 2026), retrieved 5 Oct 2026; National Transport Master Plan 2030 p. 124</t>
        </is>
      </c>
      <c r="G1816" s="2" t="inlineStr"/>
      <c r="H1816" s="2" t="inlineStr"/>
    </row>
    <row r="1817">
      <c r="A1817" s="5" t="inlineStr">
        <is>
          <t>CC-115</t>
        </is>
      </c>
      <c r="B1817" s="2" t="inlineStr">
        <is>
          <t>CC-115:5</t>
        </is>
      </c>
      <c r="C1817" s="2" t="inlineStr">
        <is>
          <t>EUR 770 million as a share of nominal GDP 2024</t>
        </is>
      </c>
      <c r="D1817" s="2" t="inlineStr">
        <is>
          <t>3.34</t>
        </is>
      </c>
      <c r="E1817" s="2" t="inlineStr">
        <is>
          <t>%</t>
        </is>
      </c>
      <c r="F1817" s="2" t="inlineStr">
        <is>
          <t>Eurostat nama_10_gdp (updated 2 Oct 2026), retrieved 5 Oct 2026; National Transport Master Plan 2030 p. 124</t>
        </is>
      </c>
      <c r="G1817" s="2" t="inlineStr"/>
      <c r="H1817" s="2" t="inlineStr"/>
    </row>
    <row r="1818">
      <c r="A1818" s="5" t="inlineStr">
        <is>
          <t>CC-115</t>
        </is>
      </c>
      <c r="B1818" s="2" t="inlineStr">
        <is>
          <t>CC-115:6</t>
        </is>
      </c>
      <c r="C1818" s="2" t="inlineStr">
        <is>
          <t>Malta: real GDP 2025 (chain-linked, 2020 prices)</t>
        </is>
      </c>
      <c r="D1818" s="2" t="inlineStr">
        <is>
          <t>19993.1</t>
        </is>
      </c>
      <c r="E1818" s="2" t="inlineStr">
        <is>
          <t>EUR million</t>
        </is>
      </c>
      <c r="F1818" s="2" t="inlineStr">
        <is>
          <t>Eurostat nama_10_gdp (updated 2 Oct 2026), retrieved 5 Oct 2026; National Transport Master Plan 2030 p. 124</t>
        </is>
      </c>
      <c r="G1818" s="2" t="inlineStr"/>
      <c r="H1818" s="2" t="inlineStr"/>
    </row>
    <row r="1819">
      <c r="A1819" s="5" t="inlineStr">
        <is>
          <t>CC-115</t>
        </is>
      </c>
      <c r="B1819" s="2" t="inlineStr">
        <is>
          <t>CC-115:7</t>
        </is>
      </c>
      <c r="C1819" s="2" t="inlineStr">
        <is>
          <t>EUR 770 million as a share of real GDP 2025 (chain-linked, 2020 prices)</t>
        </is>
      </c>
      <c r="D1819" s="2" t="inlineStr">
        <is>
          <t>3.85</t>
        </is>
      </c>
      <c r="E1819" s="2" t="inlineStr">
        <is>
          <t>%</t>
        </is>
      </c>
      <c r="F1819" s="2" t="inlineStr">
        <is>
          <t>Eurostat nama_10_gdp (updated 2 Oct 2026), retrieved 5 Oct 2026; National Transport Master Plan 2030 p. 124</t>
        </is>
      </c>
      <c r="G1819" s="2" t="inlineStr"/>
      <c r="H1819" s="2" t="inlineStr"/>
    </row>
    <row r="1820">
      <c r="A1820" s="5" t="inlineStr">
        <is>
          <t>CC-115</t>
        </is>
      </c>
      <c r="B1820" s="2" t="inlineStr">
        <is>
          <t>CC-115:8</t>
        </is>
      </c>
      <c r="C1820" s="2" t="inlineStr">
        <is>
          <t>Malta: real GDP 2025 (chain-linked, 2015 prices)</t>
        </is>
      </c>
      <c r="D1820" s="2" t="inlineStr">
        <is>
          <t>18019.8</t>
        </is>
      </c>
      <c r="E1820" s="2" t="inlineStr">
        <is>
          <t>EUR million</t>
        </is>
      </c>
      <c r="F1820" s="2" t="inlineStr">
        <is>
          <t>Eurostat nama_10_gdp (updated 2 Oct 2026), retrieved 5 Oct 2026; National Transport Master Plan 2030 p. 124</t>
        </is>
      </c>
      <c r="G1820" s="2" t="inlineStr"/>
      <c r="H1820" s="2" t="inlineStr"/>
    </row>
    <row r="1821">
      <c r="A1821" s="5" t="inlineStr">
        <is>
          <t>CC-115</t>
        </is>
      </c>
      <c r="B1821" s="2" t="inlineStr">
        <is>
          <t>CC-115:9</t>
        </is>
      </c>
      <c r="C1821" s="2" t="inlineStr">
        <is>
          <t>EUR 770 million as a share of real GDP 2025 (chain-linked, 2015 prices)</t>
        </is>
      </c>
      <c r="D1821" s="2" t="inlineStr">
        <is>
          <t>4.27</t>
        </is>
      </c>
      <c r="E1821" s="2" t="inlineStr">
        <is>
          <t>%</t>
        </is>
      </c>
      <c r="F1821" s="2" t="inlineStr">
        <is>
          <t>Eurostat nama_10_gdp (updated 2 Oct 2026), retrieved 5 Oct 2026; National Transport Master Plan 2030 p. 124</t>
        </is>
      </c>
      <c r="G1821" s="2" t="inlineStr"/>
      <c r="H1821" s="2" t="inlineStr"/>
    </row>
    <row r="1822">
      <c r="A1822" s="5" t="inlineStr">
        <is>
          <t>CC-115</t>
        </is>
      </c>
      <c r="B1822" s="2" t="inlineStr">
        <is>
          <t>CC-115:10</t>
        </is>
      </c>
      <c r="C1822" s="2" t="inlineStr">
        <is>
          <t>EUR 770 million as a share of the Chamber's own GDP figure (EUR 20.40 billion, real, 2025)</t>
        </is>
      </c>
      <c r="D1822" s="2" t="inlineStr">
        <is>
          <t>3.77</t>
        </is>
      </c>
      <c r="E1822" s="2" t="inlineStr">
        <is>
          <t>%</t>
        </is>
      </c>
      <c r="F1822" s="2" t="inlineStr">
        <is>
          <t>Eurostat nama_10_gdp (updated 2 Oct 2026), retrieved 5 Oct 2026; National Transport Master Plan 2030 p. 124</t>
        </is>
      </c>
      <c r="G1822" s="2" t="inlineStr">
        <is>
          <t>the Chamber's text gives real GDP of EUR 20.40bn for 2025</t>
        </is>
      </c>
      <c r="H1822" s="2" t="inlineStr"/>
    </row>
    <row r="1823">
      <c r="A1823" s="5" t="inlineStr">
        <is>
          <t>CC-115</t>
        </is>
      </c>
      <c r="B1823" s="2" t="inlineStr">
        <is>
          <t>CC-115:11</t>
        </is>
      </c>
      <c r="C1823" s="2" t="inlineStr">
        <is>
          <t>GDP that would make EUR 770 million equal to 3.4%</t>
        </is>
      </c>
      <c r="D1823" s="2" t="inlineStr">
        <is>
          <t>22647</t>
        </is>
      </c>
      <c r="E1823" s="2" t="inlineStr">
        <is>
          <t>EUR million</t>
        </is>
      </c>
      <c r="F1823" s="2" t="inlineStr">
        <is>
          <t>Eurostat nama_10_gdp (updated 2 Oct 2026), retrieved 5 Oct 2026; National Transport Master Plan 2030 p. 124</t>
        </is>
      </c>
      <c r="G1823" s="2" t="inlineStr">
        <is>
          <t>for comparison with the series above</t>
        </is>
      </c>
      <c r="H1823" s="2" t="inlineStr"/>
    </row>
    <row r="1824">
      <c r="A1824" s="5" t="inlineStr">
        <is>
          <t>CC-115</t>
        </is>
      </c>
      <c r="B1824" s="2" t="inlineStr">
        <is>
          <t>CC-115:12</t>
        </is>
      </c>
      <c r="C1824" s="2" t="inlineStr">
        <is>
          <t>Chamber's 2015 real GDP (EUR 11.34bn) vs Eurostat CLV20 2015</t>
        </is>
      </c>
      <c r="D1824" s="2" t="inlineStr">
        <is>
          <t>11340.7</t>
        </is>
      </c>
      <c r="E1824" s="2" t="inlineStr">
        <is>
          <t>EUR million</t>
        </is>
      </c>
      <c r="F1824" s="2" t="inlineStr">
        <is>
          <t>Eurostat nama_10_gdp (updated 2 Oct 2026), retrieved 5 Oct 2026; National Transport Master Plan 2030 p. 124</t>
        </is>
      </c>
      <c r="G1824" s="2" t="inlineStr">
        <is>
          <t>matches: the Chamber's GDP series is chain-linked volumes at 2020 prices (an earlier vintage for 2025)</t>
        </is>
      </c>
      <c r="H1824" s="2" t="inlineStr"/>
    </row>
    <row r="1825">
      <c r="A1825" s="5" t="inlineStr">
        <is>
          <t>CC-115</t>
        </is>
      </c>
      <c r="B1825" s="2" t="inlineStr">
        <is>
          <t>CC-115:13</t>
        </is>
      </c>
      <c r="C1825" s="2" t="inlineStr">
        <is>
          <t>Plan: projected increase 2025 to 2030</t>
        </is>
      </c>
      <c r="D1825" s="2" t="inlineStr">
        <is>
          <t>19.1</t>
        </is>
      </c>
      <c r="E1825" s="2" t="inlineStr">
        <is>
          <t>%</t>
        </is>
      </c>
      <c r="F1825" s="2" t="inlineStr">
        <is>
          <t>Eurostat nama_10_gdp (updated 2 Oct 2026), retrieved 5 Oct 2026; National Transport Master Plan 2030 p. 124</t>
        </is>
      </c>
      <c r="G1825" s="2" t="inlineStr">
        <is>
          <t>EUR 770m to EUR 917m</t>
        </is>
      </c>
      <c r="H1825" s="2" t="inlineStr"/>
    </row>
    <row r="1826">
      <c r="A1826" s="5" t="inlineStr">
        <is>
          <t>CC-115</t>
        </is>
      </c>
      <c r="B1826" s="2" t="inlineStr">
        <is>
          <t>CC-115:14</t>
        </is>
      </c>
      <c r="C1826" s="2" t="inlineStr">
        <is>
          <t>Plan: implied annual growth 2025-2030</t>
        </is>
      </c>
      <c r="D1826" s="2" t="inlineStr">
        <is>
          <t>3.56</t>
        </is>
      </c>
      <c r="E1826" s="2" t="inlineStr">
        <is>
          <t>%/yr</t>
        </is>
      </c>
      <c r="F1826" s="2" t="inlineStr">
        <is>
          <t>Eurostat nama_10_gdp (updated 2 Oct 2026), retrieved 5 Oct 2026; National Transport Master Plan 2030 p. 124</t>
        </is>
      </c>
      <c r="G1826" s="2" t="inlineStr"/>
      <c r="H1826" s="2" t="inlineStr"/>
    </row>
  </sheetData>
  <autoFilter ref="A1:H1826"/>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r:id="rId505"/>
    <hyperlink xmlns:r="http://schemas.openxmlformats.org/officeDocument/2006/relationships" ref="A507" r:id="rId506"/>
    <hyperlink xmlns:r="http://schemas.openxmlformats.org/officeDocument/2006/relationships" ref="A508" r:id="rId507"/>
    <hyperlink xmlns:r="http://schemas.openxmlformats.org/officeDocument/2006/relationships" ref="A509" r:id="rId508"/>
    <hyperlink xmlns:r="http://schemas.openxmlformats.org/officeDocument/2006/relationships" ref="A510" r:id="rId509"/>
    <hyperlink xmlns:r="http://schemas.openxmlformats.org/officeDocument/2006/relationships" ref="A511" r:id="rId510"/>
    <hyperlink xmlns:r="http://schemas.openxmlformats.org/officeDocument/2006/relationships" ref="A512" r:id="rId511"/>
    <hyperlink xmlns:r="http://schemas.openxmlformats.org/officeDocument/2006/relationships" ref="A513" r:id="rId512"/>
    <hyperlink xmlns:r="http://schemas.openxmlformats.org/officeDocument/2006/relationships" ref="A514" r:id="rId513"/>
    <hyperlink xmlns:r="http://schemas.openxmlformats.org/officeDocument/2006/relationships" ref="A515" r:id="rId514"/>
    <hyperlink xmlns:r="http://schemas.openxmlformats.org/officeDocument/2006/relationships" ref="A516" r:id="rId515"/>
    <hyperlink xmlns:r="http://schemas.openxmlformats.org/officeDocument/2006/relationships" ref="A517" r:id="rId516"/>
    <hyperlink xmlns:r="http://schemas.openxmlformats.org/officeDocument/2006/relationships" ref="A518" r:id="rId517"/>
    <hyperlink xmlns:r="http://schemas.openxmlformats.org/officeDocument/2006/relationships" ref="A519" r:id="rId518"/>
    <hyperlink xmlns:r="http://schemas.openxmlformats.org/officeDocument/2006/relationships" ref="A520" r:id="rId519"/>
    <hyperlink xmlns:r="http://schemas.openxmlformats.org/officeDocument/2006/relationships" ref="A521" r:id="rId520"/>
    <hyperlink xmlns:r="http://schemas.openxmlformats.org/officeDocument/2006/relationships" ref="A522" r:id="rId521"/>
    <hyperlink xmlns:r="http://schemas.openxmlformats.org/officeDocument/2006/relationships" ref="A523" r:id="rId522"/>
    <hyperlink xmlns:r="http://schemas.openxmlformats.org/officeDocument/2006/relationships" ref="A524" r:id="rId523"/>
    <hyperlink xmlns:r="http://schemas.openxmlformats.org/officeDocument/2006/relationships" ref="A525" r:id="rId524"/>
    <hyperlink xmlns:r="http://schemas.openxmlformats.org/officeDocument/2006/relationships" ref="A526" r:id="rId525"/>
    <hyperlink xmlns:r="http://schemas.openxmlformats.org/officeDocument/2006/relationships" ref="A527" r:id="rId526"/>
    <hyperlink xmlns:r="http://schemas.openxmlformats.org/officeDocument/2006/relationships" ref="A528" r:id="rId527"/>
    <hyperlink xmlns:r="http://schemas.openxmlformats.org/officeDocument/2006/relationships" ref="A529" r:id="rId528"/>
    <hyperlink xmlns:r="http://schemas.openxmlformats.org/officeDocument/2006/relationships" ref="A530" r:id="rId529"/>
    <hyperlink xmlns:r="http://schemas.openxmlformats.org/officeDocument/2006/relationships" ref="A531" r:id="rId530"/>
    <hyperlink xmlns:r="http://schemas.openxmlformats.org/officeDocument/2006/relationships" ref="A532" r:id="rId531"/>
    <hyperlink xmlns:r="http://schemas.openxmlformats.org/officeDocument/2006/relationships" ref="A533" r:id="rId532"/>
    <hyperlink xmlns:r="http://schemas.openxmlformats.org/officeDocument/2006/relationships" ref="A534" r:id="rId533"/>
    <hyperlink xmlns:r="http://schemas.openxmlformats.org/officeDocument/2006/relationships" ref="A535" r:id="rId534"/>
    <hyperlink xmlns:r="http://schemas.openxmlformats.org/officeDocument/2006/relationships" ref="A536" r:id="rId535"/>
    <hyperlink xmlns:r="http://schemas.openxmlformats.org/officeDocument/2006/relationships" ref="A537" r:id="rId536"/>
    <hyperlink xmlns:r="http://schemas.openxmlformats.org/officeDocument/2006/relationships" ref="A538" r:id="rId537"/>
    <hyperlink xmlns:r="http://schemas.openxmlformats.org/officeDocument/2006/relationships" ref="A539" r:id="rId538"/>
    <hyperlink xmlns:r="http://schemas.openxmlformats.org/officeDocument/2006/relationships" ref="A540" r:id="rId539"/>
    <hyperlink xmlns:r="http://schemas.openxmlformats.org/officeDocument/2006/relationships" ref="A541" r:id="rId540"/>
    <hyperlink xmlns:r="http://schemas.openxmlformats.org/officeDocument/2006/relationships" ref="A542" r:id="rId541"/>
    <hyperlink xmlns:r="http://schemas.openxmlformats.org/officeDocument/2006/relationships" ref="A543" r:id="rId542"/>
    <hyperlink xmlns:r="http://schemas.openxmlformats.org/officeDocument/2006/relationships" ref="A544" r:id="rId543"/>
    <hyperlink xmlns:r="http://schemas.openxmlformats.org/officeDocument/2006/relationships" ref="A545" r:id="rId544"/>
    <hyperlink xmlns:r="http://schemas.openxmlformats.org/officeDocument/2006/relationships" ref="A546" r:id="rId545"/>
    <hyperlink xmlns:r="http://schemas.openxmlformats.org/officeDocument/2006/relationships" ref="A547" r:id="rId546"/>
    <hyperlink xmlns:r="http://schemas.openxmlformats.org/officeDocument/2006/relationships" ref="A548" r:id="rId547"/>
    <hyperlink xmlns:r="http://schemas.openxmlformats.org/officeDocument/2006/relationships" ref="A549" r:id="rId548"/>
    <hyperlink xmlns:r="http://schemas.openxmlformats.org/officeDocument/2006/relationships" ref="A550" r:id="rId549"/>
    <hyperlink xmlns:r="http://schemas.openxmlformats.org/officeDocument/2006/relationships" ref="A551" r:id="rId550"/>
    <hyperlink xmlns:r="http://schemas.openxmlformats.org/officeDocument/2006/relationships" ref="A552" r:id="rId551"/>
    <hyperlink xmlns:r="http://schemas.openxmlformats.org/officeDocument/2006/relationships" ref="A553" r:id="rId552"/>
    <hyperlink xmlns:r="http://schemas.openxmlformats.org/officeDocument/2006/relationships" ref="A554" r:id="rId553"/>
    <hyperlink xmlns:r="http://schemas.openxmlformats.org/officeDocument/2006/relationships" ref="A555" r:id="rId554"/>
    <hyperlink xmlns:r="http://schemas.openxmlformats.org/officeDocument/2006/relationships" ref="A556" r:id="rId555"/>
    <hyperlink xmlns:r="http://schemas.openxmlformats.org/officeDocument/2006/relationships" ref="A557" r:id="rId556"/>
    <hyperlink xmlns:r="http://schemas.openxmlformats.org/officeDocument/2006/relationships" ref="A558" r:id="rId557"/>
    <hyperlink xmlns:r="http://schemas.openxmlformats.org/officeDocument/2006/relationships" ref="A559" r:id="rId558"/>
    <hyperlink xmlns:r="http://schemas.openxmlformats.org/officeDocument/2006/relationships" ref="A560" r:id="rId559"/>
    <hyperlink xmlns:r="http://schemas.openxmlformats.org/officeDocument/2006/relationships" ref="A561" r:id="rId560"/>
    <hyperlink xmlns:r="http://schemas.openxmlformats.org/officeDocument/2006/relationships" ref="A562" r:id="rId561"/>
    <hyperlink xmlns:r="http://schemas.openxmlformats.org/officeDocument/2006/relationships" ref="A563" r:id="rId562"/>
    <hyperlink xmlns:r="http://schemas.openxmlformats.org/officeDocument/2006/relationships" ref="A564" r:id="rId563"/>
    <hyperlink xmlns:r="http://schemas.openxmlformats.org/officeDocument/2006/relationships" ref="A565" r:id="rId564"/>
    <hyperlink xmlns:r="http://schemas.openxmlformats.org/officeDocument/2006/relationships" ref="A566" r:id="rId565"/>
    <hyperlink xmlns:r="http://schemas.openxmlformats.org/officeDocument/2006/relationships" ref="A567" r:id="rId566"/>
    <hyperlink xmlns:r="http://schemas.openxmlformats.org/officeDocument/2006/relationships" ref="A568" r:id="rId567"/>
    <hyperlink xmlns:r="http://schemas.openxmlformats.org/officeDocument/2006/relationships" ref="A569" r:id="rId568"/>
    <hyperlink xmlns:r="http://schemas.openxmlformats.org/officeDocument/2006/relationships" ref="A570" r:id="rId569"/>
    <hyperlink xmlns:r="http://schemas.openxmlformats.org/officeDocument/2006/relationships" ref="A571" r:id="rId570"/>
    <hyperlink xmlns:r="http://schemas.openxmlformats.org/officeDocument/2006/relationships" ref="A572" r:id="rId571"/>
    <hyperlink xmlns:r="http://schemas.openxmlformats.org/officeDocument/2006/relationships" ref="A573" r:id="rId572"/>
    <hyperlink xmlns:r="http://schemas.openxmlformats.org/officeDocument/2006/relationships" ref="A574" r:id="rId573"/>
    <hyperlink xmlns:r="http://schemas.openxmlformats.org/officeDocument/2006/relationships" ref="A575" r:id="rId574"/>
    <hyperlink xmlns:r="http://schemas.openxmlformats.org/officeDocument/2006/relationships" ref="A576" r:id="rId575"/>
    <hyperlink xmlns:r="http://schemas.openxmlformats.org/officeDocument/2006/relationships" ref="A577" r:id="rId576"/>
    <hyperlink xmlns:r="http://schemas.openxmlformats.org/officeDocument/2006/relationships" ref="A578" r:id="rId577"/>
    <hyperlink xmlns:r="http://schemas.openxmlformats.org/officeDocument/2006/relationships" ref="A579" r:id="rId578"/>
    <hyperlink xmlns:r="http://schemas.openxmlformats.org/officeDocument/2006/relationships" ref="A580" r:id="rId579"/>
    <hyperlink xmlns:r="http://schemas.openxmlformats.org/officeDocument/2006/relationships" ref="A581" r:id="rId580"/>
    <hyperlink xmlns:r="http://schemas.openxmlformats.org/officeDocument/2006/relationships" ref="A582" r:id="rId581"/>
    <hyperlink xmlns:r="http://schemas.openxmlformats.org/officeDocument/2006/relationships" ref="A583" r:id="rId582"/>
    <hyperlink xmlns:r="http://schemas.openxmlformats.org/officeDocument/2006/relationships" ref="A584" r:id="rId583"/>
    <hyperlink xmlns:r="http://schemas.openxmlformats.org/officeDocument/2006/relationships" ref="A585" r:id="rId584"/>
    <hyperlink xmlns:r="http://schemas.openxmlformats.org/officeDocument/2006/relationships" ref="A586" r:id="rId585"/>
    <hyperlink xmlns:r="http://schemas.openxmlformats.org/officeDocument/2006/relationships" ref="A587" r:id="rId586"/>
    <hyperlink xmlns:r="http://schemas.openxmlformats.org/officeDocument/2006/relationships" ref="A588" r:id="rId587"/>
    <hyperlink xmlns:r="http://schemas.openxmlformats.org/officeDocument/2006/relationships" ref="A589" r:id="rId588"/>
    <hyperlink xmlns:r="http://schemas.openxmlformats.org/officeDocument/2006/relationships" ref="A590" r:id="rId589"/>
    <hyperlink xmlns:r="http://schemas.openxmlformats.org/officeDocument/2006/relationships" ref="A591" r:id="rId590"/>
    <hyperlink xmlns:r="http://schemas.openxmlformats.org/officeDocument/2006/relationships" ref="A592" r:id="rId591"/>
    <hyperlink xmlns:r="http://schemas.openxmlformats.org/officeDocument/2006/relationships" ref="A593" r:id="rId592"/>
    <hyperlink xmlns:r="http://schemas.openxmlformats.org/officeDocument/2006/relationships" ref="A594" r:id="rId593"/>
    <hyperlink xmlns:r="http://schemas.openxmlformats.org/officeDocument/2006/relationships" ref="A595" r:id="rId594"/>
    <hyperlink xmlns:r="http://schemas.openxmlformats.org/officeDocument/2006/relationships" ref="A596" r:id="rId595"/>
    <hyperlink xmlns:r="http://schemas.openxmlformats.org/officeDocument/2006/relationships" ref="A597" r:id="rId596"/>
    <hyperlink xmlns:r="http://schemas.openxmlformats.org/officeDocument/2006/relationships" ref="A598" r:id="rId597"/>
    <hyperlink xmlns:r="http://schemas.openxmlformats.org/officeDocument/2006/relationships" ref="A599" r:id="rId598"/>
    <hyperlink xmlns:r="http://schemas.openxmlformats.org/officeDocument/2006/relationships" ref="A600" r:id="rId599"/>
    <hyperlink xmlns:r="http://schemas.openxmlformats.org/officeDocument/2006/relationships" ref="A601" r:id="rId600"/>
    <hyperlink xmlns:r="http://schemas.openxmlformats.org/officeDocument/2006/relationships" ref="A602" r:id="rId601"/>
    <hyperlink xmlns:r="http://schemas.openxmlformats.org/officeDocument/2006/relationships" ref="A603" r:id="rId602"/>
    <hyperlink xmlns:r="http://schemas.openxmlformats.org/officeDocument/2006/relationships" ref="A604" r:id="rId603"/>
    <hyperlink xmlns:r="http://schemas.openxmlformats.org/officeDocument/2006/relationships" ref="A605" r:id="rId604"/>
    <hyperlink xmlns:r="http://schemas.openxmlformats.org/officeDocument/2006/relationships" ref="A606" r:id="rId605"/>
    <hyperlink xmlns:r="http://schemas.openxmlformats.org/officeDocument/2006/relationships" ref="A607" r:id="rId606"/>
    <hyperlink xmlns:r="http://schemas.openxmlformats.org/officeDocument/2006/relationships" ref="A608" r:id="rId607"/>
    <hyperlink xmlns:r="http://schemas.openxmlformats.org/officeDocument/2006/relationships" ref="A609" r:id="rId608"/>
    <hyperlink xmlns:r="http://schemas.openxmlformats.org/officeDocument/2006/relationships" ref="A610" r:id="rId609"/>
    <hyperlink xmlns:r="http://schemas.openxmlformats.org/officeDocument/2006/relationships" ref="A611" r:id="rId610"/>
    <hyperlink xmlns:r="http://schemas.openxmlformats.org/officeDocument/2006/relationships" ref="A612" r:id="rId611"/>
    <hyperlink xmlns:r="http://schemas.openxmlformats.org/officeDocument/2006/relationships" ref="A613" r:id="rId612"/>
    <hyperlink xmlns:r="http://schemas.openxmlformats.org/officeDocument/2006/relationships" ref="A614" r:id="rId613"/>
    <hyperlink xmlns:r="http://schemas.openxmlformats.org/officeDocument/2006/relationships" ref="A615" r:id="rId614"/>
    <hyperlink xmlns:r="http://schemas.openxmlformats.org/officeDocument/2006/relationships" ref="A616" r:id="rId615"/>
    <hyperlink xmlns:r="http://schemas.openxmlformats.org/officeDocument/2006/relationships" ref="A617" r:id="rId616"/>
    <hyperlink xmlns:r="http://schemas.openxmlformats.org/officeDocument/2006/relationships" ref="A618" r:id="rId617"/>
    <hyperlink xmlns:r="http://schemas.openxmlformats.org/officeDocument/2006/relationships" ref="A619" r:id="rId618"/>
    <hyperlink xmlns:r="http://schemas.openxmlformats.org/officeDocument/2006/relationships" ref="A620" r:id="rId619"/>
    <hyperlink xmlns:r="http://schemas.openxmlformats.org/officeDocument/2006/relationships" ref="A621" r:id="rId620"/>
    <hyperlink xmlns:r="http://schemas.openxmlformats.org/officeDocument/2006/relationships" ref="A622" r:id="rId621"/>
    <hyperlink xmlns:r="http://schemas.openxmlformats.org/officeDocument/2006/relationships" ref="A623" r:id="rId622"/>
    <hyperlink xmlns:r="http://schemas.openxmlformats.org/officeDocument/2006/relationships" ref="A624" r:id="rId623"/>
    <hyperlink xmlns:r="http://schemas.openxmlformats.org/officeDocument/2006/relationships" ref="A625" r:id="rId624"/>
    <hyperlink xmlns:r="http://schemas.openxmlformats.org/officeDocument/2006/relationships" ref="A626" r:id="rId625"/>
    <hyperlink xmlns:r="http://schemas.openxmlformats.org/officeDocument/2006/relationships" ref="A627" r:id="rId626"/>
    <hyperlink xmlns:r="http://schemas.openxmlformats.org/officeDocument/2006/relationships" ref="A628" r:id="rId627"/>
    <hyperlink xmlns:r="http://schemas.openxmlformats.org/officeDocument/2006/relationships" ref="A629" r:id="rId628"/>
    <hyperlink xmlns:r="http://schemas.openxmlformats.org/officeDocument/2006/relationships" ref="A630" r:id="rId629"/>
    <hyperlink xmlns:r="http://schemas.openxmlformats.org/officeDocument/2006/relationships" ref="A631" r:id="rId630"/>
    <hyperlink xmlns:r="http://schemas.openxmlformats.org/officeDocument/2006/relationships" ref="A632" r:id="rId631"/>
    <hyperlink xmlns:r="http://schemas.openxmlformats.org/officeDocument/2006/relationships" ref="A633" r:id="rId632"/>
    <hyperlink xmlns:r="http://schemas.openxmlformats.org/officeDocument/2006/relationships" ref="A634" r:id="rId633"/>
    <hyperlink xmlns:r="http://schemas.openxmlformats.org/officeDocument/2006/relationships" ref="A635" r:id="rId634"/>
    <hyperlink xmlns:r="http://schemas.openxmlformats.org/officeDocument/2006/relationships" ref="A636" r:id="rId635"/>
    <hyperlink xmlns:r="http://schemas.openxmlformats.org/officeDocument/2006/relationships" ref="A637" r:id="rId636"/>
    <hyperlink xmlns:r="http://schemas.openxmlformats.org/officeDocument/2006/relationships" ref="A638" r:id="rId637"/>
    <hyperlink xmlns:r="http://schemas.openxmlformats.org/officeDocument/2006/relationships" ref="A639" r:id="rId638"/>
    <hyperlink xmlns:r="http://schemas.openxmlformats.org/officeDocument/2006/relationships" ref="A640" r:id="rId639"/>
    <hyperlink xmlns:r="http://schemas.openxmlformats.org/officeDocument/2006/relationships" ref="A641" r:id="rId640"/>
    <hyperlink xmlns:r="http://schemas.openxmlformats.org/officeDocument/2006/relationships" ref="A642" r:id="rId641"/>
    <hyperlink xmlns:r="http://schemas.openxmlformats.org/officeDocument/2006/relationships" ref="A643" r:id="rId642"/>
    <hyperlink xmlns:r="http://schemas.openxmlformats.org/officeDocument/2006/relationships" ref="A644" r:id="rId643"/>
    <hyperlink xmlns:r="http://schemas.openxmlformats.org/officeDocument/2006/relationships" ref="A645" r:id="rId644"/>
    <hyperlink xmlns:r="http://schemas.openxmlformats.org/officeDocument/2006/relationships" ref="A646" r:id="rId645"/>
    <hyperlink xmlns:r="http://schemas.openxmlformats.org/officeDocument/2006/relationships" ref="A647" r:id="rId646"/>
    <hyperlink xmlns:r="http://schemas.openxmlformats.org/officeDocument/2006/relationships" ref="A648" r:id="rId647"/>
    <hyperlink xmlns:r="http://schemas.openxmlformats.org/officeDocument/2006/relationships" ref="A649" r:id="rId648"/>
    <hyperlink xmlns:r="http://schemas.openxmlformats.org/officeDocument/2006/relationships" ref="A650" r:id="rId649"/>
    <hyperlink xmlns:r="http://schemas.openxmlformats.org/officeDocument/2006/relationships" ref="A651" r:id="rId650"/>
    <hyperlink xmlns:r="http://schemas.openxmlformats.org/officeDocument/2006/relationships" ref="A652" r:id="rId651"/>
    <hyperlink xmlns:r="http://schemas.openxmlformats.org/officeDocument/2006/relationships" ref="A653" r:id="rId652"/>
    <hyperlink xmlns:r="http://schemas.openxmlformats.org/officeDocument/2006/relationships" ref="A654" r:id="rId653"/>
    <hyperlink xmlns:r="http://schemas.openxmlformats.org/officeDocument/2006/relationships" ref="A655" r:id="rId654"/>
    <hyperlink xmlns:r="http://schemas.openxmlformats.org/officeDocument/2006/relationships" ref="A656" r:id="rId655"/>
    <hyperlink xmlns:r="http://schemas.openxmlformats.org/officeDocument/2006/relationships" ref="A657" r:id="rId656"/>
    <hyperlink xmlns:r="http://schemas.openxmlformats.org/officeDocument/2006/relationships" ref="A658" r:id="rId657"/>
    <hyperlink xmlns:r="http://schemas.openxmlformats.org/officeDocument/2006/relationships" ref="A659" r:id="rId658"/>
    <hyperlink xmlns:r="http://schemas.openxmlformats.org/officeDocument/2006/relationships" ref="A660" r:id="rId659"/>
    <hyperlink xmlns:r="http://schemas.openxmlformats.org/officeDocument/2006/relationships" ref="A661" r:id="rId660"/>
    <hyperlink xmlns:r="http://schemas.openxmlformats.org/officeDocument/2006/relationships" ref="A662" r:id="rId661"/>
    <hyperlink xmlns:r="http://schemas.openxmlformats.org/officeDocument/2006/relationships" ref="A663" r:id="rId662"/>
    <hyperlink xmlns:r="http://schemas.openxmlformats.org/officeDocument/2006/relationships" ref="A664" r:id="rId663"/>
    <hyperlink xmlns:r="http://schemas.openxmlformats.org/officeDocument/2006/relationships" ref="A665" r:id="rId664"/>
    <hyperlink xmlns:r="http://schemas.openxmlformats.org/officeDocument/2006/relationships" ref="A666" r:id="rId665"/>
    <hyperlink xmlns:r="http://schemas.openxmlformats.org/officeDocument/2006/relationships" ref="A667" r:id="rId666"/>
    <hyperlink xmlns:r="http://schemas.openxmlformats.org/officeDocument/2006/relationships" ref="A668" r:id="rId667"/>
    <hyperlink xmlns:r="http://schemas.openxmlformats.org/officeDocument/2006/relationships" ref="A669" r:id="rId668"/>
    <hyperlink xmlns:r="http://schemas.openxmlformats.org/officeDocument/2006/relationships" ref="A670" r:id="rId669"/>
    <hyperlink xmlns:r="http://schemas.openxmlformats.org/officeDocument/2006/relationships" ref="A671" r:id="rId670"/>
    <hyperlink xmlns:r="http://schemas.openxmlformats.org/officeDocument/2006/relationships" ref="A672" r:id="rId671"/>
    <hyperlink xmlns:r="http://schemas.openxmlformats.org/officeDocument/2006/relationships" ref="A673" r:id="rId672"/>
    <hyperlink xmlns:r="http://schemas.openxmlformats.org/officeDocument/2006/relationships" ref="A674" r:id="rId673"/>
    <hyperlink xmlns:r="http://schemas.openxmlformats.org/officeDocument/2006/relationships" ref="A675" r:id="rId674"/>
    <hyperlink xmlns:r="http://schemas.openxmlformats.org/officeDocument/2006/relationships" ref="A676" r:id="rId675"/>
    <hyperlink xmlns:r="http://schemas.openxmlformats.org/officeDocument/2006/relationships" ref="A677" r:id="rId676"/>
    <hyperlink xmlns:r="http://schemas.openxmlformats.org/officeDocument/2006/relationships" ref="A678" r:id="rId677"/>
    <hyperlink xmlns:r="http://schemas.openxmlformats.org/officeDocument/2006/relationships" ref="A679" r:id="rId678"/>
    <hyperlink xmlns:r="http://schemas.openxmlformats.org/officeDocument/2006/relationships" ref="A680" r:id="rId679"/>
    <hyperlink xmlns:r="http://schemas.openxmlformats.org/officeDocument/2006/relationships" ref="A681" r:id="rId680"/>
    <hyperlink xmlns:r="http://schemas.openxmlformats.org/officeDocument/2006/relationships" ref="A682" r:id="rId681"/>
    <hyperlink xmlns:r="http://schemas.openxmlformats.org/officeDocument/2006/relationships" ref="A683" r:id="rId682"/>
    <hyperlink xmlns:r="http://schemas.openxmlformats.org/officeDocument/2006/relationships" ref="A684" r:id="rId683"/>
    <hyperlink xmlns:r="http://schemas.openxmlformats.org/officeDocument/2006/relationships" ref="A685" r:id="rId684"/>
    <hyperlink xmlns:r="http://schemas.openxmlformats.org/officeDocument/2006/relationships" ref="A686" r:id="rId685"/>
    <hyperlink xmlns:r="http://schemas.openxmlformats.org/officeDocument/2006/relationships" ref="A687" r:id="rId686"/>
    <hyperlink xmlns:r="http://schemas.openxmlformats.org/officeDocument/2006/relationships" ref="A688" r:id="rId687"/>
    <hyperlink xmlns:r="http://schemas.openxmlformats.org/officeDocument/2006/relationships" ref="A689" r:id="rId688"/>
    <hyperlink xmlns:r="http://schemas.openxmlformats.org/officeDocument/2006/relationships" ref="A690" r:id="rId689"/>
    <hyperlink xmlns:r="http://schemas.openxmlformats.org/officeDocument/2006/relationships" ref="A691" r:id="rId690"/>
    <hyperlink xmlns:r="http://schemas.openxmlformats.org/officeDocument/2006/relationships" ref="A692" r:id="rId691"/>
    <hyperlink xmlns:r="http://schemas.openxmlformats.org/officeDocument/2006/relationships" ref="A693" r:id="rId692"/>
    <hyperlink xmlns:r="http://schemas.openxmlformats.org/officeDocument/2006/relationships" ref="A694" r:id="rId693"/>
    <hyperlink xmlns:r="http://schemas.openxmlformats.org/officeDocument/2006/relationships" ref="A695" r:id="rId694"/>
    <hyperlink xmlns:r="http://schemas.openxmlformats.org/officeDocument/2006/relationships" ref="A696" r:id="rId695"/>
    <hyperlink xmlns:r="http://schemas.openxmlformats.org/officeDocument/2006/relationships" ref="A697" r:id="rId696"/>
    <hyperlink xmlns:r="http://schemas.openxmlformats.org/officeDocument/2006/relationships" ref="A698" r:id="rId697"/>
    <hyperlink xmlns:r="http://schemas.openxmlformats.org/officeDocument/2006/relationships" ref="A699" r:id="rId698"/>
    <hyperlink xmlns:r="http://schemas.openxmlformats.org/officeDocument/2006/relationships" ref="A700" r:id="rId699"/>
    <hyperlink xmlns:r="http://schemas.openxmlformats.org/officeDocument/2006/relationships" ref="A701" r:id="rId700"/>
    <hyperlink xmlns:r="http://schemas.openxmlformats.org/officeDocument/2006/relationships" ref="A702" r:id="rId701"/>
    <hyperlink xmlns:r="http://schemas.openxmlformats.org/officeDocument/2006/relationships" ref="A703" r:id="rId702"/>
    <hyperlink xmlns:r="http://schemas.openxmlformats.org/officeDocument/2006/relationships" ref="A704" r:id="rId703"/>
    <hyperlink xmlns:r="http://schemas.openxmlformats.org/officeDocument/2006/relationships" ref="A705" r:id="rId704"/>
    <hyperlink xmlns:r="http://schemas.openxmlformats.org/officeDocument/2006/relationships" ref="A706" r:id="rId705"/>
    <hyperlink xmlns:r="http://schemas.openxmlformats.org/officeDocument/2006/relationships" ref="A707" r:id="rId706"/>
    <hyperlink xmlns:r="http://schemas.openxmlformats.org/officeDocument/2006/relationships" ref="A708" r:id="rId707"/>
    <hyperlink xmlns:r="http://schemas.openxmlformats.org/officeDocument/2006/relationships" ref="A709" r:id="rId708"/>
    <hyperlink xmlns:r="http://schemas.openxmlformats.org/officeDocument/2006/relationships" ref="A710" r:id="rId709"/>
    <hyperlink xmlns:r="http://schemas.openxmlformats.org/officeDocument/2006/relationships" ref="A711" r:id="rId710"/>
    <hyperlink xmlns:r="http://schemas.openxmlformats.org/officeDocument/2006/relationships" ref="A712" r:id="rId711"/>
    <hyperlink xmlns:r="http://schemas.openxmlformats.org/officeDocument/2006/relationships" ref="A713" r:id="rId712"/>
    <hyperlink xmlns:r="http://schemas.openxmlformats.org/officeDocument/2006/relationships" ref="A714" r:id="rId713"/>
    <hyperlink xmlns:r="http://schemas.openxmlformats.org/officeDocument/2006/relationships" ref="A715" r:id="rId714"/>
    <hyperlink xmlns:r="http://schemas.openxmlformats.org/officeDocument/2006/relationships" ref="A716" r:id="rId715"/>
    <hyperlink xmlns:r="http://schemas.openxmlformats.org/officeDocument/2006/relationships" ref="A717" r:id="rId716"/>
    <hyperlink xmlns:r="http://schemas.openxmlformats.org/officeDocument/2006/relationships" ref="A718" r:id="rId717"/>
    <hyperlink xmlns:r="http://schemas.openxmlformats.org/officeDocument/2006/relationships" ref="A719" r:id="rId718"/>
    <hyperlink xmlns:r="http://schemas.openxmlformats.org/officeDocument/2006/relationships" ref="A720" r:id="rId719"/>
    <hyperlink xmlns:r="http://schemas.openxmlformats.org/officeDocument/2006/relationships" ref="A721" r:id="rId720"/>
    <hyperlink xmlns:r="http://schemas.openxmlformats.org/officeDocument/2006/relationships" ref="A722" r:id="rId721"/>
    <hyperlink xmlns:r="http://schemas.openxmlformats.org/officeDocument/2006/relationships" ref="A723" r:id="rId722"/>
    <hyperlink xmlns:r="http://schemas.openxmlformats.org/officeDocument/2006/relationships" ref="A724" r:id="rId723"/>
    <hyperlink xmlns:r="http://schemas.openxmlformats.org/officeDocument/2006/relationships" ref="A725" r:id="rId724"/>
    <hyperlink xmlns:r="http://schemas.openxmlformats.org/officeDocument/2006/relationships" ref="A726" r:id="rId725"/>
    <hyperlink xmlns:r="http://schemas.openxmlformats.org/officeDocument/2006/relationships" ref="A727" r:id="rId726"/>
    <hyperlink xmlns:r="http://schemas.openxmlformats.org/officeDocument/2006/relationships" ref="A728" r:id="rId727"/>
    <hyperlink xmlns:r="http://schemas.openxmlformats.org/officeDocument/2006/relationships" ref="A729" r:id="rId728"/>
    <hyperlink xmlns:r="http://schemas.openxmlformats.org/officeDocument/2006/relationships" ref="A730" r:id="rId729"/>
    <hyperlink xmlns:r="http://schemas.openxmlformats.org/officeDocument/2006/relationships" ref="A731" r:id="rId730"/>
    <hyperlink xmlns:r="http://schemas.openxmlformats.org/officeDocument/2006/relationships" ref="A732" r:id="rId731"/>
    <hyperlink xmlns:r="http://schemas.openxmlformats.org/officeDocument/2006/relationships" ref="A733" r:id="rId732"/>
    <hyperlink xmlns:r="http://schemas.openxmlformats.org/officeDocument/2006/relationships" ref="A734" r:id="rId733"/>
    <hyperlink xmlns:r="http://schemas.openxmlformats.org/officeDocument/2006/relationships" ref="A735" r:id="rId734"/>
    <hyperlink xmlns:r="http://schemas.openxmlformats.org/officeDocument/2006/relationships" ref="A736" r:id="rId735"/>
    <hyperlink xmlns:r="http://schemas.openxmlformats.org/officeDocument/2006/relationships" ref="A737" r:id="rId736"/>
    <hyperlink xmlns:r="http://schemas.openxmlformats.org/officeDocument/2006/relationships" ref="A738" r:id="rId737"/>
    <hyperlink xmlns:r="http://schemas.openxmlformats.org/officeDocument/2006/relationships" ref="A739" r:id="rId738"/>
    <hyperlink xmlns:r="http://schemas.openxmlformats.org/officeDocument/2006/relationships" ref="A740" r:id="rId739"/>
    <hyperlink xmlns:r="http://schemas.openxmlformats.org/officeDocument/2006/relationships" ref="A741" r:id="rId740"/>
    <hyperlink xmlns:r="http://schemas.openxmlformats.org/officeDocument/2006/relationships" ref="A742" r:id="rId741"/>
    <hyperlink xmlns:r="http://schemas.openxmlformats.org/officeDocument/2006/relationships" ref="A743" r:id="rId742"/>
    <hyperlink xmlns:r="http://schemas.openxmlformats.org/officeDocument/2006/relationships" ref="A744" r:id="rId743"/>
    <hyperlink xmlns:r="http://schemas.openxmlformats.org/officeDocument/2006/relationships" ref="A745" r:id="rId744"/>
    <hyperlink xmlns:r="http://schemas.openxmlformats.org/officeDocument/2006/relationships" ref="A746" r:id="rId745"/>
    <hyperlink xmlns:r="http://schemas.openxmlformats.org/officeDocument/2006/relationships" ref="A747" r:id="rId746"/>
    <hyperlink xmlns:r="http://schemas.openxmlformats.org/officeDocument/2006/relationships" ref="A748" r:id="rId747"/>
    <hyperlink xmlns:r="http://schemas.openxmlformats.org/officeDocument/2006/relationships" ref="A749" r:id="rId748"/>
    <hyperlink xmlns:r="http://schemas.openxmlformats.org/officeDocument/2006/relationships" ref="A750" r:id="rId749"/>
    <hyperlink xmlns:r="http://schemas.openxmlformats.org/officeDocument/2006/relationships" ref="A751" r:id="rId750"/>
    <hyperlink xmlns:r="http://schemas.openxmlformats.org/officeDocument/2006/relationships" ref="A752" r:id="rId751"/>
    <hyperlink xmlns:r="http://schemas.openxmlformats.org/officeDocument/2006/relationships" ref="A753" r:id="rId752"/>
    <hyperlink xmlns:r="http://schemas.openxmlformats.org/officeDocument/2006/relationships" ref="A754" r:id="rId753"/>
    <hyperlink xmlns:r="http://schemas.openxmlformats.org/officeDocument/2006/relationships" ref="A755" r:id="rId754"/>
    <hyperlink xmlns:r="http://schemas.openxmlformats.org/officeDocument/2006/relationships" ref="A756" r:id="rId755"/>
    <hyperlink xmlns:r="http://schemas.openxmlformats.org/officeDocument/2006/relationships" ref="A757" r:id="rId756"/>
    <hyperlink xmlns:r="http://schemas.openxmlformats.org/officeDocument/2006/relationships" ref="A758" r:id="rId757"/>
    <hyperlink xmlns:r="http://schemas.openxmlformats.org/officeDocument/2006/relationships" ref="A759" r:id="rId758"/>
    <hyperlink xmlns:r="http://schemas.openxmlformats.org/officeDocument/2006/relationships" ref="A760" r:id="rId759"/>
    <hyperlink xmlns:r="http://schemas.openxmlformats.org/officeDocument/2006/relationships" ref="A761" r:id="rId760"/>
    <hyperlink xmlns:r="http://schemas.openxmlformats.org/officeDocument/2006/relationships" ref="A762" r:id="rId761"/>
    <hyperlink xmlns:r="http://schemas.openxmlformats.org/officeDocument/2006/relationships" ref="A763" r:id="rId762"/>
    <hyperlink xmlns:r="http://schemas.openxmlformats.org/officeDocument/2006/relationships" ref="A764" r:id="rId763"/>
    <hyperlink xmlns:r="http://schemas.openxmlformats.org/officeDocument/2006/relationships" ref="A765" r:id="rId764"/>
    <hyperlink xmlns:r="http://schemas.openxmlformats.org/officeDocument/2006/relationships" ref="A766" r:id="rId765"/>
    <hyperlink xmlns:r="http://schemas.openxmlformats.org/officeDocument/2006/relationships" ref="A767" r:id="rId766"/>
    <hyperlink xmlns:r="http://schemas.openxmlformats.org/officeDocument/2006/relationships" ref="A768" r:id="rId767"/>
    <hyperlink xmlns:r="http://schemas.openxmlformats.org/officeDocument/2006/relationships" ref="A769" r:id="rId768"/>
    <hyperlink xmlns:r="http://schemas.openxmlformats.org/officeDocument/2006/relationships" ref="A770" r:id="rId769"/>
    <hyperlink xmlns:r="http://schemas.openxmlformats.org/officeDocument/2006/relationships" ref="A771" r:id="rId770"/>
    <hyperlink xmlns:r="http://schemas.openxmlformats.org/officeDocument/2006/relationships" ref="A772" r:id="rId771"/>
    <hyperlink xmlns:r="http://schemas.openxmlformats.org/officeDocument/2006/relationships" ref="A773" r:id="rId772"/>
    <hyperlink xmlns:r="http://schemas.openxmlformats.org/officeDocument/2006/relationships" ref="A774" r:id="rId773"/>
    <hyperlink xmlns:r="http://schemas.openxmlformats.org/officeDocument/2006/relationships" ref="A775" r:id="rId774"/>
    <hyperlink xmlns:r="http://schemas.openxmlformats.org/officeDocument/2006/relationships" ref="A776" r:id="rId775"/>
    <hyperlink xmlns:r="http://schemas.openxmlformats.org/officeDocument/2006/relationships" ref="A777" r:id="rId776"/>
    <hyperlink xmlns:r="http://schemas.openxmlformats.org/officeDocument/2006/relationships" ref="A778" r:id="rId777"/>
    <hyperlink xmlns:r="http://schemas.openxmlformats.org/officeDocument/2006/relationships" ref="A779" r:id="rId778"/>
    <hyperlink xmlns:r="http://schemas.openxmlformats.org/officeDocument/2006/relationships" ref="A780" r:id="rId779"/>
    <hyperlink xmlns:r="http://schemas.openxmlformats.org/officeDocument/2006/relationships" ref="A781" r:id="rId780"/>
    <hyperlink xmlns:r="http://schemas.openxmlformats.org/officeDocument/2006/relationships" ref="A782" r:id="rId781"/>
    <hyperlink xmlns:r="http://schemas.openxmlformats.org/officeDocument/2006/relationships" ref="A783" r:id="rId782"/>
    <hyperlink xmlns:r="http://schemas.openxmlformats.org/officeDocument/2006/relationships" ref="A784" r:id="rId783"/>
    <hyperlink xmlns:r="http://schemas.openxmlformats.org/officeDocument/2006/relationships" ref="A785" r:id="rId784"/>
    <hyperlink xmlns:r="http://schemas.openxmlformats.org/officeDocument/2006/relationships" ref="A786" r:id="rId785"/>
    <hyperlink xmlns:r="http://schemas.openxmlformats.org/officeDocument/2006/relationships" ref="A787" r:id="rId786"/>
    <hyperlink xmlns:r="http://schemas.openxmlformats.org/officeDocument/2006/relationships" ref="A788" r:id="rId787"/>
    <hyperlink xmlns:r="http://schemas.openxmlformats.org/officeDocument/2006/relationships" ref="A789" r:id="rId788"/>
    <hyperlink xmlns:r="http://schemas.openxmlformats.org/officeDocument/2006/relationships" ref="A790" r:id="rId789"/>
    <hyperlink xmlns:r="http://schemas.openxmlformats.org/officeDocument/2006/relationships" ref="A791" r:id="rId790"/>
    <hyperlink xmlns:r="http://schemas.openxmlformats.org/officeDocument/2006/relationships" ref="A792" r:id="rId791"/>
    <hyperlink xmlns:r="http://schemas.openxmlformats.org/officeDocument/2006/relationships" ref="A793" r:id="rId792"/>
    <hyperlink xmlns:r="http://schemas.openxmlformats.org/officeDocument/2006/relationships" ref="A794" r:id="rId793"/>
    <hyperlink xmlns:r="http://schemas.openxmlformats.org/officeDocument/2006/relationships" ref="A795" r:id="rId794"/>
    <hyperlink xmlns:r="http://schemas.openxmlformats.org/officeDocument/2006/relationships" ref="A796" r:id="rId795"/>
    <hyperlink xmlns:r="http://schemas.openxmlformats.org/officeDocument/2006/relationships" ref="A797" r:id="rId796"/>
    <hyperlink xmlns:r="http://schemas.openxmlformats.org/officeDocument/2006/relationships" ref="A798" r:id="rId797"/>
    <hyperlink xmlns:r="http://schemas.openxmlformats.org/officeDocument/2006/relationships" ref="A799" r:id="rId798"/>
    <hyperlink xmlns:r="http://schemas.openxmlformats.org/officeDocument/2006/relationships" ref="A800" r:id="rId799"/>
    <hyperlink xmlns:r="http://schemas.openxmlformats.org/officeDocument/2006/relationships" ref="A801" r:id="rId800"/>
    <hyperlink xmlns:r="http://schemas.openxmlformats.org/officeDocument/2006/relationships" ref="A802" r:id="rId801"/>
    <hyperlink xmlns:r="http://schemas.openxmlformats.org/officeDocument/2006/relationships" ref="A803" r:id="rId802"/>
    <hyperlink xmlns:r="http://schemas.openxmlformats.org/officeDocument/2006/relationships" ref="A804" r:id="rId803"/>
    <hyperlink xmlns:r="http://schemas.openxmlformats.org/officeDocument/2006/relationships" ref="A805" r:id="rId804"/>
    <hyperlink xmlns:r="http://schemas.openxmlformats.org/officeDocument/2006/relationships" ref="A806" r:id="rId805"/>
    <hyperlink xmlns:r="http://schemas.openxmlformats.org/officeDocument/2006/relationships" ref="A807" r:id="rId806"/>
    <hyperlink xmlns:r="http://schemas.openxmlformats.org/officeDocument/2006/relationships" ref="A808" r:id="rId807"/>
    <hyperlink xmlns:r="http://schemas.openxmlformats.org/officeDocument/2006/relationships" ref="A809" r:id="rId808"/>
    <hyperlink xmlns:r="http://schemas.openxmlformats.org/officeDocument/2006/relationships" ref="A810" r:id="rId809"/>
    <hyperlink xmlns:r="http://schemas.openxmlformats.org/officeDocument/2006/relationships" ref="A811" r:id="rId810"/>
    <hyperlink xmlns:r="http://schemas.openxmlformats.org/officeDocument/2006/relationships" ref="A812" r:id="rId811"/>
    <hyperlink xmlns:r="http://schemas.openxmlformats.org/officeDocument/2006/relationships" ref="A813" r:id="rId812"/>
    <hyperlink xmlns:r="http://schemas.openxmlformats.org/officeDocument/2006/relationships" ref="A814" r:id="rId813"/>
    <hyperlink xmlns:r="http://schemas.openxmlformats.org/officeDocument/2006/relationships" ref="A815" r:id="rId814"/>
    <hyperlink xmlns:r="http://schemas.openxmlformats.org/officeDocument/2006/relationships" ref="A816" r:id="rId815"/>
    <hyperlink xmlns:r="http://schemas.openxmlformats.org/officeDocument/2006/relationships" ref="A817" r:id="rId816"/>
    <hyperlink xmlns:r="http://schemas.openxmlformats.org/officeDocument/2006/relationships" ref="A818" r:id="rId817"/>
    <hyperlink xmlns:r="http://schemas.openxmlformats.org/officeDocument/2006/relationships" ref="A819" r:id="rId818"/>
    <hyperlink xmlns:r="http://schemas.openxmlformats.org/officeDocument/2006/relationships" ref="A820" r:id="rId819"/>
    <hyperlink xmlns:r="http://schemas.openxmlformats.org/officeDocument/2006/relationships" ref="A821" r:id="rId820"/>
    <hyperlink xmlns:r="http://schemas.openxmlformats.org/officeDocument/2006/relationships" ref="A822" r:id="rId821"/>
    <hyperlink xmlns:r="http://schemas.openxmlformats.org/officeDocument/2006/relationships" ref="A823" r:id="rId822"/>
    <hyperlink xmlns:r="http://schemas.openxmlformats.org/officeDocument/2006/relationships" ref="A824" r:id="rId823"/>
    <hyperlink xmlns:r="http://schemas.openxmlformats.org/officeDocument/2006/relationships" ref="A825" r:id="rId824"/>
    <hyperlink xmlns:r="http://schemas.openxmlformats.org/officeDocument/2006/relationships" ref="A826" r:id="rId825"/>
    <hyperlink xmlns:r="http://schemas.openxmlformats.org/officeDocument/2006/relationships" ref="A827" r:id="rId826"/>
    <hyperlink xmlns:r="http://schemas.openxmlformats.org/officeDocument/2006/relationships" ref="A828" r:id="rId827"/>
    <hyperlink xmlns:r="http://schemas.openxmlformats.org/officeDocument/2006/relationships" ref="A829" r:id="rId828"/>
    <hyperlink xmlns:r="http://schemas.openxmlformats.org/officeDocument/2006/relationships" ref="A830" r:id="rId829"/>
    <hyperlink xmlns:r="http://schemas.openxmlformats.org/officeDocument/2006/relationships" ref="A831" r:id="rId830"/>
    <hyperlink xmlns:r="http://schemas.openxmlformats.org/officeDocument/2006/relationships" ref="A832" r:id="rId831"/>
    <hyperlink xmlns:r="http://schemas.openxmlformats.org/officeDocument/2006/relationships" ref="A833" r:id="rId832"/>
    <hyperlink xmlns:r="http://schemas.openxmlformats.org/officeDocument/2006/relationships" ref="A834" r:id="rId833"/>
    <hyperlink xmlns:r="http://schemas.openxmlformats.org/officeDocument/2006/relationships" ref="A835" r:id="rId834"/>
    <hyperlink xmlns:r="http://schemas.openxmlformats.org/officeDocument/2006/relationships" ref="A836" r:id="rId835"/>
    <hyperlink xmlns:r="http://schemas.openxmlformats.org/officeDocument/2006/relationships" ref="A837" r:id="rId836"/>
    <hyperlink xmlns:r="http://schemas.openxmlformats.org/officeDocument/2006/relationships" ref="A838" r:id="rId837"/>
    <hyperlink xmlns:r="http://schemas.openxmlformats.org/officeDocument/2006/relationships" ref="A839" r:id="rId838"/>
    <hyperlink xmlns:r="http://schemas.openxmlformats.org/officeDocument/2006/relationships" ref="A840" r:id="rId839"/>
    <hyperlink xmlns:r="http://schemas.openxmlformats.org/officeDocument/2006/relationships" ref="A841" r:id="rId840"/>
    <hyperlink xmlns:r="http://schemas.openxmlformats.org/officeDocument/2006/relationships" ref="A842" r:id="rId841"/>
    <hyperlink xmlns:r="http://schemas.openxmlformats.org/officeDocument/2006/relationships" ref="A843" r:id="rId842"/>
    <hyperlink xmlns:r="http://schemas.openxmlformats.org/officeDocument/2006/relationships" ref="A844" r:id="rId843"/>
    <hyperlink xmlns:r="http://schemas.openxmlformats.org/officeDocument/2006/relationships" ref="A845" r:id="rId844"/>
    <hyperlink xmlns:r="http://schemas.openxmlformats.org/officeDocument/2006/relationships" ref="A846" r:id="rId845"/>
    <hyperlink xmlns:r="http://schemas.openxmlformats.org/officeDocument/2006/relationships" ref="A847" r:id="rId846"/>
    <hyperlink xmlns:r="http://schemas.openxmlformats.org/officeDocument/2006/relationships" ref="A848" r:id="rId847"/>
    <hyperlink xmlns:r="http://schemas.openxmlformats.org/officeDocument/2006/relationships" ref="A849" r:id="rId848"/>
    <hyperlink xmlns:r="http://schemas.openxmlformats.org/officeDocument/2006/relationships" ref="A850" r:id="rId849"/>
    <hyperlink xmlns:r="http://schemas.openxmlformats.org/officeDocument/2006/relationships" ref="A851" r:id="rId850"/>
    <hyperlink xmlns:r="http://schemas.openxmlformats.org/officeDocument/2006/relationships" ref="A852" r:id="rId851"/>
    <hyperlink xmlns:r="http://schemas.openxmlformats.org/officeDocument/2006/relationships" ref="A853" r:id="rId852"/>
    <hyperlink xmlns:r="http://schemas.openxmlformats.org/officeDocument/2006/relationships" ref="A854" r:id="rId853"/>
    <hyperlink xmlns:r="http://schemas.openxmlformats.org/officeDocument/2006/relationships" ref="A855" r:id="rId854"/>
    <hyperlink xmlns:r="http://schemas.openxmlformats.org/officeDocument/2006/relationships" ref="A856" r:id="rId855"/>
    <hyperlink xmlns:r="http://schemas.openxmlformats.org/officeDocument/2006/relationships" ref="A857" r:id="rId856"/>
    <hyperlink xmlns:r="http://schemas.openxmlformats.org/officeDocument/2006/relationships" ref="A858" r:id="rId857"/>
    <hyperlink xmlns:r="http://schemas.openxmlformats.org/officeDocument/2006/relationships" ref="A859" r:id="rId858"/>
    <hyperlink xmlns:r="http://schemas.openxmlformats.org/officeDocument/2006/relationships" ref="A860" r:id="rId859"/>
    <hyperlink xmlns:r="http://schemas.openxmlformats.org/officeDocument/2006/relationships" ref="A861" r:id="rId860"/>
    <hyperlink xmlns:r="http://schemas.openxmlformats.org/officeDocument/2006/relationships" ref="A862" r:id="rId861"/>
    <hyperlink xmlns:r="http://schemas.openxmlformats.org/officeDocument/2006/relationships" ref="A863" r:id="rId862"/>
    <hyperlink xmlns:r="http://schemas.openxmlformats.org/officeDocument/2006/relationships" ref="A864" r:id="rId863"/>
    <hyperlink xmlns:r="http://schemas.openxmlformats.org/officeDocument/2006/relationships" ref="A865" r:id="rId864"/>
    <hyperlink xmlns:r="http://schemas.openxmlformats.org/officeDocument/2006/relationships" ref="A866" r:id="rId865"/>
    <hyperlink xmlns:r="http://schemas.openxmlformats.org/officeDocument/2006/relationships" ref="A867" r:id="rId866"/>
    <hyperlink xmlns:r="http://schemas.openxmlformats.org/officeDocument/2006/relationships" ref="A868" r:id="rId867"/>
    <hyperlink xmlns:r="http://schemas.openxmlformats.org/officeDocument/2006/relationships" ref="A869" r:id="rId868"/>
    <hyperlink xmlns:r="http://schemas.openxmlformats.org/officeDocument/2006/relationships" ref="A870" r:id="rId869"/>
    <hyperlink xmlns:r="http://schemas.openxmlformats.org/officeDocument/2006/relationships" ref="A871" r:id="rId870"/>
    <hyperlink xmlns:r="http://schemas.openxmlformats.org/officeDocument/2006/relationships" ref="A872" r:id="rId871"/>
    <hyperlink xmlns:r="http://schemas.openxmlformats.org/officeDocument/2006/relationships" ref="A873" r:id="rId872"/>
    <hyperlink xmlns:r="http://schemas.openxmlformats.org/officeDocument/2006/relationships" ref="A874" r:id="rId873"/>
    <hyperlink xmlns:r="http://schemas.openxmlformats.org/officeDocument/2006/relationships" ref="A875" r:id="rId874"/>
    <hyperlink xmlns:r="http://schemas.openxmlformats.org/officeDocument/2006/relationships" ref="A876" r:id="rId875"/>
    <hyperlink xmlns:r="http://schemas.openxmlformats.org/officeDocument/2006/relationships" ref="A877" r:id="rId876"/>
    <hyperlink xmlns:r="http://schemas.openxmlformats.org/officeDocument/2006/relationships" ref="A878" r:id="rId877"/>
    <hyperlink xmlns:r="http://schemas.openxmlformats.org/officeDocument/2006/relationships" ref="A879" r:id="rId878"/>
    <hyperlink xmlns:r="http://schemas.openxmlformats.org/officeDocument/2006/relationships" ref="A880" r:id="rId879"/>
    <hyperlink xmlns:r="http://schemas.openxmlformats.org/officeDocument/2006/relationships" ref="A881" r:id="rId880"/>
    <hyperlink xmlns:r="http://schemas.openxmlformats.org/officeDocument/2006/relationships" ref="A882" r:id="rId881"/>
    <hyperlink xmlns:r="http://schemas.openxmlformats.org/officeDocument/2006/relationships" ref="A883" r:id="rId882"/>
    <hyperlink xmlns:r="http://schemas.openxmlformats.org/officeDocument/2006/relationships" ref="A884" r:id="rId883"/>
    <hyperlink xmlns:r="http://schemas.openxmlformats.org/officeDocument/2006/relationships" ref="A885" r:id="rId884"/>
    <hyperlink xmlns:r="http://schemas.openxmlformats.org/officeDocument/2006/relationships" ref="A886" r:id="rId885"/>
    <hyperlink xmlns:r="http://schemas.openxmlformats.org/officeDocument/2006/relationships" ref="A887" r:id="rId886"/>
    <hyperlink xmlns:r="http://schemas.openxmlformats.org/officeDocument/2006/relationships" ref="A888" r:id="rId887"/>
    <hyperlink xmlns:r="http://schemas.openxmlformats.org/officeDocument/2006/relationships" ref="A889" r:id="rId888"/>
    <hyperlink xmlns:r="http://schemas.openxmlformats.org/officeDocument/2006/relationships" ref="A890" r:id="rId889"/>
    <hyperlink xmlns:r="http://schemas.openxmlformats.org/officeDocument/2006/relationships" ref="A891" r:id="rId890"/>
    <hyperlink xmlns:r="http://schemas.openxmlformats.org/officeDocument/2006/relationships" ref="A892" r:id="rId891"/>
    <hyperlink xmlns:r="http://schemas.openxmlformats.org/officeDocument/2006/relationships" ref="A893" r:id="rId892"/>
    <hyperlink xmlns:r="http://schemas.openxmlformats.org/officeDocument/2006/relationships" ref="A894" r:id="rId893"/>
    <hyperlink xmlns:r="http://schemas.openxmlformats.org/officeDocument/2006/relationships" ref="A895" r:id="rId894"/>
    <hyperlink xmlns:r="http://schemas.openxmlformats.org/officeDocument/2006/relationships" ref="A896" r:id="rId895"/>
    <hyperlink xmlns:r="http://schemas.openxmlformats.org/officeDocument/2006/relationships" ref="A897" r:id="rId896"/>
    <hyperlink xmlns:r="http://schemas.openxmlformats.org/officeDocument/2006/relationships" ref="A898" r:id="rId897"/>
    <hyperlink xmlns:r="http://schemas.openxmlformats.org/officeDocument/2006/relationships" ref="A899" r:id="rId898"/>
    <hyperlink xmlns:r="http://schemas.openxmlformats.org/officeDocument/2006/relationships" ref="A900" r:id="rId899"/>
    <hyperlink xmlns:r="http://schemas.openxmlformats.org/officeDocument/2006/relationships" ref="A901" r:id="rId900"/>
    <hyperlink xmlns:r="http://schemas.openxmlformats.org/officeDocument/2006/relationships" ref="A902" r:id="rId901"/>
    <hyperlink xmlns:r="http://schemas.openxmlformats.org/officeDocument/2006/relationships" ref="A903" r:id="rId902"/>
    <hyperlink xmlns:r="http://schemas.openxmlformats.org/officeDocument/2006/relationships" ref="A904" r:id="rId903"/>
    <hyperlink xmlns:r="http://schemas.openxmlformats.org/officeDocument/2006/relationships" ref="A905" r:id="rId904"/>
    <hyperlink xmlns:r="http://schemas.openxmlformats.org/officeDocument/2006/relationships" ref="A906" r:id="rId905"/>
    <hyperlink xmlns:r="http://schemas.openxmlformats.org/officeDocument/2006/relationships" ref="A907" r:id="rId906"/>
    <hyperlink xmlns:r="http://schemas.openxmlformats.org/officeDocument/2006/relationships" ref="A908" r:id="rId907"/>
    <hyperlink xmlns:r="http://schemas.openxmlformats.org/officeDocument/2006/relationships" ref="A909" r:id="rId908"/>
    <hyperlink xmlns:r="http://schemas.openxmlformats.org/officeDocument/2006/relationships" ref="A910" r:id="rId909"/>
    <hyperlink xmlns:r="http://schemas.openxmlformats.org/officeDocument/2006/relationships" ref="A911" r:id="rId910"/>
    <hyperlink xmlns:r="http://schemas.openxmlformats.org/officeDocument/2006/relationships" ref="A912" r:id="rId911"/>
    <hyperlink xmlns:r="http://schemas.openxmlformats.org/officeDocument/2006/relationships" ref="A913" r:id="rId912"/>
    <hyperlink xmlns:r="http://schemas.openxmlformats.org/officeDocument/2006/relationships" ref="A914" r:id="rId913"/>
    <hyperlink xmlns:r="http://schemas.openxmlformats.org/officeDocument/2006/relationships" ref="A915" r:id="rId914"/>
    <hyperlink xmlns:r="http://schemas.openxmlformats.org/officeDocument/2006/relationships" ref="A916" r:id="rId915"/>
    <hyperlink xmlns:r="http://schemas.openxmlformats.org/officeDocument/2006/relationships" ref="A917" r:id="rId916"/>
    <hyperlink xmlns:r="http://schemas.openxmlformats.org/officeDocument/2006/relationships" ref="A918" r:id="rId917"/>
    <hyperlink xmlns:r="http://schemas.openxmlformats.org/officeDocument/2006/relationships" ref="A919" r:id="rId918"/>
    <hyperlink xmlns:r="http://schemas.openxmlformats.org/officeDocument/2006/relationships" ref="A920" r:id="rId919"/>
    <hyperlink xmlns:r="http://schemas.openxmlformats.org/officeDocument/2006/relationships" ref="A921" r:id="rId920"/>
    <hyperlink xmlns:r="http://schemas.openxmlformats.org/officeDocument/2006/relationships" ref="A922" r:id="rId921"/>
    <hyperlink xmlns:r="http://schemas.openxmlformats.org/officeDocument/2006/relationships" ref="A923" r:id="rId922"/>
    <hyperlink xmlns:r="http://schemas.openxmlformats.org/officeDocument/2006/relationships" ref="A924" r:id="rId923"/>
    <hyperlink xmlns:r="http://schemas.openxmlformats.org/officeDocument/2006/relationships" ref="A925" r:id="rId924"/>
    <hyperlink xmlns:r="http://schemas.openxmlformats.org/officeDocument/2006/relationships" ref="A926" r:id="rId925"/>
    <hyperlink xmlns:r="http://schemas.openxmlformats.org/officeDocument/2006/relationships" ref="A927" r:id="rId926"/>
    <hyperlink xmlns:r="http://schemas.openxmlformats.org/officeDocument/2006/relationships" ref="A928" r:id="rId927"/>
    <hyperlink xmlns:r="http://schemas.openxmlformats.org/officeDocument/2006/relationships" ref="A929" r:id="rId928"/>
    <hyperlink xmlns:r="http://schemas.openxmlformats.org/officeDocument/2006/relationships" ref="A930" r:id="rId929"/>
    <hyperlink xmlns:r="http://schemas.openxmlformats.org/officeDocument/2006/relationships" ref="A931" r:id="rId930"/>
    <hyperlink xmlns:r="http://schemas.openxmlformats.org/officeDocument/2006/relationships" ref="A932" r:id="rId931"/>
    <hyperlink xmlns:r="http://schemas.openxmlformats.org/officeDocument/2006/relationships" ref="A933" r:id="rId932"/>
    <hyperlink xmlns:r="http://schemas.openxmlformats.org/officeDocument/2006/relationships" ref="A934" r:id="rId933"/>
    <hyperlink xmlns:r="http://schemas.openxmlformats.org/officeDocument/2006/relationships" ref="A935" r:id="rId934"/>
    <hyperlink xmlns:r="http://schemas.openxmlformats.org/officeDocument/2006/relationships" ref="A936" r:id="rId935"/>
    <hyperlink xmlns:r="http://schemas.openxmlformats.org/officeDocument/2006/relationships" ref="A937" r:id="rId936"/>
    <hyperlink xmlns:r="http://schemas.openxmlformats.org/officeDocument/2006/relationships" ref="A938" r:id="rId937"/>
    <hyperlink xmlns:r="http://schemas.openxmlformats.org/officeDocument/2006/relationships" ref="A939" r:id="rId938"/>
    <hyperlink xmlns:r="http://schemas.openxmlformats.org/officeDocument/2006/relationships" ref="A940" r:id="rId939"/>
    <hyperlink xmlns:r="http://schemas.openxmlformats.org/officeDocument/2006/relationships" ref="A941" r:id="rId940"/>
    <hyperlink xmlns:r="http://schemas.openxmlformats.org/officeDocument/2006/relationships" ref="A942" r:id="rId941"/>
    <hyperlink xmlns:r="http://schemas.openxmlformats.org/officeDocument/2006/relationships" ref="A943" r:id="rId942"/>
    <hyperlink xmlns:r="http://schemas.openxmlformats.org/officeDocument/2006/relationships" ref="A944" r:id="rId943"/>
    <hyperlink xmlns:r="http://schemas.openxmlformats.org/officeDocument/2006/relationships" ref="A945" r:id="rId944"/>
    <hyperlink xmlns:r="http://schemas.openxmlformats.org/officeDocument/2006/relationships" ref="A946" r:id="rId945"/>
    <hyperlink xmlns:r="http://schemas.openxmlformats.org/officeDocument/2006/relationships" ref="A947" r:id="rId946"/>
    <hyperlink xmlns:r="http://schemas.openxmlformats.org/officeDocument/2006/relationships" ref="A948" r:id="rId947"/>
    <hyperlink xmlns:r="http://schemas.openxmlformats.org/officeDocument/2006/relationships" ref="A949" r:id="rId948"/>
    <hyperlink xmlns:r="http://schemas.openxmlformats.org/officeDocument/2006/relationships" ref="A950" r:id="rId949"/>
    <hyperlink xmlns:r="http://schemas.openxmlformats.org/officeDocument/2006/relationships" ref="A951" r:id="rId950"/>
    <hyperlink xmlns:r="http://schemas.openxmlformats.org/officeDocument/2006/relationships" ref="A952" r:id="rId951"/>
    <hyperlink xmlns:r="http://schemas.openxmlformats.org/officeDocument/2006/relationships" ref="A953" r:id="rId952"/>
    <hyperlink xmlns:r="http://schemas.openxmlformats.org/officeDocument/2006/relationships" ref="A954" r:id="rId953"/>
    <hyperlink xmlns:r="http://schemas.openxmlformats.org/officeDocument/2006/relationships" ref="A955" r:id="rId954"/>
    <hyperlink xmlns:r="http://schemas.openxmlformats.org/officeDocument/2006/relationships" ref="A956" r:id="rId955"/>
    <hyperlink xmlns:r="http://schemas.openxmlformats.org/officeDocument/2006/relationships" ref="A957" r:id="rId956"/>
    <hyperlink xmlns:r="http://schemas.openxmlformats.org/officeDocument/2006/relationships" ref="A958" r:id="rId957"/>
    <hyperlink xmlns:r="http://schemas.openxmlformats.org/officeDocument/2006/relationships" ref="A959" r:id="rId958"/>
    <hyperlink xmlns:r="http://schemas.openxmlformats.org/officeDocument/2006/relationships" ref="A960" r:id="rId959"/>
    <hyperlink xmlns:r="http://schemas.openxmlformats.org/officeDocument/2006/relationships" ref="A961" r:id="rId960"/>
    <hyperlink xmlns:r="http://schemas.openxmlformats.org/officeDocument/2006/relationships" ref="A962" r:id="rId961"/>
    <hyperlink xmlns:r="http://schemas.openxmlformats.org/officeDocument/2006/relationships" ref="A963" r:id="rId962"/>
    <hyperlink xmlns:r="http://schemas.openxmlformats.org/officeDocument/2006/relationships" ref="A964" r:id="rId963"/>
    <hyperlink xmlns:r="http://schemas.openxmlformats.org/officeDocument/2006/relationships" ref="A965" r:id="rId964"/>
    <hyperlink xmlns:r="http://schemas.openxmlformats.org/officeDocument/2006/relationships" ref="A966" r:id="rId965"/>
    <hyperlink xmlns:r="http://schemas.openxmlformats.org/officeDocument/2006/relationships" ref="A967" r:id="rId966"/>
    <hyperlink xmlns:r="http://schemas.openxmlformats.org/officeDocument/2006/relationships" ref="A968" r:id="rId967"/>
    <hyperlink xmlns:r="http://schemas.openxmlformats.org/officeDocument/2006/relationships" ref="A969" r:id="rId968"/>
    <hyperlink xmlns:r="http://schemas.openxmlformats.org/officeDocument/2006/relationships" ref="A970" r:id="rId969"/>
    <hyperlink xmlns:r="http://schemas.openxmlformats.org/officeDocument/2006/relationships" ref="A971" r:id="rId970"/>
    <hyperlink xmlns:r="http://schemas.openxmlformats.org/officeDocument/2006/relationships" ref="A972" r:id="rId971"/>
    <hyperlink xmlns:r="http://schemas.openxmlformats.org/officeDocument/2006/relationships" ref="A973" r:id="rId972"/>
    <hyperlink xmlns:r="http://schemas.openxmlformats.org/officeDocument/2006/relationships" ref="A974" r:id="rId973"/>
    <hyperlink xmlns:r="http://schemas.openxmlformats.org/officeDocument/2006/relationships" ref="A975" r:id="rId974"/>
    <hyperlink xmlns:r="http://schemas.openxmlformats.org/officeDocument/2006/relationships" ref="A976" r:id="rId975"/>
    <hyperlink xmlns:r="http://schemas.openxmlformats.org/officeDocument/2006/relationships" ref="A977" r:id="rId976"/>
    <hyperlink xmlns:r="http://schemas.openxmlformats.org/officeDocument/2006/relationships" ref="A978" r:id="rId977"/>
    <hyperlink xmlns:r="http://schemas.openxmlformats.org/officeDocument/2006/relationships" ref="A979" r:id="rId978"/>
    <hyperlink xmlns:r="http://schemas.openxmlformats.org/officeDocument/2006/relationships" ref="A980" r:id="rId979"/>
    <hyperlink xmlns:r="http://schemas.openxmlformats.org/officeDocument/2006/relationships" ref="A981" r:id="rId980"/>
    <hyperlink xmlns:r="http://schemas.openxmlformats.org/officeDocument/2006/relationships" ref="A982" r:id="rId981"/>
    <hyperlink xmlns:r="http://schemas.openxmlformats.org/officeDocument/2006/relationships" ref="A983" r:id="rId982"/>
    <hyperlink xmlns:r="http://schemas.openxmlformats.org/officeDocument/2006/relationships" ref="A984" r:id="rId983"/>
    <hyperlink xmlns:r="http://schemas.openxmlformats.org/officeDocument/2006/relationships" ref="A985" r:id="rId984"/>
    <hyperlink xmlns:r="http://schemas.openxmlformats.org/officeDocument/2006/relationships" ref="A986" r:id="rId985"/>
    <hyperlink xmlns:r="http://schemas.openxmlformats.org/officeDocument/2006/relationships" ref="A987" r:id="rId986"/>
    <hyperlink xmlns:r="http://schemas.openxmlformats.org/officeDocument/2006/relationships" ref="A988" r:id="rId987"/>
    <hyperlink xmlns:r="http://schemas.openxmlformats.org/officeDocument/2006/relationships" ref="A989" r:id="rId988"/>
    <hyperlink xmlns:r="http://schemas.openxmlformats.org/officeDocument/2006/relationships" ref="A990" r:id="rId989"/>
    <hyperlink xmlns:r="http://schemas.openxmlformats.org/officeDocument/2006/relationships" ref="A991" r:id="rId990"/>
    <hyperlink xmlns:r="http://schemas.openxmlformats.org/officeDocument/2006/relationships" ref="A992" r:id="rId991"/>
    <hyperlink xmlns:r="http://schemas.openxmlformats.org/officeDocument/2006/relationships" ref="A993" r:id="rId992"/>
    <hyperlink xmlns:r="http://schemas.openxmlformats.org/officeDocument/2006/relationships" ref="A994" r:id="rId993"/>
    <hyperlink xmlns:r="http://schemas.openxmlformats.org/officeDocument/2006/relationships" ref="A995" r:id="rId994"/>
    <hyperlink xmlns:r="http://schemas.openxmlformats.org/officeDocument/2006/relationships" ref="A996" r:id="rId995"/>
    <hyperlink xmlns:r="http://schemas.openxmlformats.org/officeDocument/2006/relationships" ref="A997" r:id="rId996"/>
    <hyperlink xmlns:r="http://schemas.openxmlformats.org/officeDocument/2006/relationships" ref="A998" r:id="rId997"/>
    <hyperlink xmlns:r="http://schemas.openxmlformats.org/officeDocument/2006/relationships" ref="A999" r:id="rId998"/>
    <hyperlink xmlns:r="http://schemas.openxmlformats.org/officeDocument/2006/relationships" ref="A1000" r:id="rId999"/>
    <hyperlink xmlns:r="http://schemas.openxmlformats.org/officeDocument/2006/relationships" ref="A1001" r:id="rId1000"/>
    <hyperlink xmlns:r="http://schemas.openxmlformats.org/officeDocument/2006/relationships" ref="A1002" r:id="rId1001"/>
    <hyperlink xmlns:r="http://schemas.openxmlformats.org/officeDocument/2006/relationships" ref="A1003" r:id="rId1002"/>
    <hyperlink xmlns:r="http://schemas.openxmlformats.org/officeDocument/2006/relationships" ref="A1004" r:id="rId1003"/>
    <hyperlink xmlns:r="http://schemas.openxmlformats.org/officeDocument/2006/relationships" ref="A1005" r:id="rId1004"/>
    <hyperlink xmlns:r="http://schemas.openxmlformats.org/officeDocument/2006/relationships" ref="A1006" r:id="rId1005"/>
    <hyperlink xmlns:r="http://schemas.openxmlformats.org/officeDocument/2006/relationships" ref="A1007" r:id="rId1006"/>
    <hyperlink xmlns:r="http://schemas.openxmlformats.org/officeDocument/2006/relationships" ref="A1008" r:id="rId1007"/>
    <hyperlink xmlns:r="http://schemas.openxmlformats.org/officeDocument/2006/relationships" ref="A1009" r:id="rId1008"/>
    <hyperlink xmlns:r="http://schemas.openxmlformats.org/officeDocument/2006/relationships" ref="A1010" r:id="rId1009"/>
    <hyperlink xmlns:r="http://schemas.openxmlformats.org/officeDocument/2006/relationships" ref="A1011" r:id="rId1010"/>
    <hyperlink xmlns:r="http://schemas.openxmlformats.org/officeDocument/2006/relationships" ref="A1012" r:id="rId1011"/>
    <hyperlink xmlns:r="http://schemas.openxmlformats.org/officeDocument/2006/relationships" ref="A1013" r:id="rId1012"/>
    <hyperlink xmlns:r="http://schemas.openxmlformats.org/officeDocument/2006/relationships" ref="A1014" r:id="rId1013"/>
    <hyperlink xmlns:r="http://schemas.openxmlformats.org/officeDocument/2006/relationships" ref="A1015" r:id="rId1014"/>
    <hyperlink xmlns:r="http://schemas.openxmlformats.org/officeDocument/2006/relationships" ref="A1016" r:id="rId1015"/>
    <hyperlink xmlns:r="http://schemas.openxmlformats.org/officeDocument/2006/relationships" ref="A1017" r:id="rId1016"/>
    <hyperlink xmlns:r="http://schemas.openxmlformats.org/officeDocument/2006/relationships" ref="A1018" r:id="rId1017"/>
    <hyperlink xmlns:r="http://schemas.openxmlformats.org/officeDocument/2006/relationships" ref="A1019" r:id="rId1018"/>
    <hyperlink xmlns:r="http://schemas.openxmlformats.org/officeDocument/2006/relationships" ref="A1020" r:id="rId1019"/>
    <hyperlink xmlns:r="http://schemas.openxmlformats.org/officeDocument/2006/relationships" ref="A1021" r:id="rId1020"/>
    <hyperlink xmlns:r="http://schemas.openxmlformats.org/officeDocument/2006/relationships" ref="A1022" r:id="rId1021"/>
    <hyperlink xmlns:r="http://schemas.openxmlformats.org/officeDocument/2006/relationships" ref="A1023" r:id="rId1022"/>
    <hyperlink xmlns:r="http://schemas.openxmlformats.org/officeDocument/2006/relationships" ref="A1024" r:id="rId1023"/>
    <hyperlink xmlns:r="http://schemas.openxmlformats.org/officeDocument/2006/relationships" ref="A1025" r:id="rId1024"/>
    <hyperlink xmlns:r="http://schemas.openxmlformats.org/officeDocument/2006/relationships" ref="A1026" r:id="rId1025"/>
    <hyperlink xmlns:r="http://schemas.openxmlformats.org/officeDocument/2006/relationships" ref="A1027" r:id="rId1026"/>
    <hyperlink xmlns:r="http://schemas.openxmlformats.org/officeDocument/2006/relationships" ref="A1028" r:id="rId1027"/>
    <hyperlink xmlns:r="http://schemas.openxmlformats.org/officeDocument/2006/relationships" ref="A1029" r:id="rId1028"/>
    <hyperlink xmlns:r="http://schemas.openxmlformats.org/officeDocument/2006/relationships" ref="A1030" r:id="rId1029"/>
    <hyperlink xmlns:r="http://schemas.openxmlformats.org/officeDocument/2006/relationships" ref="A1031" r:id="rId1030"/>
    <hyperlink xmlns:r="http://schemas.openxmlformats.org/officeDocument/2006/relationships" ref="A1032" r:id="rId1031"/>
    <hyperlink xmlns:r="http://schemas.openxmlformats.org/officeDocument/2006/relationships" ref="A1033" r:id="rId1032"/>
    <hyperlink xmlns:r="http://schemas.openxmlformats.org/officeDocument/2006/relationships" ref="A1034" r:id="rId1033"/>
    <hyperlink xmlns:r="http://schemas.openxmlformats.org/officeDocument/2006/relationships" ref="A1035" r:id="rId1034"/>
    <hyperlink xmlns:r="http://schemas.openxmlformats.org/officeDocument/2006/relationships" ref="A1036" r:id="rId1035"/>
    <hyperlink xmlns:r="http://schemas.openxmlformats.org/officeDocument/2006/relationships" ref="A1037" r:id="rId1036"/>
    <hyperlink xmlns:r="http://schemas.openxmlformats.org/officeDocument/2006/relationships" ref="A1038" r:id="rId1037"/>
    <hyperlink xmlns:r="http://schemas.openxmlformats.org/officeDocument/2006/relationships" ref="A1039" r:id="rId1038"/>
    <hyperlink xmlns:r="http://schemas.openxmlformats.org/officeDocument/2006/relationships" ref="A1040" r:id="rId1039"/>
    <hyperlink xmlns:r="http://schemas.openxmlformats.org/officeDocument/2006/relationships" ref="A1041" r:id="rId1040"/>
    <hyperlink xmlns:r="http://schemas.openxmlformats.org/officeDocument/2006/relationships" ref="A1042" r:id="rId1041"/>
    <hyperlink xmlns:r="http://schemas.openxmlformats.org/officeDocument/2006/relationships" ref="A1043" r:id="rId1042"/>
    <hyperlink xmlns:r="http://schemas.openxmlformats.org/officeDocument/2006/relationships" ref="A1044" r:id="rId1043"/>
    <hyperlink xmlns:r="http://schemas.openxmlformats.org/officeDocument/2006/relationships" ref="A1045" r:id="rId1044"/>
    <hyperlink xmlns:r="http://schemas.openxmlformats.org/officeDocument/2006/relationships" ref="A1046" r:id="rId1045"/>
    <hyperlink xmlns:r="http://schemas.openxmlformats.org/officeDocument/2006/relationships" ref="A1047" r:id="rId1046"/>
    <hyperlink xmlns:r="http://schemas.openxmlformats.org/officeDocument/2006/relationships" ref="A1048" r:id="rId1047"/>
    <hyperlink xmlns:r="http://schemas.openxmlformats.org/officeDocument/2006/relationships" ref="A1049" r:id="rId1048"/>
    <hyperlink xmlns:r="http://schemas.openxmlformats.org/officeDocument/2006/relationships" ref="A1050" r:id="rId1049"/>
    <hyperlink xmlns:r="http://schemas.openxmlformats.org/officeDocument/2006/relationships" ref="A1051" r:id="rId1050"/>
    <hyperlink xmlns:r="http://schemas.openxmlformats.org/officeDocument/2006/relationships" ref="A1052" r:id="rId1051"/>
    <hyperlink xmlns:r="http://schemas.openxmlformats.org/officeDocument/2006/relationships" ref="A1053" r:id="rId1052"/>
    <hyperlink xmlns:r="http://schemas.openxmlformats.org/officeDocument/2006/relationships" ref="A1054" r:id="rId1053"/>
    <hyperlink xmlns:r="http://schemas.openxmlformats.org/officeDocument/2006/relationships" ref="A1055" r:id="rId1054"/>
    <hyperlink xmlns:r="http://schemas.openxmlformats.org/officeDocument/2006/relationships" ref="A1056" r:id="rId1055"/>
    <hyperlink xmlns:r="http://schemas.openxmlformats.org/officeDocument/2006/relationships" ref="A1057" r:id="rId1056"/>
    <hyperlink xmlns:r="http://schemas.openxmlformats.org/officeDocument/2006/relationships" ref="A1058" r:id="rId1057"/>
    <hyperlink xmlns:r="http://schemas.openxmlformats.org/officeDocument/2006/relationships" ref="A1059" r:id="rId1058"/>
    <hyperlink xmlns:r="http://schemas.openxmlformats.org/officeDocument/2006/relationships" ref="A1060" r:id="rId1059"/>
    <hyperlink xmlns:r="http://schemas.openxmlformats.org/officeDocument/2006/relationships" ref="A1061" r:id="rId1060"/>
    <hyperlink xmlns:r="http://schemas.openxmlformats.org/officeDocument/2006/relationships" ref="A1062" r:id="rId1061"/>
    <hyperlink xmlns:r="http://schemas.openxmlformats.org/officeDocument/2006/relationships" ref="A1063" r:id="rId1062"/>
    <hyperlink xmlns:r="http://schemas.openxmlformats.org/officeDocument/2006/relationships" ref="A1064" r:id="rId1063"/>
    <hyperlink xmlns:r="http://schemas.openxmlformats.org/officeDocument/2006/relationships" ref="A1065" r:id="rId1064"/>
    <hyperlink xmlns:r="http://schemas.openxmlformats.org/officeDocument/2006/relationships" ref="A1066" r:id="rId1065"/>
    <hyperlink xmlns:r="http://schemas.openxmlformats.org/officeDocument/2006/relationships" ref="A1067" r:id="rId1066"/>
    <hyperlink xmlns:r="http://schemas.openxmlformats.org/officeDocument/2006/relationships" ref="A1068" r:id="rId1067"/>
    <hyperlink xmlns:r="http://schemas.openxmlformats.org/officeDocument/2006/relationships" ref="A1069" r:id="rId1068"/>
    <hyperlink xmlns:r="http://schemas.openxmlformats.org/officeDocument/2006/relationships" ref="A1070" r:id="rId1069"/>
    <hyperlink xmlns:r="http://schemas.openxmlformats.org/officeDocument/2006/relationships" ref="A1071" r:id="rId1070"/>
    <hyperlink xmlns:r="http://schemas.openxmlformats.org/officeDocument/2006/relationships" ref="A1072" r:id="rId1071"/>
    <hyperlink xmlns:r="http://schemas.openxmlformats.org/officeDocument/2006/relationships" ref="A1073" r:id="rId1072"/>
    <hyperlink xmlns:r="http://schemas.openxmlformats.org/officeDocument/2006/relationships" ref="A1074" r:id="rId1073"/>
    <hyperlink xmlns:r="http://schemas.openxmlformats.org/officeDocument/2006/relationships" ref="A1075" r:id="rId1074"/>
    <hyperlink xmlns:r="http://schemas.openxmlformats.org/officeDocument/2006/relationships" ref="A1076" r:id="rId1075"/>
    <hyperlink xmlns:r="http://schemas.openxmlformats.org/officeDocument/2006/relationships" ref="A1077" r:id="rId1076"/>
    <hyperlink xmlns:r="http://schemas.openxmlformats.org/officeDocument/2006/relationships" ref="A1078" r:id="rId1077"/>
    <hyperlink xmlns:r="http://schemas.openxmlformats.org/officeDocument/2006/relationships" ref="A1079" r:id="rId1078"/>
    <hyperlink xmlns:r="http://schemas.openxmlformats.org/officeDocument/2006/relationships" ref="A1080" r:id="rId1079"/>
    <hyperlink xmlns:r="http://schemas.openxmlformats.org/officeDocument/2006/relationships" ref="A1081" r:id="rId1080"/>
    <hyperlink xmlns:r="http://schemas.openxmlformats.org/officeDocument/2006/relationships" ref="A1082" r:id="rId1081"/>
    <hyperlink xmlns:r="http://schemas.openxmlformats.org/officeDocument/2006/relationships" ref="A1083" r:id="rId1082"/>
    <hyperlink xmlns:r="http://schemas.openxmlformats.org/officeDocument/2006/relationships" ref="A1084" r:id="rId1083"/>
    <hyperlink xmlns:r="http://schemas.openxmlformats.org/officeDocument/2006/relationships" ref="A1085" r:id="rId1084"/>
    <hyperlink xmlns:r="http://schemas.openxmlformats.org/officeDocument/2006/relationships" ref="A1086" r:id="rId1085"/>
    <hyperlink xmlns:r="http://schemas.openxmlformats.org/officeDocument/2006/relationships" ref="A1087" r:id="rId1086"/>
    <hyperlink xmlns:r="http://schemas.openxmlformats.org/officeDocument/2006/relationships" ref="A1088" r:id="rId1087"/>
    <hyperlink xmlns:r="http://schemas.openxmlformats.org/officeDocument/2006/relationships" ref="A1089" r:id="rId1088"/>
    <hyperlink xmlns:r="http://schemas.openxmlformats.org/officeDocument/2006/relationships" ref="A1090" r:id="rId1089"/>
    <hyperlink xmlns:r="http://schemas.openxmlformats.org/officeDocument/2006/relationships" ref="A1091" r:id="rId1090"/>
    <hyperlink xmlns:r="http://schemas.openxmlformats.org/officeDocument/2006/relationships" ref="A1092" r:id="rId1091"/>
    <hyperlink xmlns:r="http://schemas.openxmlformats.org/officeDocument/2006/relationships" ref="A1093" r:id="rId1092"/>
    <hyperlink xmlns:r="http://schemas.openxmlformats.org/officeDocument/2006/relationships" ref="A1094" r:id="rId1093"/>
    <hyperlink xmlns:r="http://schemas.openxmlformats.org/officeDocument/2006/relationships" ref="A1095" r:id="rId1094"/>
    <hyperlink xmlns:r="http://schemas.openxmlformats.org/officeDocument/2006/relationships" ref="A1096" r:id="rId1095"/>
    <hyperlink xmlns:r="http://schemas.openxmlformats.org/officeDocument/2006/relationships" ref="A1097" r:id="rId1096"/>
    <hyperlink xmlns:r="http://schemas.openxmlformats.org/officeDocument/2006/relationships" ref="A1098" r:id="rId1097"/>
    <hyperlink xmlns:r="http://schemas.openxmlformats.org/officeDocument/2006/relationships" ref="A1099" r:id="rId1098"/>
    <hyperlink xmlns:r="http://schemas.openxmlformats.org/officeDocument/2006/relationships" ref="A1100" r:id="rId1099"/>
    <hyperlink xmlns:r="http://schemas.openxmlformats.org/officeDocument/2006/relationships" ref="A1101" r:id="rId1100"/>
    <hyperlink xmlns:r="http://schemas.openxmlformats.org/officeDocument/2006/relationships" ref="A1102" r:id="rId1101"/>
    <hyperlink xmlns:r="http://schemas.openxmlformats.org/officeDocument/2006/relationships" ref="A1103" r:id="rId1102"/>
    <hyperlink xmlns:r="http://schemas.openxmlformats.org/officeDocument/2006/relationships" ref="A1104" r:id="rId1103"/>
    <hyperlink xmlns:r="http://schemas.openxmlformats.org/officeDocument/2006/relationships" ref="A1105" r:id="rId1104"/>
    <hyperlink xmlns:r="http://schemas.openxmlformats.org/officeDocument/2006/relationships" ref="A1106" r:id="rId1105"/>
    <hyperlink xmlns:r="http://schemas.openxmlformats.org/officeDocument/2006/relationships" ref="A1107" r:id="rId1106"/>
    <hyperlink xmlns:r="http://schemas.openxmlformats.org/officeDocument/2006/relationships" ref="A1108" r:id="rId1107"/>
    <hyperlink xmlns:r="http://schemas.openxmlformats.org/officeDocument/2006/relationships" ref="A1109" r:id="rId1108"/>
    <hyperlink xmlns:r="http://schemas.openxmlformats.org/officeDocument/2006/relationships" ref="A1110" r:id="rId1109"/>
    <hyperlink xmlns:r="http://schemas.openxmlformats.org/officeDocument/2006/relationships" ref="A1111" r:id="rId1110"/>
    <hyperlink xmlns:r="http://schemas.openxmlformats.org/officeDocument/2006/relationships" ref="A1112" r:id="rId1111"/>
    <hyperlink xmlns:r="http://schemas.openxmlformats.org/officeDocument/2006/relationships" ref="A1113" r:id="rId1112"/>
    <hyperlink xmlns:r="http://schemas.openxmlformats.org/officeDocument/2006/relationships" ref="A1114" r:id="rId1113"/>
    <hyperlink xmlns:r="http://schemas.openxmlformats.org/officeDocument/2006/relationships" ref="A1115" r:id="rId1114"/>
    <hyperlink xmlns:r="http://schemas.openxmlformats.org/officeDocument/2006/relationships" ref="A1116" r:id="rId1115"/>
    <hyperlink xmlns:r="http://schemas.openxmlformats.org/officeDocument/2006/relationships" ref="A1117" r:id="rId1116"/>
    <hyperlink xmlns:r="http://schemas.openxmlformats.org/officeDocument/2006/relationships" ref="A1118" r:id="rId1117"/>
    <hyperlink xmlns:r="http://schemas.openxmlformats.org/officeDocument/2006/relationships" ref="A1119" r:id="rId1118"/>
    <hyperlink xmlns:r="http://schemas.openxmlformats.org/officeDocument/2006/relationships" ref="A1120" r:id="rId1119"/>
    <hyperlink xmlns:r="http://schemas.openxmlformats.org/officeDocument/2006/relationships" ref="A1121" r:id="rId1120"/>
    <hyperlink xmlns:r="http://schemas.openxmlformats.org/officeDocument/2006/relationships" ref="A1122" r:id="rId1121"/>
    <hyperlink xmlns:r="http://schemas.openxmlformats.org/officeDocument/2006/relationships" ref="A1123" r:id="rId1122"/>
    <hyperlink xmlns:r="http://schemas.openxmlformats.org/officeDocument/2006/relationships" ref="A1124" r:id="rId1123"/>
    <hyperlink xmlns:r="http://schemas.openxmlformats.org/officeDocument/2006/relationships" ref="A1125" r:id="rId1124"/>
    <hyperlink xmlns:r="http://schemas.openxmlformats.org/officeDocument/2006/relationships" ref="A1126" r:id="rId1125"/>
    <hyperlink xmlns:r="http://schemas.openxmlformats.org/officeDocument/2006/relationships" ref="A1127" r:id="rId1126"/>
    <hyperlink xmlns:r="http://schemas.openxmlformats.org/officeDocument/2006/relationships" ref="A1128" r:id="rId1127"/>
    <hyperlink xmlns:r="http://schemas.openxmlformats.org/officeDocument/2006/relationships" ref="A1129" r:id="rId1128"/>
    <hyperlink xmlns:r="http://schemas.openxmlformats.org/officeDocument/2006/relationships" ref="A1130" r:id="rId1129"/>
    <hyperlink xmlns:r="http://schemas.openxmlformats.org/officeDocument/2006/relationships" ref="A1131" r:id="rId1130"/>
    <hyperlink xmlns:r="http://schemas.openxmlformats.org/officeDocument/2006/relationships" ref="A1132" r:id="rId1131"/>
    <hyperlink xmlns:r="http://schemas.openxmlformats.org/officeDocument/2006/relationships" ref="A1133" r:id="rId1132"/>
    <hyperlink xmlns:r="http://schemas.openxmlformats.org/officeDocument/2006/relationships" ref="A1134" r:id="rId1133"/>
    <hyperlink xmlns:r="http://schemas.openxmlformats.org/officeDocument/2006/relationships" ref="A1135" r:id="rId1134"/>
    <hyperlink xmlns:r="http://schemas.openxmlformats.org/officeDocument/2006/relationships" ref="A1136" r:id="rId1135"/>
    <hyperlink xmlns:r="http://schemas.openxmlformats.org/officeDocument/2006/relationships" ref="A1137" r:id="rId1136"/>
    <hyperlink xmlns:r="http://schemas.openxmlformats.org/officeDocument/2006/relationships" ref="A1138" r:id="rId1137"/>
    <hyperlink xmlns:r="http://schemas.openxmlformats.org/officeDocument/2006/relationships" ref="A1139" r:id="rId1138"/>
    <hyperlink xmlns:r="http://schemas.openxmlformats.org/officeDocument/2006/relationships" ref="A1140" r:id="rId1139"/>
    <hyperlink xmlns:r="http://schemas.openxmlformats.org/officeDocument/2006/relationships" ref="A1141" r:id="rId1140"/>
    <hyperlink xmlns:r="http://schemas.openxmlformats.org/officeDocument/2006/relationships" ref="A1142" r:id="rId1141"/>
    <hyperlink xmlns:r="http://schemas.openxmlformats.org/officeDocument/2006/relationships" ref="A1143" r:id="rId1142"/>
    <hyperlink xmlns:r="http://schemas.openxmlformats.org/officeDocument/2006/relationships" ref="A1144" r:id="rId1143"/>
    <hyperlink xmlns:r="http://schemas.openxmlformats.org/officeDocument/2006/relationships" ref="A1145" r:id="rId1144"/>
    <hyperlink xmlns:r="http://schemas.openxmlformats.org/officeDocument/2006/relationships" ref="A1146" r:id="rId1145"/>
    <hyperlink xmlns:r="http://schemas.openxmlformats.org/officeDocument/2006/relationships" ref="A1147" r:id="rId1146"/>
    <hyperlink xmlns:r="http://schemas.openxmlformats.org/officeDocument/2006/relationships" ref="A1148" r:id="rId1147"/>
    <hyperlink xmlns:r="http://schemas.openxmlformats.org/officeDocument/2006/relationships" ref="A1149" r:id="rId1148"/>
    <hyperlink xmlns:r="http://schemas.openxmlformats.org/officeDocument/2006/relationships" ref="A1150" r:id="rId1149"/>
    <hyperlink xmlns:r="http://schemas.openxmlformats.org/officeDocument/2006/relationships" ref="A1151" r:id="rId1150"/>
    <hyperlink xmlns:r="http://schemas.openxmlformats.org/officeDocument/2006/relationships" ref="A1152" r:id="rId1151"/>
    <hyperlink xmlns:r="http://schemas.openxmlformats.org/officeDocument/2006/relationships" ref="A1153" r:id="rId1152"/>
    <hyperlink xmlns:r="http://schemas.openxmlformats.org/officeDocument/2006/relationships" ref="A1154" r:id="rId1153"/>
    <hyperlink xmlns:r="http://schemas.openxmlformats.org/officeDocument/2006/relationships" ref="A1155" r:id="rId1154"/>
    <hyperlink xmlns:r="http://schemas.openxmlformats.org/officeDocument/2006/relationships" ref="A1156" r:id="rId1155"/>
    <hyperlink xmlns:r="http://schemas.openxmlformats.org/officeDocument/2006/relationships" ref="A1157" r:id="rId1156"/>
    <hyperlink xmlns:r="http://schemas.openxmlformats.org/officeDocument/2006/relationships" ref="A1158" r:id="rId1157"/>
    <hyperlink xmlns:r="http://schemas.openxmlformats.org/officeDocument/2006/relationships" ref="A1159" r:id="rId1158"/>
    <hyperlink xmlns:r="http://schemas.openxmlformats.org/officeDocument/2006/relationships" ref="A1160" r:id="rId1159"/>
    <hyperlink xmlns:r="http://schemas.openxmlformats.org/officeDocument/2006/relationships" ref="A1161" r:id="rId1160"/>
    <hyperlink xmlns:r="http://schemas.openxmlformats.org/officeDocument/2006/relationships" ref="A1162" r:id="rId1161"/>
    <hyperlink xmlns:r="http://schemas.openxmlformats.org/officeDocument/2006/relationships" ref="A1163" r:id="rId1162"/>
    <hyperlink xmlns:r="http://schemas.openxmlformats.org/officeDocument/2006/relationships" ref="A1164" r:id="rId1163"/>
    <hyperlink xmlns:r="http://schemas.openxmlformats.org/officeDocument/2006/relationships" ref="A1165" r:id="rId1164"/>
    <hyperlink xmlns:r="http://schemas.openxmlformats.org/officeDocument/2006/relationships" ref="A1166" r:id="rId1165"/>
    <hyperlink xmlns:r="http://schemas.openxmlformats.org/officeDocument/2006/relationships" ref="A1167" r:id="rId1166"/>
    <hyperlink xmlns:r="http://schemas.openxmlformats.org/officeDocument/2006/relationships" ref="A1168" r:id="rId1167"/>
    <hyperlink xmlns:r="http://schemas.openxmlformats.org/officeDocument/2006/relationships" ref="A1169" r:id="rId1168"/>
    <hyperlink xmlns:r="http://schemas.openxmlformats.org/officeDocument/2006/relationships" ref="A1170" r:id="rId1169"/>
    <hyperlink xmlns:r="http://schemas.openxmlformats.org/officeDocument/2006/relationships" ref="A1171" r:id="rId1170"/>
    <hyperlink xmlns:r="http://schemas.openxmlformats.org/officeDocument/2006/relationships" ref="A1172" r:id="rId1171"/>
    <hyperlink xmlns:r="http://schemas.openxmlformats.org/officeDocument/2006/relationships" ref="A1173" r:id="rId1172"/>
    <hyperlink xmlns:r="http://schemas.openxmlformats.org/officeDocument/2006/relationships" ref="A1174" r:id="rId1173"/>
    <hyperlink xmlns:r="http://schemas.openxmlformats.org/officeDocument/2006/relationships" ref="A1175" r:id="rId1174"/>
    <hyperlink xmlns:r="http://schemas.openxmlformats.org/officeDocument/2006/relationships" ref="A1176" r:id="rId1175"/>
    <hyperlink xmlns:r="http://schemas.openxmlformats.org/officeDocument/2006/relationships" ref="A1177" r:id="rId1176"/>
    <hyperlink xmlns:r="http://schemas.openxmlformats.org/officeDocument/2006/relationships" ref="A1178" r:id="rId1177"/>
    <hyperlink xmlns:r="http://schemas.openxmlformats.org/officeDocument/2006/relationships" ref="A1179" r:id="rId1178"/>
    <hyperlink xmlns:r="http://schemas.openxmlformats.org/officeDocument/2006/relationships" ref="A1180" r:id="rId1179"/>
    <hyperlink xmlns:r="http://schemas.openxmlformats.org/officeDocument/2006/relationships" ref="A1181" r:id="rId1180"/>
    <hyperlink xmlns:r="http://schemas.openxmlformats.org/officeDocument/2006/relationships" ref="A1182" r:id="rId1181"/>
    <hyperlink xmlns:r="http://schemas.openxmlformats.org/officeDocument/2006/relationships" ref="A1183" r:id="rId1182"/>
    <hyperlink xmlns:r="http://schemas.openxmlformats.org/officeDocument/2006/relationships" ref="A1184" r:id="rId1183"/>
    <hyperlink xmlns:r="http://schemas.openxmlformats.org/officeDocument/2006/relationships" ref="A1185" r:id="rId1184"/>
    <hyperlink xmlns:r="http://schemas.openxmlformats.org/officeDocument/2006/relationships" ref="A1186" r:id="rId1185"/>
    <hyperlink xmlns:r="http://schemas.openxmlformats.org/officeDocument/2006/relationships" ref="A1187" r:id="rId1186"/>
    <hyperlink xmlns:r="http://schemas.openxmlformats.org/officeDocument/2006/relationships" ref="A1188" r:id="rId1187"/>
    <hyperlink xmlns:r="http://schemas.openxmlformats.org/officeDocument/2006/relationships" ref="A1189" r:id="rId1188"/>
    <hyperlink xmlns:r="http://schemas.openxmlformats.org/officeDocument/2006/relationships" ref="A1190" r:id="rId1189"/>
    <hyperlink xmlns:r="http://schemas.openxmlformats.org/officeDocument/2006/relationships" ref="A1191" r:id="rId1190"/>
    <hyperlink xmlns:r="http://schemas.openxmlformats.org/officeDocument/2006/relationships" ref="A1192" r:id="rId1191"/>
    <hyperlink xmlns:r="http://schemas.openxmlformats.org/officeDocument/2006/relationships" ref="A1193" r:id="rId1192"/>
    <hyperlink xmlns:r="http://schemas.openxmlformats.org/officeDocument/2006/relationships" ref="A1194" r:id="rId1193"/>
    <hyperlink xmlns:r="http://schemas.openxmlformats.org/officeDocument/2006/relationships" ref="A1195" r:id="rId1194"/>
    <hyperlink xmlns:r="http://schemas.openxmlformats.org/officeDocument/2006/relationships" ref="A1196" r:id="rId1195"/>
    <hyperlink xmlns:r="http://schemas.openxmlformats.org/officeDocument/2006/relationships" ref="A1197" r:id="rId1196"/>
    <hyperlink xmlns:r="http://schemas.openxmlformats.org/officeDocument/2006/relationships" ref="A1198" r:id="rId1197"/>
    <hyperlink xmlns:r="http://schemas.openxmlformats.org/officeDocument/2006/relationships" ref="A1199" r:id="rId1198"/>
    <hyperlink xmlns:r="http://schemas.openxmlformats.org/officeDocument/2006/relationships" ref="A1200" r:id="rId1199"/>
    <hyperlink xmlns:r="http://schemas.openxmlformats.org/officeDocument/2006/relationships" ref="A1201" r:id="rId1200"/>
    <hyperlink xmlns:r="http://schemas.openxmlformats.org/officeDocument/2006/relationships" ref="A1202" r:id="rId1201"/>
    <hyperlink xmlns:r="http://schemas.openxmlformats.org/officeDocument/2006/relationships" ref="A1203" r:id="rId1202"/>
    <hyperlink xmlns:r="http://schemas.openxmlformats.org/officeDocument/2006/relationships" ref="A1204" r:id="rId1203"/>
    <hyperlink xmlns:r="http://schemas.openxmlformats.org/officeDocument/2006/relationships" ref="A1205" r:id="rId1204"/>
    <hyperlink xmlns:r="http://schemas.openxmlformats.org/officeDocument/2006/relationships" ref="A1206" r:id="rId1205"/>
    <hyperlink xmlns:r="http://schemas.openxmlformats.org/officeDocument/2006/relationships" ref="A1207" r:id="rId1206"/>
    <hyperlink xmlns:r="http://schemas.openxmlformats.org/officeDocument/2006/relationships" ref="A1208" r:id="rId1207"/>
    <hyperlink xmlns:r="http://schemas.openxmlformats.org/officeDocument/2006/relationships" ref="A1209" r:id="rId1208"/>
    <hyperlink xmlns:r="http://schemas.openxmlformats.org/officeDocument/2006/relationships" ref="A1210" r:id="rId1209"/>
    <hyperlink xmlns:r="http://schemas.openxmlformats.org/officeDocument/2006/relationships" ref="A1211" r:id="rId1210"/>
    <hyperlink xmlns:r="http://schemas.openxmlformats.org/officeDocument/2006/relationships" ref="A1212" r:id="rId1211"/>
    <hyperlink xmlns:r="http://schemas.openxmlformats.org/officeDocument/2006/relationships" ref="A1213" r:id="rId1212"/>
    <hyperlink xmlns:r="http://schemas.openxmlformats.org/officeDocument/2006/relationships" ref="A1214" r:id="rId1213"/>
    <hyperlink xmlns:r="http://schemas.openxmlformats.org/officeDocument/2006/relationships" ref="A1215" r:id="rId1214"/>
    <hyperlink xmlns:r="http://schemas.openxmlformats.org/officeDocument/2006/relationships" ref="A1216" r:id="rId1215"/>
    <hyperlink xmlns:r="http://schemas.openxmlformats.org/officeDocument/2006/relationships" ref="A1217" r:id="rId1216"/>
    <hyperlink xmlns:r="http://schemas.openxmlformats.org/officeDocument/2006/relationships" ref="A1218" r:id="rId1217"/>
    <hyperlink xmlns:r="http://schemas.openxmlformats.org/officeDocument/2006/relationships" ref="A1219" r:id="rId1218"/>
    <hyperlink xmlns:r="http://schemas.openxmlformats.org/officeDocument/2006/relationships" ref="A1220" r:id="rId1219"/>
    <hyperlink xmlns:r="http://schemas.openxmlformats.org/officeDocument/2006/relationships" ref="A1221" r:id="rId1220"/>
    <hyperlink xmlns:r="http://schemas.openxmlformats.org/officeDocument/2006/relationships" ref="A1222" r:id="rId1221"/>
    <hyperlink xmlns:r="http://schemas.openxmlformats.org/officeDocument/2006/relationships" ref="A1223" r:id="rId1222"/>
    <hyperlink xmlns:r="http://schemas.openxmlformats.org/officeDocument/2006/relationships" ref="A1224" r:id="rId1223"/>
    <hyperlink xmlns:r="http://schemas.openxmlformats.org/officeDocument/2006/relationships" ref="A1225" r:id="rId1224"/>
    <hyperlink xmlns:r="http://schemas.openxmlformats.org/officeDocument/2006/relationships" ref="A1226" r:id="rId1225"/>
    <hyperlink xmlns:r="http://schemas.openxmlformats.org/officeDocument/2006/relationships" ref="A1227" r:id="rId1226"/>
    <hyperlink xmlns:r="http://schemas.openxmlformats.org/officeDocument/2006/relationships" ref="A1228" r:id="rId1227"/>
    <hyperlink xmlns:r="http://schemas.openxmlformats.org/officeDocument/2006/relationships" ref="A1229" r:id="rId1228"/>
    <hyperlink xmlns:r="http://schemas.openxmlformats.org/officeDocument/2006/relationships" ref="A1230" r:id="rId1229"/>
    <hyperlink xmlns:r="http://schemas.openxmlformats.org/officeDocument/2006/relationships" ref="A1231" r:id="rId1230"/>
    <hyperlink xmlns:r="http://schemas.openxmlformats.org/officeDocument/2006/relationships" ref="A1232" r:id="rId1231"/>
    <hyperlink xmlns:r="http://schemas.openxmlformats.org/officeDocument/2006/relationships" ref="A1233" r:id="rId1232"/>
    <hyperlink xmlns:r="http://schemas.openxmlformats.org/officeDocument/2006/relationships" ref="A1234" r:id="rId1233"/>
    <hyperlink xmlns:r="http://schemas.openxmlformats.org/officeDocument/2006/relationships" ref="A1235" r:id="rId1234"/>
    <hyperlink xmlns:r="http://schemas.openxmlformats.org/officeDocument/2006/relationships" ref="A1236" r:id="rId1235"/>
    <hyperlink xmlns:r="http://schemas.openxmlformats.org/officeDocument/2006/relationships" ref="A1237" r:id="rId1236"/>
    <hyperlink xmlns:r="http://schemas.openxmlformats.org/officeDocument/2006/relationships" ref="A1238" r:id="rId1237"/>
    <hyperlink xmlns:r="http://schemas.openxmlformats.org/officeDocument/2006/relationships" ref="A1239" r:id="rId1238"/>
    <hyperlink xmlns:r="http://schemas.openxmlformats.org/officeDocument/2006/relationships" ref="A1240" r:id="rId1239"/>
    <hyperlink xmlns:r="http://schemas.openxmlformats.org/officeDocument/2006/relationships" ref="A1241" r:id="rId1240"/>
    <hyperlink xmlns:r="http://schemas.openxmlformats.org/officeDocument/2006/relationships" ref="A1242" r:id="rId1241"/>
    <hyperlink xmlns:r="http://schemas.openxmlformats.org/officeDocument/2006/relationships" ref="A1243" r:id="rId1242"/>
    <hyperlink xmlns:r="http://schemas.openxmlformats.org/officeDocument/2006/relationships" ref="A1244" r:id="rId1243"/>
    <hyperlink xmlns:r="http://schemas.openxmlformats.org/officeDocument/2006/relationships" ref="A1245" r:id="rId1244"/>
    <hyperlink xmlns:r="http://schemas.openxmlformats.org/officeDocument/2006/relationships" ref="A1246" r:id="rId1245"/>
    <hyperlink xmlns:r="http://schemas.openxmlformats.org/officeDocument/2006/relationships" ref="A1247" r:id="rId1246"/>
    <hyperlink xmlns:r="http://schemas.openxmlformats.org/officeDocument/2006/relationships" ref="A1248" r:id="rId1247"/>
    <hyperlink xmlns:r="http://schemas.openxmlformats.org/officeDocument/2006/relationships" ref="A1249" r:id="rId1248"/>
    <hyperlink xmlns:r="http://schemas.openxmlformats.org/officeDocument/2006/relationships" ref="A1250" r:id="rId1249"/>
    <hyperlink xmlns:r="http://schemas.openxmlformats.org/officeDocument/2006/relationships" ref="A1251" r:id="rId1250"/>
    <hyperlink xmlns:r="http://schemas.openxmlformats.org/officeDocument/2006/relationships" ref="A1252" r:id="rId1251"/>
    <hyperlink xmlns:r="http://schemas.openxmlformats.org/officeDocument/2006/relationships" ref="A1253" r:id="rId1252"/>
    <hyperlink xmlns:r="http://schemas.openxmlformats.org/officeDocument/2006/relationships" ref="A1254" r:id="rId1253"/>
    <hyperlink xmlns:r="http://schemas.openxmlformats.org/officeDocument/2006/relationships" ref="A1255" r:id="rId1254"/>
    <hyperlink xmlns:r="http://schemas.openxmlformats.org/officeDocument/2006/relationships" ref="A1256" r:id="rId1255"/>
    <hyperlink xmlns:r="http://schemas.openxmlformats.org/officeDocument/2006/relationships" ref="A1257" r:id="rId1256"/>
    <hyperlink xmlns:r="http://schemas.openxmlformats.org/officeDocument/2006/relationships" ref="A1258" r:id="rId1257"/>
    <hyperlink xmlns:r="http://schemas.openxmlformats.org/officeDocument/2006/relationships" ref="A1259" r:id="rId1258"/>
    <hyperlink xmlns:r="http://schemas.openxmlformats.org/officeDocument/2006/relationships" ref="A1260" r:id="rId1259"/>
    <hyperlink xmlns:r="http://schemas.openxmlformats.org/officeDocument/2006/relationships" ref="A1261" r:id="rId1260"/>
    <hyperlink xmlns:r="http://schemas.openxmlformats.org/officeDocument/2006/relationships" ref="A1262" r:id="rId1261"/>
    <hyperlink xmlns:r="http://schemas.openxmlformats.org/officeDocument/2006/relationships" ref="A1263" r:id="rId1262"/>
    <hyperlink xmlns:r="http://schemas.openxmlformats.org/officeDocument/2006/relationships" ref="A1264" r:id="rId1263"/>
    <hyperlink xmlns:r="http://schemas.openxmlformats.org/officeDocument/2006/relationships" ref="A1265" r:id="rId1264"/>
    <hyperlink xmlns:r="http://schemas.openxmlformats.org/officeDocument/2006/relationships" ref="A1266" r:id="rId1265"/>
    <hyperlink xmlns:r="http://schemas.openxmlformats.org/officeDocument/2006/relationships" ref="A1267" r:id="rId1266"/>
    <hyperlink xmlns:r="http://schemas.openxmlformats.org/officeDocument/2006/relationships" ref="A1268" r:id="rId1267"/>
    <hyperlink xmlns:r="http://schemas.openxmlformats.org/officeDocument/2006/relationships" ref="A1269" r:id="rId1268"/>
    <hyperlink xmlns:r="http://schemas.openxmlformats.org/officeDocument/2006/relationships" ref="A1270" r:id="rId1269"/>
    <hyperlink xmlns:r="http://schemas.openxmlformats.org/officeDocument/2006/relationships" ref="A1271" r:id="rId1270"/>
    <hyperlink xmlns:r="http://schemas.openxmlformats.org/officeDocument/2006/relationships" ref="A1272" r:id="rId1271"/>
    <hyperlink xmlns:r="http://schemas.openxmlformats.org/officeDocument/2006/relationships" ref="A1273" r:id="rId1272"/>
    <hyperlink xmlns:r="http://schemas.openxmlformats.org/officeDocument/2006/relationships" ref="A1274" r:id="rId1273"/>
    <hyperlink xmlns:r="http://schemas.openxmlformats.org/officeDocument/2006/relationships" ref="A1275" r:id="rId1274"/>
    <hyperlink xmlns:r="http://schemas.openxmlformats.org/officeDocument/2006/relationships" ref="A1276" r:id="rId1275"/>
    <hyperlink xmlns:r="http://schemas.openxmlformats.org/officeDocument/2006/relationships" ref="A1277" r:id="rId1276"/>
    <hyperlink xmlns:r="http://schemas.openxmlformats.org/officeDocument/2006/relationships" ref="A1278" r:id="rId1277"/>
    <hyperlink xmlns:r="http://schemas.openxmlformats.org/officeDocument/2006/relationships" ref="A1279" r:id="rId1278"/>
    <hyperlink xmlns:r="http://schemas.openxmlformats.org/officeDocument/2006/relationships" ref="A1280" r:id="rId1279"/>
    <hyperlink xmlns:r="http://schemas.openxmlformats.org/officeDocument/2006/relationships" ref="A1281" r:id="rId1280"/>
    <hyperlink xmlns:r="http://schemas.openxmlformats.org/officeDocument/2006/relationships" ref="A1282" r:id="rId1281"/>
    <hyperlink xmlns:r="http://schemas.openxmlformats.org/officeDocument/2006/relationships" ref="A1283" r:id="rId1282"/>
    <hyperlink xmlns:r="http://schemas.openxmlformats.org/officeDocument/2006/relationships" ref="A1284" r:id="rId1283"/>
    <hyperlink xmlns:r="http://schemas.openxmlformats.org/officeDocument/2006/relationships" ref="A1285" r:id="rId1284"/>
    <hyperlink xmlns:r="http://schemas.openxmlformats.org/officeDocument/2006/relationships" ref="A1286" r:id="rId1285"/>
    <hyperlink xmlns:r="http://schemas.openxmlformats.org/officeDocument/2006/relationships" ref="A1287" r:id="rId1286"/>
    <hyperlink xmlns:r="http://schemas.openxmlformats.org/officeDocument/2006/relationships" ref="A1288" r:id="rId1287"/>
    <hyperlink xmlns:r="http://schemas.openxmlformats.org/officeDocument/2006/relationships" ref="A1289" r:id="rId1288"/>
    <hyperlink xmlns:r="http://schemas.openxmlformats.org/officeDocument/2006/relationships" ref="A1290" r:id="rId1289"/>
    <hyperlink xmlns:r="http://schemas.openxmlformats.org/officeDocument/2006/relationships" ref="A1291" r:id="rId1290"/>
    <hyperlink xmlns:r="http://schemas.openxmlformats.org/officeDocument/2006/relationships" ref="A1292" r:id="rId1291"/>
    <hyperlink xmlns:r="http://schemas.openxmlformats.org/officeDocument/2006/relationships" ref="A1293" r:id="rId1292"/>
    <hyperlink xmlns:r="http://schemas.openxmlformats.org/officeDocument/2006/relationships" ref="A1294" r:id="rId1293"/>
    <hyperlink xmlns:r="http://schemas.openxmlformats.org/officeDocument/2006/relationships" ref="A1295" r:id="rId1294"/>
    <hyperlink xmlns:r="http://schemas.openxmlformats.org/officeDocument/2006/relationships" ref="A1296" r:id="rId1295"/>
    <hyperlink xmlns:r="http://schemas.openxmlformats.org/officeDocument/2006/relationships" ref="A1297" r:id="rId1296"/>
    <hyperlink xmlns:r="http://schemas.openxmlformats.org/officeDocument/2006/relationships" ref="A1298" r:id="rId1297"/>
    <hyperlink xmlns:r="http://schemas.openxmlformats.org/officeDocument/2006/relationships" ref="A1299" r:id="rId1298"/>
    <hyperlink xmlns:r="http://schemas.openxmlformats.org/officeDocument/2006/relationships" ref="A1300" r:id="rId1299"/>
    <hyperlink xmlns:r="http://schemas.openxmlformats.org/officeDocument/2006/relationships" ref="A1301" r:id="rId1300"/>
    <hyperlink xmlns:r="http://schemas.openxmlformats.org/officeDocument/2006/relationships" ref="A1302" r:id="rId1301"/>
    <hyperlink xmlns:r="http://schemas.openxmlformats.org/officeDocument/2006/relationships" ref="A1303" r:id="rId1302"/>
    <hyperlink xmlns:r="http://schemas.openxmlformats.org/officeDocument/2006/relationships" ref="A1304" r:id="rId1303"/>
    <hyperlink xmlns:r="http://schemas.openxmlformats.org/officeDocument/2006/relationships" ref="A1305" r:id="rId1304"/>
    <hyperlink xmlns:r="http://schemas.openxmlformats.org/officeDocument/2006/relationships" ref="A1306" r:id="rId1305"/>
    <hyperlink xmlns:r="http://schemas.openxmlformats.org/officeDocument/2006/relationships" ref="A1307" r:id="rId1306"/>
    <hyperlink xmlns:r="http://schemas.openxmlformats.org/officeDocument/2006/relationships" ref="A1308" r:id="rId1307"/>
    <hyperlink xmlns:r="http://schemas.openxmlformats.org/officeDocument/2006/relationships" ref="A1309" r:id="rId1308"/>
    <hyperlink xmlns:r="http://schemas.openxmlformats.org/officeDocument/2006/relationships" ref="A1310" r:id="rId1309"/>
    <hyperlink xmlns:r="http://schemas.openxmlformats.org/officeDocument/2006/relationships" ref="A1311" r:id="rId1310"/>
    <hyperlink xmlns:r="http://schemas.openxmlformats.org/officeDocument/2006/relationships" ref="A1312" r:id="rId1311"/>
    <hyperlink xmlns:r="http://schemas.openxmlformats.org/officeDocument/2006/relationships" ref="A1313" r:id="rId1312"/>
    <hyperlink xmlns:r="http://schemas.openxmlformats.org/officeDocument/2006/relationships" ref="A1314" r:id="rId1313"/>
    <hyperlink xmlns:r="http://schemas.openxmlformats.org/officeDocument/2006/relationships" ref="A1315" r:id="rId1314"/>
    <hyperlink xmlns:r="http://schemas.openxmlformats.org/officeDocument/2006/relationships" ref="A1316" r:id="rId1315"/>
    <hyperlink xmlns:r="http://schemas.openxmlformats.org/officeDocument/2006/relationships" ref="A1317" r:id="rId1316"/>
    <hyperlink xmlns:r="http://schemas.openxmlformats.org/officeDocument/2006/relationships" ref="A1318" r:id="rId1317"/>
    <hyperlink xmlns:r="http://schemas.openxmlformats.org/officeDocument/2006/relationships" ref="A1319" r:id="rId1318"/>
    <hyperlink xmlns:r="http://schemas.openxmlformats.org/officeDocument/2006/relationships" ref="A1320" r:id="rId1319"/>
    <hyperlink xmlns:r="http://schemas.openxmlformats.org/officeDocument/2006/relationships" ref="A1321" r:id="rId1320"/>
    <hyperlink xmlns:r="http://schemas.openxmlformats.org/officeDocument/2006/relationships" ref="A1322" r:id="rId1321"/>
    <hyperlink xmlns:r="http://schemas.openxmlformats.org/officeDocument/2006/relationships" ref="A1323" r:id="rId1322"/>
    <hyperlink xmlns:r="http://schemas.openxmlformats.org/officeDocument/2006/relationships" ref="A1324" r:id="rId1323"/>
    <hyperlink xmlns:r="http://schemas.openxmlformats.org/officeDocument/2006/relationships" ref="A1325" r:id="rId1324"/>
    <hyperlink xmlns:r="http://schemas.openxmlformats.org/officeDocument/2006/relationships" ref="A1326" r:id="rId1325"/>
    <hyperlink xmlns:r="http://schemas.openxmlformats.org/officeDocument/2006/relationships" ref="A1327" r:id="rId1326"/>
    <hyperlink xmlns:r="http://schemas.openxmlformats.org/officeDocument/2006/relationships" ref="A1328" r:id="rId1327"/>
    <hyperlink xmlns:r="http://schemas.openxmlformats.org/officeDocument/2006/relationships" ref="A1329" r:id="rId1328"/>
    <hyperlink xmlns:r="http://schemas.openxmlformats.org/officeDocument/2006/relationships" ref="A1330" r:id="rId1329"/>
    <hyperlink xmlns:r="http://schemas.openxmlformats.org/officeDocument/2006/relationships" ref="A1331" r:id="rId1330"/>
    <hyperlink xmlns:r="http://schemas.openxmlformats.org/officeDocument/2006/relationships" ref="A1332" r:id="rId1331"/>
    <hyperlink xmlns:r="http://schemas.openxmlformats.org/officeDocument/2006/relationships" ref="A1333" r:id="rId1332"/>
    <hyperlink xmlns:r="http://schemas.openxmlformats.org/officeDocument/2006/relationships" ref="A1334" r:id="rId1333"/>
    <hyperlink xmlns:r="http://schemas.openxmlformats.org/officeDocument/2006/relationships" ref="A1335" r:id="rId1334"/>
    <hyperlink xmlns:r="http://schemas.openxmlformats.org/officeDocument/2006/relationships" ref="A1336" r:id="rId1335"/>
    <hyperlink xmlns:r="http://schemas.openxmlformats.org/officeDocument/2006/relationships" ref="A1337" r:id="rId1336"/>
    <hyperlink xmlns:r="http://schemas.openxmlformats.org/officeDocument/2006/relationships" ref="A1338" r:id="rId1337"/>
    <hyperlink xmlns:r="http://schemas.openxmlformats.org/officeDocument/2006/relationships" ref="A1339" r:id="rId1338"/>
    <hyperlink xmlns:r="http://schemas.openxmlformats.org/officeDocument/2006/relationships" ref="A1340" r:id="rId1339"/>
    <hyperlink xmlns:r="http://schemas.openxmlformats.org/officeDocument/2006/relationships" ref="A1341" r:id="rId1340"/>
    <hyperlink xmlns:r="http://schemas.openxmlformats.org/officeDocument/2006/relationships" ref="A1342" r:id="rId1341"/>
    <hyperlink xmlns:r="http://schemas.openxmlformats.org/officeDocument/2006/relationships" ref="A1343" r:id="rId1342"/>
    <hyperlink xmlns:r="http://schemas.openxmlformats.org/officeDocument/2006/relationships" ref="A1344" r:id="rId1343"/>
    <hyperlink xmlns:r="http://schemas.openxmlformats.org/officeDocument/2006/relationships" ref="A1345" r:id="rId1344"/>
    <hyperlink xmlns:r="http://schemas.openxmlformats.org/officeDocument/2006/relationships" ref="A1346" r:id="rId1345"/>
    <hyperlink xmlns:r="http://schemas.openxmlformats.org/officeDocument/2006/relationships" ref="A1347" r:id="rId1346"/>
    <hyperlink xmlns:r="http://schemas.openxmlformats.org/officeDocument/2006/relationships" ref="A1348" r:id="rId1347"/>
    <hyperlink xmlns:r="http://schemas.openxmlformats.org/officeDocument/2006/relationships" ref="A1349" r:id="rId1348"/>
    <hyperlink xmlns:r="http://schemas.openxmlformats.org/officeDocument/2006/relationships" ref="A1350" r:id="rId1349"/>
    <hyperlink xmlns:r="http://schemas.openxmlformats.org/officeDocument/2006/relationships" ref="A1351" r:id="rId1350"/>
    <hyperlink xmlns:r="http://schemas.openxmlformats.org/officeDocument/2006/relationships" ref="A1352" r:id="rId1351"/>
    <hyperlink xmlns:r="http://schemas.openxmlformats.org/officeDocument/2006/relationships" ref="A1353" r:id="rId1352"/>
    <hyperlink xmlns:r="http://schemas.openxmlformats.org/officeDocument/2006/relationships" ref="A1354" r:id="rId1353"/>
    <hyperlink xmlns:r="http://schemas.openxmlformats.org/officeDocument/2006/relationships" ref="A1355" r:id="rId1354"/>
    <hyperlink xmlns:r="http://schemas.openxmlformats.org/officeDocument/2006/relationships" ref="A1356" r:id="rId1355"/>
    <hyperlink xmlns:r="http://schemas.openxmlformats.org/officeDocument/2006/relationships" ref="A1357" r:id="rId1356"/>
    <hyperlink xmlns:r="http://schemas.openxmlformats.org/officeDocument/2006/relationships" ref="A1358" r:id="rId1357"/>
    <hyperlink xmlns:r="http://schemas.openxmlformats.org/officeDocument/2006/relationships" ref="A1359" r:id="rId1358"/>
    <hyperlink xmlns:r="http://schemas.openxmlformats.org/officeDocument/2006/relationships" ref="A1360" r:id="rId1359"/>
    <hyperlink xmlns:r="http://schemas.openxmlformats.org/officeDocument/2006/relationships" ref="A1361" r:id="rId1360"/>
    <hyperlink xmlns:r="http://schemas.openxmlformats.org/officeDocument/2006/relationships" ref="A1362" r:id="rId1361"/>
    <hyperlink xmlns:r="http://schemas.openxmlformats.org/officeDocument/2006/relationships" ref="A1363" r:id="rId1362"/>
    <hyperlink xmlns:r="http://schemas.openxmlformats.org/officeDocument/2006/relationships" ref="A1364" r:id="rId1363"/>
    <hyperlink xmlns:r="http://schemas.openxmlformats.org/officeDocument/2006/relationships" ref="A1365" r:id="rId1364"/>
    <hyperlink xmlns:r="http://schemas.openxmlformats.org/officeDocument/2006/relationships" ref="A1366" r:id="rId1365"/>
    <hyperlink xmlns:r="http://schemas.openxmlformats.org/officeDocument/2006/relationships" ref="A1367" r:id="rId1366"/>
    <hyperlink xmlns:r="http://schemas.openxmlformats.org/officeDocument/2006/relationships" ref="A1368" r:id="rId1367"/>
    <hyperlink xmlns:r="http://schemas.openxmlformats.org/officeDocument/2006/relationships" ref="A1369" r:id="rId1368"/>
    <hyperlink xmlns:r="http://schemas.openxmlformats.org/officeDocument/2006/relationships" ref="A1370" r:id="rId1369"/>
    <hyperlink xmlns:r="http://schemas.openxmlformats.org/officeDocument/2006/relationships" ref="A1371" r:id="rId1370"/>
    <hyperlink xmlns:r="http://schemas.openxmlformats.org/officeDocument/2006/relationships" ref="A1372" r:id="rId1371"/>
    <hyperlink xmlns:r="http://schemas.openxmlformats.org/officeDocument/2006/relationships" ref="A1373" r:id="rId1372"/>
    <hyperlink xmlns:r="http://schemas.openxmlformats.org/officeDocument/2006/relationships" ref="A1374" r:id="rId1373"/>
    <hyperlink xmlns:r="http://schemas.openxmlformats.org/officeDocument/2006/relationships" ref="A1375" r:id="rId1374"/>
    <hyperlink xmlns:r="http://schemas.openxmlformats.org/officeDocument/2006/relationships" ref="A1376" r:id="rId1375"/>
    <hyperlink xmlns:r="http://schemas.openxmlformats.org/officeDocument/2006/relationships" ref="A1377" r:id="rId1376"/>
    <hyperlink xmlns:r="http://schemas.openxmlformats.org/officeDocument/2006/relationships" ref="A1378" r:id="rId1377"/>
    <hyperlink xmlns:r="http://schemas.openxmlformats.org/officeDocument/2006/relationships" ref="A1379" r:id="rId1378"/>
    <hyperlink xmlns:r="http://schemas.openxmlformats.org/officeDocument/2006/relationships" ref="A1380" r:id="rId1379"/>
    <hyperlink xmlns:r="http://schemas.openxmlformats.org/officeDocument/2006/relationships" ref="A1381" r:id="rId1380"/>
    <hyperlink xmlns:r="http://schemas.openxmlformats.org/officeDocument/2006/relationships" ref="A1382" r:id="rId1381"/>
    <hyperlink xmlns:r="http://schemas.openxmlformats.org/officeDocument/2006/relationships" ref="A1383" r:id="rId1382"/>
    <hyperlink xmlns:r="http://schemas.openxmlformats.org/officeDocument/2006/relationships" ref="A1384" r:id="rId1383"/>
    <hyperlink xmlns:r="http://schemas.openxmlformats.org/officeDocument/2006/relationships" ref="A1385" r:id="rId1384"/>
    <hyperlink xmlns:r="http://schemas.openxmlformats.org/officeDocument/2006/relationships" ref="A1386" r:id="rId1385"/>
    <hyperlink xmlns:r="http://schemas.openxmlformats.org/officeDocument/2006/relationships" ref="A1387" r:id="rId1386"/>
    <hyperlink xmlns:r="http://schemas.openxmlformats.org/officeDocument/2006/relationships" ref="A1388" r:id="rId1387"/>
    <hyperlink xmlns:r="http://schemas.openxmlformats.org/officeDocument/2006/relationships" ref="A1389" r:id="rId1388"/>
    <hyperlink xmlns:r="http://schemas.openxmlformats.org/officeDocument/2006/relationships" ref="A1390" r:id="rId1389"/>
    <hyperlink xmlns:r="http://schemas.openxmlformats.org/officeDocument/2006/relationships" ref="A1391" r:id="rId1390"/>
    <hyperlink xmlns:r="http://schemas.openxmlformats.org/officeDocument/2006/relationships" ref="A1392" r:id="rId1391"/>
    <hyperlink xmlns:r="http://schemas.openxmlformats.org/officeDocument/2006/relationships" ref="A1393" r:id="rId1392"/>
    <hyperlink xmlns:r="http://schemas.openxmlformats.org/officeDocument/2006/relationships" ref="A1394" r:id="rId1393"/>
    <hyperlink xmlns:r="http://schemas.openxmlformats.org/officeDocument/2006/relationships" ref="A1395" r:id="rId1394"/>
    <hyperlink xmlns:r="http://schemas.openxmlformats.org/officeDocument/2006/relationships" ref="A1396" r:id="rId1395"/>
    <hyperlink xmlns:r="http://schemas.openxmlformats.org/officeDocument/2006/relationships" ref="A1397" r:id="rId1396"/>
    <hyperlink xmlns:r="http://schemas.openxmlformats.org/officeDocument/2006/relationships" ref="A1398" r:id="rId1397"/>
    <hyperlink xmlns:r="http://schemas.openxmlformats.org/officeDocument/2006/relationships" ref="A1399" r:id="rId1398"/>
    <hyperlink xmlns:r="http://schemas.openxmlformats.org/officeDocument/2006/relationships" ref="A1400" r:id="rId1399"/>
    <hyperlink xmlns:r="http://schemas.openxmlformats.org/officeDocument/2006/relationships" ref="A1401" r:id="rId1400"/>
    <hyperlink xmlns:r="http://schemas.openxmlformats.org/officeDocument/2006/relationships" ref="A1402" r:id="rId1401"/>
    <hyperlink xmlns:r="http://schemas.openxmlformats.org/officeDocument/2006/relationships" ref="A1403" r:id="rId1402"/>
    <hyperlink xmlns:r="http://schemas.openxmlformats.org/officeDocument/2006/relationships" ref="A1404" r:id="rId1403"/>
    <hyperlink xmlns:r="http://schemas.openxmlformats.org/officeDocument/2006/relationships" ref="A1405" r:id="rId1404"/>
    <hyperlink xmlns:r="http://schemas.openxmlformats.org/officeDocument/2006/relationships" ref="A1406" r:id="rId1405"/>
    <hyperlink xmlns:r="http://schemas.openxmlformats.org/officeDocument/2006/relationships" ref="A1407" r:id="rId1406"/>
    <hyperlink xmlns:r="http://schemas.openxmlformats.org/officeDocument/2006/relationships" ref="A1408" r:id="rId1407"/>
    <hyperlink xmlns:r="http://schemas.openxmlformats.org/officeDocument/2006/relationships" ref="A1409" r:id="rId1408"/>
    <hyperlink xmlns:r="http://schemas.openxmlformats.org/officeDocument/2006/relationships" ref="A1410" r:id="rId1409"/>
    <hyperlink xmlns:r="http://schemas.openxmlformats.org/officeDocument/2006/relationships" ref="A1411" r:id="rId1410"/>
    <hyperlink xmlns:r="http://schemas.openxmlformats.org/officeDocument/2006/relationships" ref="A1412" r:id="rId1411"/>
    <hyperlink xmlns:r="http://schemas.openxmlformats.org/officeDocument/2006/relationships" ref="A1413" r:id="rId1412"/>
    <hyperlink xmlns:r="http://schemas.openxmlformats.org/officeDocument/2006/relationships" ref="A1414" r:id="rId1413"/>
    <hyperlink xmlns:r="http://schemas.openxmlformats.org/officeDocument/2006/relationships" ref="A1415" r:id="rId1414"/>
    <hyperlink xmlns:r="http://schemas.openxmlformats.org/officeDocument/2006/relationships" ref="A1416" r:id="rId1415"/>
    <hyperlink xmlns:r="http://schemas.openxmlformats.org/officeDocument/2006/relationships" ref="A1417" r:id="rId1416"/>
    <hyperlink xmlns:r="http://schemas.openxmlformats.org/officeDocument/2006/relationships" ref="A1418" r:id="rId1417"/>
    <hyperlink xmlns:r="http://schemas.openxmlformats.org/officeDocument/2006/relationships" ref="A1419" r:id="rId1418"/>
    <hyperlink xmlns:r="http://schemas.openxmlformats.org/officeDocument/2006/relationships" ref="A1420" r:id="rId1419"/>
    <hyperlink xmlns:r="http://schemas.openxmlformats.org/officeDocument/2006/relationships" ref="A1421" r:id="rId1420"/>
    <hyperlink xmlns:r="http://schemas.openxmlformats.org/officeDocument/2006/relationships" ref="A1422" r:id="rId1421"/>
    <hyperlink xmlns:r="http://schemas.openxmlformats.org/officeDocument/2006/relationships" ref="A1423" r:id="rId1422"/>
    <hyperlink xmlns:r="http://schemas.openxmlformats.org/officeDocument/2006/relationships" ref="A1424" r:id="rId1423"/>
    <hyperlink xmlns:r="http://schemas.openxmlformats.org/officeDocument/2006/relationships" ref="A1425" r:id="rId1424"/>
    <hyperlink xmlns:r="http://schemas.openxmlformats.org/officeDocument/2006/relationships" ref="A1426" r:id="rId1425"/>
    <hyperlink xmlns:r="http://schemas.openxmlformats.org/officeDocument/2006/relationships" ref="A1427" r:id="rId1426"/>
    <hyperlink xmlns:r="http://schemas.openxmlformats.org/officeDocument/2006/relationships" ref="A1428" r:id="rId1427"/>
    <hyperlink xmlns:r="http://schemas.openxmlformats.org/officeDocument/2006/relationships" ref="A1429" r:id="rId1428"/>
    <hyperlink xmlns:r="http://schemas.openxmlformats.org/officeDocument/2006/relationships" ref="A1430" r:id="rId1429"/>
    <hyperlink xmlns:r="http://schemas.openxmlformats.org/officeDocument/2006/relationships" ref="A1431" r:id="rId1430"/>
    <hyperlink xmlns:r="http://schemas.openxmlformats.org/officeDocument/2006/relationships" ref="A1432" r:id="rId1431"/>
    <hyperlink xmlns:r="http://schemas.openxmlformats.org/officeDocument/2006/relationships" ref="A1433" r:id="rId1432"/>
    <hyperlink xmlns:r="http://schemas.openxmlformats.org/officeDocument/2006/relationships" ref="A1434" r:id="rId1433"/>
    <hyperlink xmlns:r="http://schemas.openxmlformats.org/officeDocument/2006/relationships" ref="A1435" r:id="rId1434"/>
    <hyperlink xmlns:r="http://schemas.openxmlformats.org/officeDocument/2006/relationships" ref="A1436" r:id="rId1435"/>
    <hyperlink xmlns:r="http://schemas.openxmlformats.org/officeDocument/2006/relationships" ref="A1437" r:id="rId1436"/>
    <hyperlink xmlns:r="http://schemas.openxmlformats.org/officeDocument/2006/relationships" ref="A1438" r:id="rId1437"/>
    <hyperlink xmlns:r="http://schemas.openxmlformats.org/officeDocument/2006/relationships" ref="A1439" r:id="rId1438"/>
    <hyperlink xmlns:r="http://schemas.openxmlformats.org/officeDocument/2006/relationships" ref="A1440" r:id="rId1439"/>
    <hyperlink xmlns:r="http://schemas.openxmlformats.org/officeDocument/2006/relationships" ref="A1441" r:id="rId1440"/>
    <hyperlink xmlns:r="http://schemas.openxmlformats.org/officeDocument/2006/relationships" ref="A1442" r:id="rId1441"/>
    <hyperlink xmlns:r="http://schemas.openxmlformats.org/officeDocument/2006/relationships" ref="A1443" r:id="rId1442"/>
    <hyperlink xmlns:r="http://schemas.openxmlformats.org/officeDocument/2006/relationships" ref="A1444" r:id="rId1443"/>
    <hyperlink xmlns:r="http://schemas.openxmlformats.org/officeDocument/2006/relationships" ref="A1445" r:id="rId1444"/>
    <hyperlink xmlns:r="http://schemas.openxmlformats.org/officeDocument/2006/relationships" ref="A1446" r:id="rId1445"/>
    <hyperlink xmlns:r="http://schemas.openxmlformats.org/officeDocument/2006/relationships" ref="A1447" r:id="rId1446"/>
    <hyperlink xmlns:r="http://schemas.openxmlformats.org/officeDocument/2006/relationships" ref="A1448" r:id="rId1447"/>
    <hyperlink xmlns:r="http://schemas.openxmlformats.org/officeDocument/2006/relationships" ref="A1449" r:id="rId1448"/>
    <hyperlink xmlns:r="http://schemas.openxmlformats.org/officeDocument/2006/relationships" ref="A1450" r:id="rId1449"/>
    <hyperlink xmlns:r="http://schemas.openxmlformats.org/officeDocument/2006/relationships" ref="A1451" r:id="rId1450"/>
    <hyperlink xmlns:r="http://schemas.openxmlformats.org/officeDocument/2006/relationships" ref="A1452" r:id="rId1451"/>
    <hyperlink xmlns:r="http://schemas.openxmlformats.org/officeDocument/2006/relationships" ref="A1453" r:id="rId1452"/>
    <hyperlink xmlns:r="http://schemas.openxmlformats.org/officeDocument/2006/relationships" ref="A1454" r:id="rId1453"/>
    <hyperlink xmlns:r="http://schemas.openxmlformats.org/officeDocument/2006/relationships" ref="A1455" r:id="rId1454"/>
    <hyperlink xmlns:r="http://schemas.openxmlformats.org/officeDocument/2006/relationships" ref="A1456" r:id="rId1455"/>
    <hyperlink xmlns:r="http://schemas.openxmlformats.org/officeDocument/2006/relationships" ref="A1457" r:id="rId1456"/>
    <hyperlink xmlns:r="http://schemas.openxmlformats.org/officeDocument/2006/relationships" ref="A1458" r:id="rId1457"/>
    <hyperlink xmlns:r="http://schemas.openxmlformats.org/officeDocument/2006/relationships" ref="A1459" r:id="rId1458"/>
    <hyperlink xmlns:r="http://schemas.openxmlformats.org/officeDocument/2006/relationships" ref="A1460" r:id="rId1459"/>
    <hyperlink xmlns:r="http://schemas.openxmlformats.org/officeDocument/2006/relationships" ref="A1461" r:id="rId1460"/>
    <hyperlink xmlns:r="http://schemas.openxmlformats.org/officeDocument/2006/relationships" ref="A1462" r:id="rId1461"/>
    <hyperlink xmlns:r="http://schemas.openxmlformats.org/officeDocument/2006/relationships" ref="A1463" r:id="rId1462"/>
    <hyperlink xmlns:r="http://schemas.openxmlformats.org/officeDocument/2006/relationships" ref="A1464" r:id="rId1463"/>
    <hyperlink xmlns:r="http://schemas.openxmlformats.org/officeDocument/2006/relationships" ref="A1465" r:id="rId1464"/>
    <hyperlink xmlns:r="http://schemas.openxmlformats.org/officeDocument/2006/relationships" ref="A1466" r:id="rId1465"/>
    <hyperlink xmlns:r="http://schemas.openxmlformats.org/officeDocument/2006/relationships" ref="A1467" r:id="rId1466"/>
    <hyperlink xmlns:r="http://schemas.openxmlformats.org/officeDocument/2006/relationships" ref="A1468" r:id="rId1467"/>
    <hyperlink xmlns:r="http://schemas.openxmlformats.org/officeDocument/2006/relationships" ref="A1469" r:id="rId1468"/>
    <hyperlink xmlns:r="http://schemas.openxmlformats.org/officeDocument/2006/relationships" ref="A1470" r:id="rId1469"/>
    <hyperlink xmlns:r="http://schemas.openxmlformats.org/officeDocument/2006/relationships" ref="A1471" r:id="rId1470"/>
    <hyperlink xmlns:r="http://schemas.openxmlformats.org/officeDocument/2006/relationships" ref="A1472" r:id="rId1471"/>
    <hyperlink xmlns:r="http://schemas.openxmlformats.org/officeDocument/2006/relationships" ref="A1473" r:id="rId1472"/>
    <hyperlink xmlns:r="http://schemas.openxmlformats.org/officeDocument/2006/relationships" ref="A1474" r:id="rId1473"/>
    <hyperlink xmlns:r="http://schemas.openxmlformats.org/officeDocument/2006/relationships" ref="A1475" r:id="rId1474"/>
    <hyperlink xmlns:r="http://schemas.openxmlformats.org/officeDocument/2006/relationships" ref="A1476" r:id="rId1475"/>
    <hyperlink xmlns:r="http://schemas.openxmlformats.org/officeDocument/2006/relationships" ref="A1477" r:id="rId1476"/>
    <hyperlink xmlns:r="http://schemas.openxmlformats.org/officeDocument/2006/relationships" ref="A1478" r:id="rId1477"/>
    <hyperlink xmlns:r="http://schemas.openxmlformats.org/officeDocument/2006/relationships" ref="A1479" r:id="rId1478"/>
    <hyperlink xmlns:r="http://schemas.openxmlformats.org/officeDocument/2006/relationships" ref="A1480" r:id="rId1479"/>
    <hyperlink xmlns:r="http://schemas.openxmlformats.org/officeDocument/2006/relationships" ref="A1481" r:id="rId1480"/>
    <hyperlink xmlns:r="http://schemas.openxmlformats.org/officeDocument/2006/relationships" ref="A1482" r:id="rId1481"/>
    <hyperlink xmlns:r="http://schemas.openxmlformats.org/officeDocument/2006/relationships" ref="A1483" r:id="rId1482"/>
    <hyperlink xmlns:r="http://schemas.openxmlformats.org/officeDocument/2006/relationships" ref="A1484" r:id="rId1483"/>
    <hyperlink xmlns:r="http://schemas.openxmlformats.org/officeDocument/2006/relationships" ref="A1485" r:id="rId1484"/>
    <hyperlink xmlns:r="http://schemas.openxmlformats.org/officeDocument/2006/relationships" ref="A1486" r:id="rId1485"/>
    <hyperlink xmlns:r="http://schemas.openxmlformats.org/officeDocument/2006/relationships" ref="A1487" r:id="rId1486"/>
    <hyperlink xmlns:r="http://schemas.openxmlformats.org/officeDocument/2006/relationships" ref="A1488" r:id="rId1487"/>
    <hyperlink xmlns:r="http://schemas.openxmlformats.org/officeDocument/2006/relationships" ref="A1489" r:id="rId1488"/>
    <hyperlink xmlns:r="http://schemas.openxmlformats.org/officeDocument/2006/relationships" ref="A1490" r:id="rId1489"/>
    <hyperlink xmlns:r="http://schemas.openxmlformats.org/officeDocument/2006/relationships" ref="A1491" r:id="rId1490"/>
    <hyperlink xmlns:r="http://schemas.openxmlformats.org/officeDocument/2006/relationships" ref="A1492" r:id="rId1491"/>
    <hyperlink xmlns:r="http://schemas.openxmlformats.org/officeDocument/2006/relationships" ref="A1493" r:id="rId1492"/>
    <hyperlink xmlns:r="http://schemas.openxmlformats.org/officeDocument/2006/relationships" ref="A1494" r:id="rId1493"/>
    <hyperlink xmlns:r="http://schemas.openxmlformats.org/officeDocument/2006/relationships" ref="A1495" r:id="rId1494"/>
    <hyperlink xmlns:r="http://schemas.openxmlformats.org/officeDocument/2006/relationships" ref="A1496" r:id="rId1495"/>
    <hyperlink xmlns:r="http://schemas.openxmlformats.org/officeDocument/2006/relationships" ref="A1497" r:id="rId1496"/>
    <hyperlink xmlns:r="http://schemas.openxmlformats.org/officeDocument/2006/relationships" ref="A1498" r:id="rId1497"/>
    <hyperlink xmlns:r="http://schemas.openxmlformats.org/officeDocument/2006/relationships" ref="A1499" r:id="rId1498"/>
    <hyperlink xmlns:r="http://schemas.openxmlformats.org/officeDocument/2006/relationships" ref="A1500" r:id="rId1499"/>
    <hyperlink xmlns:r="http://schemas.openxmlformats.org/officeDocument/2006/relationships" ref="A1501" r:id="rId1500"/>
    <hyperlink xmlns:r="http://schemas.openxmlformats.org/officeDocument/2006/relationships" ref="A1502" r:id="rId1501"/>
    <hyperlink xmlns:r="http://schemas.openxmlformats.org/officeDocument/2006/relationships" ref="A1503" r:id="rId1502"/>
    <hyperlink xmlns:r="http://schemas.openxmlformats.org/officeDocument/2006/relationships" ref="A1504" r:id="rId1503"/>
    <hyperlink xmlns:r="http://schemas.openxmlformats.org/officeDocument/2006/relationships" ref="A1505" r:id="rId1504"/>
    <hyperlink xmlns:r="http://schemas.openxmlformats.org/officeDocument/2006/relationships" ref="A1506" r:id="rId1505"/>
    <hyperlink xmlns:r="http://schemas.openxmlformats.org/officeDocument/2006/relationships" ref="A1507" r:id="rId1506"/>
    <hyperlink xmlns:r="http://schemas.openxmlformats.org/officeDocument/2006/relationships" ref="A1508" r:id="rId1507"/>
    <hyperlink xmlns:r="http://schemas.openxmlformats.org/officeDocument/2006/relationships" ref="A1509" r:id="rId1508"/>
    <hyperlink xmlns:r="http://schemas.openxmlformats.org/officeDocument/2006/relationships" ref="A1510" r:id="rId1509"/>
    <hyperlink xmlns:r="http://schemas.openxmlformats.org/officeDocument/2006/relationships" ref="A1511" r:id="rId1510"/>
    <hyperlink xmlns:r="http://schemas.openxmlformats.org/officeDocument/2006/relationships" ref="A1512" r:id="rId1511"/>
    <hyperlink xmlns:r="http://schemas.openxmlformats.org/officeDocument/2006/relationships" ref="A1513" r:id="rId1512"/>
    <hyperlink xmlns:r="http://schemas.openxmlformats.org/officeDocument/2006/relationships" ref="A1514" r:id="rId1513"/>
    <hyperlink xmlns:r="http://schemas.openxmlformats.org/officeDocument/2006/relationships" ref="A1515" r:id="rId1514"/>
    <hyperlink xmlns:r="http://schemas.openxmlformats.org/officeDocument/2006/relationships" ref="A1516" r:id="rId1515"/>
    <hyperlink xmlns:r="http://schemas.openxmlformats.org/officeDocument/2006/relationships" ref="A1517" r:id="rId1516"/>
    <hyperlink xmlns:r="http://schemas.openxmlformats.org/officeDocument/2006/relationships" ref="A1518" r:id="rId1517"/>
    <hyperlink xmlns:r="http://schemas.openxmlformats.org/officeDocument/2006/relationships" ref="A1519" r:id="rId1518"/>
    <hyperlink xmlns:r="http://schemas.openxmlformats.org/officeDocument/2006/relationships" ref="A1520" r:id="rId1519"/>
    <hyperlink xmlns:r="http://schemas.openxmlformats.org/officeDocument/2006/relationships" ref="A1521" r:id="rId1520"/>
    <hyperlink xmlns:r="http://schemas.openxmlformats.org/officeDocument/2006/relationships" ref="A1522" r:id="rId1521"/>
    <hyperlink xmlns:r="http://schemas.openxmlformats.org/officeDocument/2006/relationships" ref="A1523" r:id="rId1522"/>
    <hyperlink xmlns:r="http://schemas.openxmlformats.org/officeDocument/2006/relationships" ref="A1524" r:id="rId1523"/>
    <hyperlink xmlns:r="http://schemas.openxmlformats.org/officeDocument/2006/relationships" ref="A1525" r:id="rId1524"/>
    <hyperlink xmlns:r="http://schemas.openxmlformats.org/officeDocument/2006/relationships" ref="A1526" r:id="rId1525"/>
    <hyperlink xmlns:r="http://schemas.openxmlformats.org/officeDocument/2006/relationships" ref="A1527" r:id="rId1526"/>
    <hyperlink xmlns:r="http://schemas.openxmlformats.org/officeDocument/2006/relationships" ref="A1528" r:id="rId1527"/>
    <hyperlink xmlns:r="http://schemas.openxmlformats.org/officeDocument/2006/relationships" ref="A1529" r:id="rId1528"/>
    <hyperlink xmlns:r="http://schemas.openxmlformats.org/officeDocument/2006/relationships" ref="A1530" r:id="rId1529"/>
    <hyperlink xmlns:r="http://schemas.openxmlformats.org/officeDocument/2006/relationships" ref="A1531" r:id="rId1530"/>
    <hyperlink xmlns:r="http://schemas.openxmlformats.org/officeDocument/2006/relationships" ref="A1532" r:id="rId1531"/>
    <hyperlink xmlns:r="http://schemas.openxmlformats.org/officeDocument/2006/relationships" ref="A1533" r:id="rId1532"/>
    <hyperlink xmlns:r="http://schemas.openxmlformats.org/officeDocument/2006/relationships" ref="A1534" r:id="rId1533"/>
    <hyperlink xmlns:r="http://schemas.openxmlformats.org/officeDocument/2006/relationships" ref="A1535" r:id="rId1534"/>
    <hyperlink xmlns:r="http://schemas.openxmlformats.org/officeDocument/2006/relationships" ref="A1536" r:id="rId1535"/>
    <hyperlink xmlns:r="http://schemas.openxmlformats.org/officeDocument/2006/relationships" ref="A1537" r:id="rId1536"/>
    <hyperlink xmlns:r="http://schemas.openxmlformats.org/officeDocument/2006/relationships" ref="A1538" r:id="rId1537"/>
    <hyperlink xmlns:r="http://schemas.openxmlformats.org/officeDocument/2006/relationships" ref="A1539" r:id="rId1538"/>
    <hyperlink xmlns:r="http://schemas.openxmlformats.org/officeDocument/2006/relationships" ref="A1540" r:id="rId1539"/>
    <hyperlink xmlns:r="http://schemas.openxmlformats.org/officeDocument/2006/relationships" ref="A1541" r:id="rId1540"/>
    <hyperlink xmlns:r="http://schemas.openxmlformats.org/officeDocument/2006/relationships" ref="A1542" r:id="rId1541"/>
    <hyperlink xmlns:r="http://schemas.openxmlformats.org/officeDocument/2006/relationships" ref="A1543" r:id="rId1542"/>
    <hyperlink xmlns:r="http://schemas.openxmlformats.org/officeDocument/2006/relationships" ref="A1544" r:id="rId1543"/>
    <hyperlink xmlns:r="http://schemas.openxmlformats.org/officeDocument/2006/relationships" ref="A1545" r:id="rId1544"/>
    <hyperlink xmlns:r="http://schemas.openxmlformats.org/officeDocument/2006/relationships" ref="A1546" r:id="rId1545"/>
    <hyperlink xmlns:r="http://schemas.openxmlformats.org/officeDocument/2006/relationships" ref="A1547" r:id="rId1546"/>
    <hyperlink xmlns:r="http://schemas.openxmlformats.org/officeDocument/2006/relationships" ref="A1548" r:id="rId1547"/>
    <hyperlink xmlns:r="http://schemas.openxmlformats.org/officeDocument/2006/relationships" ref="A1549" r:id="rId1548"/>
    <hyperlink xmlns:r="http://schemas.openxmlformats.org/officeDocument/2006/relationships" ref="A1550" r:id="rId1549"/>
    <hyperlink xmlns:r="http://schemas.openxmlformats.org/officeDocument/2006/relationships" ref="A1551" r:id="rId1550"/>
    <hyperlink xmlns:r="http://schemas.openxmlformats.org/officeDocument/2006/relationships" ref="A1552" r:id="rId1551"/>
    <hyperlink xmlns:r="http://schemas.openxmlformats.org/officeDocument/2006/relationships" ref="A1553" r:id="rId1552"/>
    <hyperlink xmlns:r="http://schemas.openxmlformats.org/officeDocument/2006/relationships" ref="A1554" r:id="rId1553"/>
    <hyperlink xmlns:r="http://schemas.openxmlformats.org/officeDocument/2006/relationships" ref="A1555" r:id="rId1554"/>
    <hyperlink xmlns:r="http://schemas.openxmlformats.org/officeDocument/2006/relationships" ref="A1556" r:id="rId1555"/>
    <hyperlink xmlns:r="http://schemas.openxmlformats.org/officeDocument/2006/relationships" ref="A1557" r:id="rId1556"/>
    <hyperlink xmlns:r="http://schemas.openxmlformats.org/officeDocument/2006/relationships" ref="A1558" r:id="rId1557"/>
    <hyperlink xmlns:r="http://schemas.openxmlformats.org/officeDocument/2006/relationships" ref="A1559" r:id="rId1558"/>
    <hyperlink xmlns:r="http://schemas.openxmlformats.org/officeDocument/2006/relationships" ref="A1560" r:id="rId1559"/>
    <hyperlink xmlns:r="http://schemas.openxmlformats.org/officeDocument/2006/relationships" ref="A1561" r:id="rId1560"/>
    <hyperlink xmlns:r="http://schemas.openxmlformats.org/officeDocument/2006/relationships" ref="A1562" r:id="rId1561"/>
    <hyperlink xmlns:r="http://schemas.openxmlformats.org/officeDocument/2006/relationships" ref="A1563" r:id="rId1562"/>
    <hyperlink xmlns:r="http://schemas.openxmlformats.org/officeDocument/2006/relationships" ref="A1564" r:id="rId1563"/>
    <hyperlink xmlns:r="http://schemas.openxmlformats.org/officeDocument/2006/relationships" ref="A1565" r:id="rId1564"/>
    <hyperlink xmlns:r="http://schemas.openxmlformats.org/officeDocument/2006/relationships" ref="A1566" r:id="rId1565"/>
    <hyperlink xmlns:r="http://schemas.openxmlformats.org/officeDocument/2006/relationships" ref="A1567" r:id="rId1566"/>
    <hyperlink xmlns:r="http://schemas.openxmlformats.org/officeDocument/2006/relationships" ref="A1568" r:id="rId1567"/>
    <hyperlink xmlns:r="http://schemas.openxmlformats.org/officeDocument/2006/relationships" ref="A1569" r:id="rId1568"/>
    <hyperlink xmlns:r="http://schemas.openxmlformats.org/officeDocument/2006/relationships" ref="A1570" r:id="rId1569"/>
    <hyperlink xmlns:r="http://schemas.openxmlformats.org/officeDocument/2006/relationships" ref="A1571" r:id="rId1570"/>
    <hyperlink xmlns:r="http://schemas.openxmlformats.org/officeDocument/2006/relationships" ref="A1572" r:id="rId1571"/>
    <hyperlink xmlns:r="http://schemas.openxmlformats.org/officeDocument/2006/relationships" ref="A1573" r:id="rId1572"/>
    <hyperlink xmlns:r="http://schemas.openxmlformats.org/officeDocument/2006/relationships" ref="A1574" r:id="rId1573"/>
    <hyperlink xmlns:r="http://schemas.openxmlformats.org/officeDocument/2006/relationships" ref="A1575" r:id="rId1574"/>
    <hyperlink xmlns:r="http://schemas.openxmlformats.org/officeDocument/2006/relationships" ref="A1576" r:id="rId1575"/>
    <hyperlink xmlns:r="http://schemas.openxmlformats.org/officeDocument/2006/relationships" ref="A1577" r:id="rId1576"/>
    <hyperlink xmlns:r="http://schemas.openxmlformats.org/officeDocument/2006/relationships" ref="A1578" r:id="rId1577"/>
    <hyperlink xmlns:r="http://schemas.openxmlformats.org/officeDocument/2006/relationships" ref="A1579" r:id="rId1578"/>
    <hyperlink xmlns:r="http://schemas.openxmlformats.org/officeDocument/2006/relationships" ref="A1580" r:id="rId1579"/>
    <hyperlink xmlns:r="http://schemas.openxmlformats.org/officeDocument/2006/relationships" ref="A1581" r:id="rId1580"/>
    <hyperlink xmlns:r="http://schemas.openxmlformats.org/officeDocument/2006/relationships" ref="A1582" r:id="rId1581"/>
    <hyperlink xmlns:r="http://schemas.openxmlformats.org/officeDocument/2006/relationships" ref="A1583" r:id="rId1582"/>
    <hyperlink xmlns:r="http://schemas.openxmlformats.org/officeDocument/2006/relationships" ref="A1584" r:id="rId1583"/>
    <hyperlink xmlns:r="http://schemas.openxmlformats.org/officeDocument/2006/relationships" ref="A1585" r:id="rId1584"/>
    <hyperlink xmlns:r="http://schemas.openxmlformats.org/officeDocument/2006/relationships" ref="A1586" r:id="rId1585"/>
    <hyperlink xmlns:r="http://schemas.openxmlformats.org/officeDocument/2006/relationships" ref="A1587" r:id="rId1586"/>
    <hyperlink xmlns:r="http://schemas.openxmlformats.org/officeDocument/2006/relationships" ref="A1588" r:id="rId1587"/>
    <hyperlink xmlns:r="http://schemas.openxmlformats.org/officeDocument/2006/relationships" ref="A1589" r:id="rId1588"/>
    <hyperlink xmlns:r="http://schemas.openxmlformats.org/officeDocument/2006/relationships" ref="A1590" r:id="rId1589"/>
    <hyperlink xmlns:r="http://schemas.openxmlformats.org/officeDocument/2006/relationships" ref="A1591" r:id="rId1590"/>
    <hyperlink xmlns:r="http://schemas.openxmlformats.org/officeDocument/2006/relationships" ref="A1592" r:id="rId1591"/>
    <hyperlink xmlns:r="http://schemas.openxmlformats.org/officeDocument/2006/relationships" ref="A1593" r:id="rId1592"/>
    <hyperlink xmlns:r="http://schemas.openxmlformats.org/officeDocument/2006/relationships" ref="A1594" r:id="rId1593"/>
    <hyperlink xmlns:r="http://schemas.openxmlformats.org/officeDocument/2006/relationships" ref="A1595" r:id="rId1594"/>
    <hyperlink xmlns:r="http://schemas.openxmlformats.org/officeDocument/2006/relationships" ref="A1596" r:id="rId1595"/>
    <hyperlink xmlns:r="http://schemas.openxmlformats.org/officeDocument/2006/relationships" ref="A1597" r:id="rId1596"/>
    <hyperlink xmlns:r="http://schemas.openxmlformats.org/officeDocument/2006/relationships" ref="A1598" r:id="rId1597"/>
    <hyperlink xmlns:r="http://schemas.openxmlformats.org/officeDocument/2006/relationships" ref="A1599" r:id="rId1598"/>
    <hyperlink xmlns:r="http://schemas.openxmlformats.org/officeDocument/2006/relationships" ref="A1600" r:id="rId1599"/>
    <hyperlink xmlns:r="http://schemas.openxmlformats.org/officeDocument/2006/relationships" ref="A1601" r:id="rId1600"/>
    <hyperlink xmlns:r="http://schemas.openxmlformats.org/officeDocument/2006/relationships" ref="A1602" r:id="rId1601"/>
    <hyperlink xmlns:r="http://schemas.openxmlformats.org/officeDocument/2006/relationships" ref="A1603" r:id="rId1602"/>
    <hyperlink xmlns:r="http://schemas.openxmlformats.org/officeDocument/2006/relationships" ref="A1604" r:id="rId1603"/>
    <hyperlink xmlns:r="http://schemas.openxmlformats.org/officeDocument/2006/relationships" ref="A1605" r:id="rId1604"/>
    <hyperlink xmlns:r="http://schemas.openxmlformats.org/officeDocument/2006/relationships" ref="A1606" r:id="rId1605"/>
    <hyperlink xmlns:r="http://schemas.openxmlformats.org/officeDocument/2006/relationships" ref="A1607" r:id="rId1606"/>
    <hyperlink xmlns:r="http://schemas.openxmlformats.org/officeDocument/2006/relationships" ref="A1608" r:id="rId1607"/>
    <hyperlink xmlns:r="http://schemas.openxmlformats.org/officeDocument/2006/relationships" ref="A1609" r:id="rId1608"/>
    <hyperlink xmlns:r="http://schemas.openxmlformats.org/officeDocument/2006/relationships" ref="A1610" r:id="rId1609"/>
    <hyperlink xmlns:r="http://schemas.openxmlformats.org/officeDocument/2006/relationships" ref="A1611" r:id="rId1610"/>
    <hyperlink xmlns:r="http://schemas.openxmlformats.org/officeDocument/2006/relationships" ref="A1612" r:id="rId1611"/>
    <hyperlink xmlns:r="http://schemas.openxmlformats.org/officeDocument/2006/relationships" ref="A1613" r:id="rId1612"/>
    <hyperlink xmlns:r="http://schemas.openxmlformats.org/officeDocument/2006/relationships" ref="A1614" r:id="rId1613"/>
    <hyperlink xmlns:r="http://schemas.openxmlformats.org/officeDocument/2006/relationships" ref="A1615" r:id="rId1614"/>
    <hyperlink xmlns:r="http://schemas.openxmlformats.org/officeDocument/2006/relationships" ref="A1616" r:id="rId1615"/>
    <hyperlink xmlns:r="http://schemas.openxmlformats.org/officeDocument/2006/relationships" ref="A1617" r:id="rId1616"/>
    <hyperlink xmlns:r="http://schemas.openxmlformats.org/officeDocument/2006/relationships" ref="A1618" r:id="rId1617"/>
    <hyperlink xmlns:r="http://schemas.openxmlformats.org/officeDocument/2006/relationships" ref="A1619" r:id="rId1618"/>
    <hyperlink xmlns:r="http://schemas.openxmlformats.org/officeDocument/2006/relationships" ref="A1620" r:id="rId1619"/>
    <hyperlink xmlns:r="http://schemas.openxmlformats.org/officeDocument/2006/relationships" ref="A1621" r:id="rId1620"/>
    <hyperlink xmlns:r="http://schemas.openxmlformats.org/officeDocument/2006/relationships" ref="A1622" r:id="rId1621"/>
    <hyperlink xmlns:r="http://schemas.openxmlformats.org/officeDocument/2006/relationships" ref="A1623" r:id="rId1622"/>
    <hyperlink xmlns:r="http://schemas.openxmlformats.org/officeDocument/2006/relationships" ref="A1624" r:id="rId1623"/>
    <hyperlink xmlns:r="http://schemas.openxmlformats.org/officeDocument/2006/relationships" ref="A1625" r:id="rId1624"/>
    <hyperlink xmlns:r="http://schemas.openxmlformats.org/officeDocument/2006/relationships" ref="A1626" r:id="rId1625"/>
    <hyperlink xmlns:r="http://schemas.openxmlformats.org/officeDocument/2006/relationships" ref="A1627" r:id="rId1626"/>
    <hyperlink xmlns:r="http://schemas.openxmlformats.org/officeDocument/2006/relationships" ref="A1628" r:id="rId1627"/>
    <hyperlink xmlns:r="http://schemas.openxmlformats.org/officeDocument/2006/relationships" ref="A1629" r:id="rId1628"/>
    <hyperlink xmlns:r="http://schemas.openxmlformats.org/officeDocument/2006/relationships" ref="A1630" r:id="rId1629"/>
    <hyperlink xmlns:r="http://schemas.openxmlformats.org/officeDocument/2006/relationships" ref="A1631" r:id="rId1630"/>
    <hyperlink xmlns:r="http://schemas.openxmlformats.org/officeDocument/2006/relationships" ref="A1632" r:id="rId1631"/>
    <hyperlink xmlns:r="http://schemas.openxmlformats.org/officeDocument/2006/relationships" ref="A1633" r:id="rId1632"/>
    <hyperlink xmlns:r="http://schemas.openxmlformats.org/officeDocument/2006/relationships" ref="A1634" r:id="rId1633"/>
    <hyperlink xmlns:r="http://schemas.openxmlformats.org/officeDocument/2006/relationships" ref="A1635" r:id="rId1634"/>
    <hyperlink xmlns:r="http://schemas.openxmlformats.org/officeDocument/2006/relationships" ref="A1636" r:id="rId1635"/>
    <hyperlink xmlns:r="http://schemas.openxmlformats.org/officeDocument/2006/relationships" ref="A1637" r:id="rId1636"/>
    <hyperlink xmlns:r="http://schemas.openxmlformats.org/officeDocument/2006/relationships" ref="A1638" r:id="rId1637"/>
    <hyperlink xmlns:r="http://schemas.openxmlformats.org/officeDocument/2006/relationships" ref="A1639" r:id="rId1638"/>
    <hyperlink xmlns:r="http://schemas.openxmlformats.org/officeDocument/2006/relationships" ref="A1640" r:id="rId1639"/>
    <hyperlink xmlns:r="http://schemas.openxmlformats.org/officeDocument/2006/relationships" ref="A1641" r:id="rId1640"/>
    <hyperlink xmlns:r="http://schemas.openxmlformats.org/officeDocument/2006/relationships" ref="A1642" r:id="rId1641"/>
    <hyperlink xmlns:r="http://schemas.openxmlformats.org/officeDocument/2006/relationships" ref="A1643" r:id="rId1642"/>
    <hyperlink xmlns:r="http://schemas.openxmlformats.org/officeDocument/2006/relationships" ref="A1644" r:id="rId1643"/>
    <hyperlink xmlns:r="http://schemas.openxmlformats.org/officeDocument/2006/relationships" ref="A1645" r:id="rId1644"/>
    <hyperlink xmlns:r="http://schemas.openxmlformats.org/officeDocument/2006/relationships" ref="A1646" r:id="rId1645"/>
    <hyperlink xmlns:r="http://schemas.openxmlformats.org/officeDocument/2006/relationships" ref="A1647" r:id="rId1646"/>
    <hyperlink xmlns:r="http://schemas.openxmlformats.org/officeDocument/2006/relationships" ref="A1648" r:id="rId1647"/>
    <hyperlink xmlns:r="http://schemas.openxmlformats.org/officeDocument/2006/relationships" ref="A1649" r:id="rId1648"/>
    <hyperlink xmlns:r="http://schemas.openxmlformats.org/officeDocument/2006/relationships" ref="A1650" r:id="rId1649"/>
    <hyperlink xmlns:r="http://schemas.openxmlformats.org/officeDocument/2006/relationships" ref="A1651" r:id="rId1650"/>
    <hyperlink xmlns:r="http://schemas.openxmlformats.org/officeDocument/2006/relationships" ref="A1652" r:id="rId1651"/>
    <hyperlink xmlns:r="http://schemas.openxmlformats.org/officeDocument/2006/relationships" ref="A1653" r:id="rId1652"/>
    <hyperlink xmlns:r="http://schemas.openxmlformats.org/officeDocument/2006/relationships" ref="A1654" r:id="rId1653"/>
    <hyperlink xmlns:r="http://schemas.openxmlformats.org/officeDocument/2006/relationships" ref="A1655" r:id="rId1654"/>
    <hyperlink xmlns:r="http://schemas.openxmlformats.org/officeDocument/2006/relationships" ref="A1656" r:id="rId1655"/>
    <hyperlink xmlns:r="http://schemas.openxmlformats.org/officeDocument/2006/relationships" ref="A1657" r:id="rId1656"/>
    <hyperlink xmlns:r="http://schemas.openxmlformats.org/officeDocument/2006/relationships" ref="A1658" r:id="rId1657"/>
    <hyperlink xmlns:r="http://schemas.openxmlformats.org/officeDocument/2006/relationships" ref="A1659" r:id="rId1658"/>
    <hyperlink xmlns:r="http://schemas.openxmlformats.org/officeDocument/2006/relationships" ref="A1660" r:id="rId1659"/>
    <hyperlink xmlns:r="http://schemas.openxmlformats.org/officeDocument/2006/relationships" ref="A1661" r:id="rId1660"/>
    <hyperlink xmlns:r="http://schemas.openxmlformats.org/officeDocument/2006/relationships" ref="A1662" r:id="rId1661"/>
    <hyperlink xmlns:r="http://schemas.openxmlformats.org/officeDocument/2006/relationships" ref="A1663" r:id="rId1662"/>
    <hyperlink xmlns:r="http://schemas.openxmlformats.org/officeDocument/2006/relationships" ref="A1664" r:id="rId1663"/>
    <hyperlink xmlns:r="http://schemas.openxmlformats.org/officeDocument/2006/relationships" ref="A1665" r:id="rId1664"/>
    <hyperlink xmlns:r="http://schemas.openxmlformats.org/officeDocument/2006/relationships" ref="A1666" r:id="rId1665"/>
    <hyperlink xmlns:r="http://schemas.openxmlformats.org/officeDocument/2006/relationships" ref="A1667" r:id="rId1666"/>
    <hyperlink xmlns:r="http://schemas.openxmlformats.org/officeDocument/2006/relationships" ref="A1668" r:id="rId1667"/>
    <hyperlink xmlns:r="http://schemas.openxmlformats.org/officeDocument/2006/relationships" ref="A1669" r:id="rId1668"/>
    <hyperlink xmlns:r="http://schemas.openxmlformats.org/officeDocument/2006/relationships" ref="A1670" r:id="rId1669"/>
    <hyperlink xmlns:r="http://schemas.openxmlformats.org/officeDocument/2006/relationships" ref="A1671" r:id="rId1670"/>
    <hyperlink xmlns:r="http://schemas.openxmlformats.org/officeDocument/2006/relationships" ref="A1672" r:id="rId1671"/>
    <hyperlink xmlns:r="http://schemas.openxmlformats.org/officeDocument/2006/relationships" ref="A1673" r:id="rId1672"/>
    <hyperlink xmlns:r="http://schemas.openxmlformats.org/officeDocument/2006/relationships" ref="A1674" r:id="rId1673"/>
    <hyperlink xmlns:r="http://schemas.openxmlformats.org/officeDocument/2006/relationships" ref="A1675" r:id="rId1674"/>
    <hyperlink xmlns:r="http://schemas.openxmlformats.org/officeDocument/2006/relationships" ref="A1676" r:id="rId1675"/>
    <hyperlink xmlns:r="http://schemas.openxmlformats.org/officeDocument/2006/relationships" ref="A1677" r:id="rId1676"/>
    <hyperlink xmlns:r="http://schemas.openxmlformats.org/officeDocument/2006/relationships" ref="A1678" r:id="rId1677"/>
    <hyperlink xmlns:r="http://schemas.openxmlformats.org/officeDocument/2006/relationships" ref="A1679" r:id="rId1678"/>
    <hyperlink xmlns:r="http://schemas.openxmlformats.org/officeDocument/2006/relationships" ref="A1680" r:id="rId1679"/>
    <hyperlink xmlns:r="http://schemas.openxmlformats.org/officeDocument/2006/relationships" ref="A1681" r:id="rId1680"/>
    <hyperlink xmlns:r="http://schemas.openxmlformats.org/officeDocument/2006/relationships" ref="A1682" r:id="rId1681"/>
    <hyperlink xmlns:r="http://schemas.openxmlformats.org/officeDocument/2006/relationships" ref="A1683" r:id="rId1682"/>
    <hyperlink xmlns:r="http://schemas.openxmlformats.org/officeDocument/2006/relationships" ref="A1684" r:id="rId1683"/>
    <hyperlink xmlns:r="http://schemas.openxmlformats.org/officeDocument/2006/relationships" ref="A1685" r:id="rId1684"/>
    <hyperlink xmlns:r="http://schemas.openxmlformats.org/officeDocument/2006/relationships" ref="A1686" r:id="rId1685"/>
    <hyperlink xmlns:r="http://schemas.openxmlformats.org/officeDocument/2006/relationships" ref="A1687" r:id="rId1686"/>
    <hyperlink xmlns:r="http://schemas.openxmlformats.org/officeDocument/2006/relationships" ref="A1688" r:id="rId1687"/>
    <hyperlink xmlns:r="http://schemas.openxmlformats.org/officeDocument/2006/relationships" ref="A1689" r:id="rId1688"/>
    <hyperlink xmlns:r="http://schemas.openxmlformats.org/officeDocument/2006/relationships" ref="A1690" r:id="rId1689"/>
    <hyperlink xmlns:r="http://schemas.openxmlformats.org/officeDocument/2006/relationships" ref="A1691" r:id="rId1690"/>
    <hyperlink xmlns:r="http://schemas.openxmlformats.org/officeDocument/2006/relationships" ref="A1692" r:id="rId1691"/>
    <hyperlink xmlns:r="http://schemas.openxmlformats.org/officeDocument/2006/relationships" ref="A1693" r:id="rId1692"/>
    <hyperlink xmlns:r="http://schemas.openxmlformats.org/officeDocument/2006/relationships" ref="A1694" r:id="rId1693"/>
    <hyperlink xmlns:r="http://schemas.openxmlformats.org/officeDocument/2006/relationships" ref="A1695" r:id="rId1694"/>
    <hyperlink xmlns:r="http://schemas.openxmlformats.org/officeDocument/2006/relationships" ref="A1696" r:id="rId1695"/>
    <hyperlink xmlns:r="http://schemas.openxmlformats.org/officeDocument/2006/relationships" ref="A1697" r:id="rId1696"/>
    <hyperlink xmlns:r="http://schemas.openxmlformats.org/officeDocument/2006/relationships" ref="A1698" r:id="rId1697"/>
    <hyperlink xmlns:r="http://schemas.openxmlformats.org/officeDocument/2006/relationships" ref="A1699" r:id="rId1698"/>
    <hyperlink xmlns:r="http://schemas.openxmlformats.org/officeDocument/2006/relationships" ref="A1700" r:id="rId1699"/>
    <hyperlink xmlns:r="http://schemas.openxmlformats.org/officeDocument/2006/relationships" ref="A1701" r:id="rId1700"/>
    <hyperlink xmlns:r="http://schemas.openxmlformats.org/officeDocument/2006/relationships" ref="A1702" r:id="rId1701"/>
    <hyperlink xmlns:r="http://schemas.openxmlformats.org/officeDocument/2006/relationships" ref="A1703" r:id="rId1702"/>
    <hyperlink xmlns:r="http://schemas.openxmlformats.org/officeDocument/2006/relationships" ref="A1704" r:id="rId1703"/>
    <hyperlink xmlns:r="http://schemas.openxmlformats.org/officeDocument/2006/relationships" ref="A1705" r:id="rId1704"/>
    <hyperlink xmlns:r="http://schemas.openxmlformats.org/officeDocument/2006/relationships" ref="A1706" r:id="rId1705"/>
    <hyperlink xmlns:r="http://schemas.openxmlformats.org/officeDocument/2006/relationships" ref="A1707" r:id="rId1706"/>
    <hyperlink xmlns:r="http://schemas.openxmlformats.org/officeDocument/2006/relationships" ref="A1708" r:id="rId1707"/>
    <hyperlink xmlns:r="http://schemas.openxmlformats.org/officeDocument/2006/relationships" ref="A1709" r:id="rId1708"/>
    <hyperlink xmlns:r="http://schemas.openxmlformats.org/officeDocument/2006/relationships" ref="A1710" r:id="rId1709"/>
    <hyperlink xmlns:r="http://schemas.openxmlformats.org/officeDocument/2006/relationships" ref="A1711" r:id="rId1710"/>
    <hyperlink xmlns:r="http://schemas.openxmlformats.org/officeDocument/2006/relationships" ref="A1712" r:id="rId1711"/>
    <hyperlink xmlns:r="http://schemas.openxmlformats.org/officeDocument/2006/relationships" ref="A1713" r:id="rId1712"/>
    <hyperlink xmlns:r="http://schemas.openxmlformats.org/officeDocument/2006/relationships" ref="A1714" r:id="rId1713"/>
    <hyperlink xmlns:r="http://schemas.openxmlformats.org/officeDocument/2006/relationships" ref="A1715" r:id="rId1714"/>
    <hyperlink xmlns:r="http://schemas.openxmlformats.org/officeDocument/2006/relationships" ref="A1716" r:id="rId1715"/>
    <hyperlink xmlns:r="http://schemas.openxmlformats.org/officeDocument/2006/relationships" ref="A1717" r:id="rId1716"/>
    <hyperlink xmlns:r="http://schemas.openxmlformats.org/officeDocument/2006/relationships" ref="A1718" r:id="rId1717"/>
    <hyperlink xmlns:r="http://schemas.openxmlformats.org/officeDocument/2006/relationships" ref="A1719" r:id="rId1718"/>
    <hyperlink xmlns:r="http://schemas.openxmlformats.org/officeDocument/2006/relationships" ref="A1720" r:id="rId1719"/>
    <hyperlink xmlns:r="http://schemas.openxmlformats.org/officeDocument/2006/relationships" ref="A1721" r:id="rId1720"/>
    <hyperlink xmlns:r="http://schemas.openxmlformats.org/officeDocument/2006/relationships" ref="A1722" r:id="rId1721"/>
    <hyperlink xmlns:r="http://schemas.openxmlformats.org/officeDocument/2006/relationships" ref="A1723" r:id="rId1722"/>
    <hyperlink xmlns:r="http://schemas.openxmlformats.org/officeDocument/2006/relationships" ref="A1724" r:id="rId1723"/>
    <hyperlink xmlns:r="http://schemas.openxmlformats.org/officeDocument/2006/relationships" ref="A1725" r:id="rId1724"/>
    <hyperlink xmlns:r="http://schemas.openxmlformats.org/officeDocument/2006/relationships" ref="A1726" r:id="rId1725"/>
    <hyperlink xmlns:r="http://schemas.openxmlformats.org/officeDocument/2006/relationships" ref="A1727" r:id="rId1726"/>
    <hyperlink xmlns:r="http://schemas.openxmlformats.org/officeDocument/2006/relationships" ref="A1728" r:id="rId1727"/>
    <hyperlink xmlns:r="http://schemas.openxmlformats.org/officeDocument/2006/relationships" ref="A1729" r:id="rId1728"/>
    <hyperlink xmlns:r="http://schemas.openxmlformats.org/officeDocument/2006/relationships" ref="A1730" r:id="rId1729"/>
    <hyperlink xmlns:r="http://schemas.openxmlformats.org/officeDocument/2006/relationships" ref="A1731" r:id="rId1730"/>
    <hyperlink xmlns:r="http://schemas.openxmlformats.org/officeDocument/2006/relationships" ref="A1732" r:id="rId1731"/>
    <hyperlink xmlns:r="http://schemas.openxmlformats.org/officeDocument/2006/relationships" ref="A1733" r:id="rId1732"/>
    <hyperlink xmlns:r="http://schemas.openxmlformats.org/officeDocument/2006/relationships" ref="A1734" r:id="rId1733"/>
    <hyperlink xmlns:r="http://schemas.openxmlformats.org/officeDocument/2006/relationships" ref="A1735" r:id="rId1734"/>
    <hyperlink xmlns:r="http://schemas.openxmlformats.org/officeDocument/2006/relationships" ref="A1736" r:id="rId1735"/>
    <hyperlink xmlns:r="http://schemas.openxmlformats.org/officeDocument/2006/relationships" ref="A1737" r:id="rId1736"/>
    <hyperlink xmlns:r="http://schemas.openxmlformats.org/officeDocument/2006/relationships" ref="A1738" r:id="rId1737"/>
    <hyperlink xmlns:r="http://schemas.openxmlformats.org/officeDocument/2006/relationships" ref="A1739" r:id="rId1738"/>
    <hyperlink xmlns:r="http://schemas.openxmlformats.org/officeDocument/2006/relationships" ref="A1740" r:id="rId1739"/>
    <hyperlink xmlns:r="http://schemas.openxmlformats.org/officeDocument/2006/relationships" ref="A1741" r:id="rId1740"/>
    <hyperlink xmlns:r="http://schemas.openxmlformats.org/officeDocument/2006/relationships" ref="A1742" r:id="rId1741"/>
    <hyperlink xmlns:r="http://schemas.openxmlformats.org/officeDocument/2006/relationships" ref="A1743" r:id="rId1742"/>
    <hyperlink xmlns:r="http://schemas.openxmlformats.org/officeDocument/2006/relationships" ref="A1744" r:id="rId1743"/>
    <hyperlink xmlns:r="http://schemas.openxmlformats.org/officeDocument/2006/relationships" ref="A1745" r:id="rId1744"/>
    <hyperlink xmlns:r="http://schemas.openxmlformats.org/officeDocument/2006/relationships" ref="A1746" r:id="rId1745"/>
    <hyperlink xmlns:r="http://schemas.openxmlformats.org/officeDocument/2006/relationships" ref="A1747" r:id="rId1746"/>
    <hyperlink xmlns:r="http://schemas.openxmlformats.org/officeDocument/2006/relationships" ref="A1748" r:id="rId1747"/>
    <hyperlink xmlns:r="http://schemas.openxmlformats.org/officeDocument/2006/relationships" ref="A1749" r:id="rId1748"/>
    <hyperlink xmlns:r="http://schemas.openxmlformats.org/officeDocument/2006/relationships" ref="A1750" r:id="rId1749"/>
    <hyperlink xmlns:r="http://schemas.openxmlformats.org/officeDocument/2006/relationships" ref="A1751" r:id="rId1750"/>
    <hyperlink xmlns:r="http://schemas.openxmlformats.org/officeDocument/2006/relationships" ref="A1752" r:id="rId1751"/>
    <hyperlink xmlns:r="http://schemas.openxmlformats.org/officeDocument/2006/relationships" ref="A1753" r:id="rId1752"/>
    <hyperlink xmlns:r="http://schemas.openxmlformats.org/officeDocument/2006/relationships" ref="A1754" r:id="rId1753"/>
    <hyperlink xmlns:r="http://schemas.openxmlformats.org/officeDocument/2006/relationships" ref="A1755" r:id="rId1754"/>
    <hyperlink xmlns:r="http://schemas.openxmlformats.org/officeDocument/2006/relationships" ref="A1756" r:id="rId1755"/>
    <hyperlink xmlns:r="http://schemas.openxmlformats.org/officeDocument/2006/relationships" ref="A1757" r:id="rId1756"/>
    <hyperlink xmlns:r="http://schemas.openxmlformats.org/officeDocument/2006/relationships" ref="A1758" r:id="rId1757"/>
    <hyperlink xmlns:r="http://schemas.openxmlformats.org/officeDocument/2006/relationships" ref="A1759" r:id="rId1758"/>
    <hyperlink xmlns:r="http://schemas.openxmlformats.org/officeDocument/2006/relationships" ref="A1760" r:id="rId1759"/>
    <hyperlink xmlns:r="http://schemas.openxmlformats.org/officeDocument/2006/relationships" ref="A1761" r:id="rId1760"/>
    <hyperlink xmlns:r="http://schemas.openxmlformats.org/officeDocument/2006/relationships" ref="A1762" r:id="rId1761"/>
    <hyperlink xmlns:r="http://schemas.openxmlformats.org/officeDocument/2006/relationships" ref="A1763" r:id="rId1762"/>
    <hyperlink xmlns:r="http://schemas.openxmlformats.org/officeDocument/2006/relationships" ref="A1764" r:id="rId1763"/>
    <hyperlink xmlns:r="http://schemas.openxmlformats.org/officeDocument/2006/relationships" ref="A1765" r:id="rId1764"/>
    <hyperlink xmlns:r="http://schemas.openxmlformats.org/officeDocument/2006/relationships" ref="A1766" r:id="rId1765"/>
    <hyperlink xmlns:r="http://schemas.openxmlformats.org/officeDocument/2006/relationships" ref="A1767" r:id="rId1766"/>
    <hyperlink xmlns:r="http://schemas.openxmlformats.org/officeDocument/2006/relationships" ref="A1768" r:id="rId1767"/>
    <hyperlink xmlns:r="http://schemas.openxmlformats.org/officeDocument/2006/relationships" ref="A1769" r:id="rId1768"/>
    <hyperlink xmlns:r="http://schemas.openxmlformats.org/officeDocument/2006/relationships" ref="A1770" r:id="rId1769"/>
    <hyperlink xmlns:r="http://schemas.openxmlformats.org/officeDocument/2006/relationships" ref="A1771" r:id="rId1770"/>
    <hyperlink xmlns:r="http://schemas.openxmlformats.org/officeDocument/2006/relationships" ref="A1772" r:id="rId1771"/>
    <hyperlink xmlns:r="http://schemas.openxmlformats.org/officeDocument/2006/relationships" ref="A1773" r:id="rId1772"/>
    <hyperlink xmlns:r="http://schemas.openxmlformats.org/officeDocument/2006/relationships" ref="A1774" r:id="rId1773"/>
    <hyperlink xmlns:r="http://schemas.openxmlformats.org/officeDocument/2006/relationships" ref="A1775" r:id="rId1774"/>
    <hyperlink xmlns:r="http://schemas.openxmlformats.org/officeDocument/2006/relationships" ref="A1776" r:id="rId1775"/>
    <hyperlink xmlns:r="http://schemas.openxmlformats.org/officeDocument/2006/relationships" ref="A1777" r:id="rId1776"/>
    <hyperlink xmlns:r="http://schemas.openxmlformats.org/officeDocument/2006/relationships" ref="A1778" r:id="rId1777"/>
    <hyperlink xmlns:r="http://schemas.openxmlformats.org/officeDocument/2006/relationships" ref="A1779" r:id="rId1778"/>
    <hyperlink xmlns:r="http://schemas.openxmlformats.org/officeDocument/2006/relationships" ref="A1780" r:id="rId1779"/>
    <hyperlink xmlns:r="http://schemas.openxmlformats.org/officeDocument/2006/relationships" ref="A1781" r:id="rId1780"/>
    <hyperlink xmlns:r="http://schemas.openxmlformats.org/officeDocument/2006/relationships" ref="A1782" r:id="rId1781"/>
    <hyperlink xmlns:r="http://schemas.openxmlformats.org/officeDocument/2006/relationships" ref="A1783" r:id="rId1782"/>
    <hyperlink xmlns:r="http://schemas.openxmlformats.org/officeDocument/2006/relationships" ref="A1784" r:id="rId1783"/>
    <hyperlink xmlns:r="http://schemas.openxmlformats.org/officeDocument/2006/relationships" ref="A1785" r:id="rId1784"/>
    <hyperlink xmlns:r="http://schemas.openxmlformats.org/officeDocument/2006/relationships" ref="A1786" r:id="rId1785"/>
    <hyperlink xmlns:r="http://schemas.openxmlformats.org/officeDocument/2006/relationships" ref="A1787" r:id="rId1786"/>
    <hyperlink xmlns:r="http://schemas.openxmlformats.org/officeDocument/2006/relationships" ref="A1788" r:id="rId1787"/>
    <hyperlink xmlns:r="http://schemas.openxmlformats.org/officeDocument/2006/relationships" ref="A1789" r:id="rId1788"/>
    <hyperlink xmlns:r="http://schemas.openxmlformats.org/officeDocument/2006/relationships" ref="A1790" r:id="rId1789"/>
    <hyperlink xmlns:r="http://schemas.openxmlformats.org/officeDocument/2006/relationships" ref="A1791" r:id="rId1790"/>
    <hyperlink xmlns:r="http://schemas.openxmlformats.org/officeDocument/2006/relationships" ref="A1792" r:id="rId1791"/>
    <hyperlink xmlns:r="http://schemas.openxmlformats.org/officeDocument/2006/relationships" ref="A1793" r:id="rId1792"/>
    <hyperlink xmlns:r="http://schemas.openxmlformats.org/officeDocument/2006/relationships" ref="A1794" r:id="rId1793"/>
    <hyperlink xmlns:r="http://schemas.openxmlformats.org/officeDocument/2006/relationships" ref="A1795" r:id="rId1794"/>
    <hyperlink xmlns:r="http://schemas.openxmlformats.org/officeDocument/2006/relationships" ref="A1796" r:id="rId1795"/>
    <hyperlink xmlns:r="http://schemas.openxmlformats.org/officeDocument/2006/relationships" ref="A1797" r:id="rId1796"/>
    <hyperlink xmlns:r="http://schemas.openxmlformats.org/officeDocument/2006/relationships" ref="A1798" r:id="rId1797"/>
    <hyperlink xmlns:r="http://schemas.openxmlformats.org/officeDocument/2006/relationships" ref="A1799" r:id="rId1798"/>
    <hyperlink xmlns:r="http://schemas.openxmlformats.org/officeDocument/2006/relationships" ref="A1800" r:id="rId1799"/>
    <hyperlink xmlns:r="http://schemas.openxmlformats.org/officeDocument/2006/relationships" ref="A1801" r:id="rId1800"/>
    <hyperlink xmlns:r="http://schemas.openxmlformats.org/officeDocument/2006/relationships" ref="A1802" r:id="rId1801"/>
    <hyperlink xmlns:r="http://schemas.openxmlformats.org/officeDocument/2006/relationships" ref="A1803" r:id="rId1802"/>
    <hyperlink xmlns:r="http://schemas.openxmlformats.org/officeDocument/2006/relationships" ref="A1804" r:id="rId1803"/>
    <hyperlink xmlns:r="http://schemas.openxmlformats.org/officeDocument/2006/relationships" ref="A1805" r:id="rId1804"/>
    <hyperlink xmlns:r="http://schemas.openxmlformats.org/officeDocument/2006/relationships" ref="A1806" r:id="rId1805"/>
    <hyperlink xmlns:r="http://schemas.openxmlformats.org/officeDocument/2006/relationships" ref="A1807" r:id="rId1806"/>
    <hyperlink xmlns:r="http://schemas.openxmlformats.org/officeDocument/2006/relationships" ref="A1808" r:id="rId1807"/>
    <hyperlink xmlns:r="http://schemas.openxmlformats.org/officeDocument/2006/relationships" ref="A1809" r:id="rId1808"/>
    <hyperlink xmlns:r="http://schemas.openxmlformats.org/officeDocument/2006/relationships" ref="A1810" r:id="rId1809"/>
    <hyperlink xmlns:r="http://schemas.openxmlformats.org/officeDocument/2006/relationships" ref="A1811" r:id="rId1810"/>
    <hyperlink xmlns:r="http://schemas.openxmlformats.org/officeDocument/2006/relationships" ref="A1812" r:id="rId1811"/>
    <hyperlink xmlns:r="http://schemas.openxmlformats.org/officeDocument/2006/relationships" ref="A1813" r:id="rId1812"/>
    <hyperlink xmlns:r="http://schemas.openxmlformats.org/officeDocument/2006/relationships" ref="A1814" r:id="rId1813"/>
    <hyperlink xmlns:r="http://schemas.openxmlformats.org/officeDocument/2006/relationships" ref="A1815" r:id="rId1814"/>
    <hyperlink xmlns:r="http://schemas.openxmlformats.org/officeDocument/2006/relationships" ref="A1816" r:id="rId1815"/>
    <hyperlink xmlns:r="http://schemas.openxmlformats.org/officeDocument/2006/relationships" ref="A1817" r:id="rId1816"/>
    <hyperlink xmlns:r="http://schemas.openxmlformats.org/officeDocument/2006/relationships" ref="A1818" r:id="rId1817"/>
    <hyperlink xmlns:r="http://schemas.openxmlformats.org/officeDocument/2006/relationships" ref="A1819" r:id="rId1818"/>
    <hyperlink xmlns:r="http://schemas.openxmlformats.org/officeDocument/2006/relationships" ref="A1820" r:id="rId1819"/>
    <hyperlink xmlns:r="http://schemas.openxmlformats.org/officeDocument/2006/relationships" ref="A1821" r:id="rId1820"/>
    <hyperlink xmlns:r="http://schemas.openxmlformats.org/officeDocument/2006/relationships" ref="A1822" r:id="rId1821"/>
    <hyperlink xmlns:r="http://schemas.openxmlformats.org/officeDocument/2006/relationships" ref="A1823" r:id="rId1822"/>
    <hyperlink xmlns:r="http://schemas.openxmlformats.org/officeDocument/2006/relationships" ref="A1824" r:id="rId1823"/>
    <hyperlink xmlns:r="http://schemas.openxmlformats.org/officeDocument/2006/relationships" ref="A1825" r:id="rId1824"/>
    <hyperlink xmlns:r="http://schemas.openxmlformats.org/officeDocument/2006/relationships" ref="A1826" r:id="rId182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9" customWidth="1" min="2" max="2"/>
    <col width="30" customWidth="1" min="3" max="3"/>
    <col width="12" customWidth="1" min="4" max="4"/>
    <col width="30" customWidth="1" min="5" max="5"/>
    <col width="12" customWidth="1" min="6" max="6"/>
    <col width="14" customWidth="1" min="7" max="7"/>
    <col width="16" customWidth="1" min="8" max="8"/>
    <col width="20" customWidth="1" min="9" max="9"/>
    <col width="60" customWidth="1" min="10" max="10"/>
  </cols>
  <sheetData>
    <row r="1">
      <c r="A1" s="4" t="inlineStr">
        <is>
          <t>Check</t>
        </is>
      </c>
      <c r="B1" s="4" t="inlineStr">
        <is>
          <t>ID</t>
        </is>
      </c>
      <c r="C1" s="4" t="inlineStr">
        <is>
          <t>Input 1</t>
        </is>
      </c>
      <c r="D1" s="4" t="inlineStr">
        <is>
          <t>Value 1</t>
        </is>
      </c>
      <c r="E1" s="4" t="inlineStr">
        <is>
          <t>Input 2</t>
        </is>
      </c>
      <c r="F1" s="4" t="inlineStr">
        <is>
          <t>Value 2</t>
        </is>
      </c>
      <c r="G1" s="4" t="inlineStr">
        <is>
          <t>Calculated</t>
        </is>
      </c>
      <c r="H1" s="4" t="inlineStr">
        <is>
          <t>Figure as stated publicly</t>
        </is>
      </c>
      <c r="I1" s="4" t="inlineStr">
        <is>
          <t>Consistent?</t>
        </is>
      </c>
      <c r="J1" s="4" t="inlineStr">
        <is>
          <t>Note and source</t>
        </is>
      </c>
    </row>
    <row r="2">
      <c r="A2" s="2" t="inlineStr">
        <is>
          <t>Comino: replacement trees owed</t>
        </is>
      </c>
      <c r="B2" s="2" t="inlineStr">
        <is>
          <t>CC-002</t>
        </is>
      </c>
      <c r="C2" s="2" t="inlineStr">
        <is>
          <t>Protected trees removed</t>
        </is>
      </c>
      <c r="D2" s="6" t="n">
        <v>54</v>
      </c>
      <c r="E2" s="2" t="inlineStr">
        <is>
          <t>Replacement ratio (per tree)</t>
        </is>
      </c>
      <c r="F2" s="6" t="n">
        <v>10</v>
      </c>
      <c r="G2" s="2">
        <f>D2*F2</f>
        <v/>
      </c>
      <c r="H2" s="6" t="n">
        <v>540</v>
      </c>
      <c r="I2" s="2" t="inlineStr">
        <is>
          <t>Matches</t>
        </is>
      </c>
      <c r="J2" s="2" t="inlineStr">
        <is>
          <t>ERA statement, 11 Aug 2026. Transplant failures carry a further 10-for-1 duty on top of this.</t>
        </is>
      </c>
    </row>
    <row r="3">
      <c r="A3" s="2" t="inlineStr">
        <is>
          <t>Comino: non-protected specimens removed</t>
        </is>
      </c>
      <c r="B3" s="2" t="inlineStr">
        <is>
          <t>CC-002</t>
        </is>
      </c>
      <c r="C3" s="2" t="inlineStr">
        <is>
          <t>Trees and shrubs removed</t>
        </is>
      </c>
      <c r="D3" s="6" t="n">
        <v>678</v>
      </c>
      <c r="E3" s="2" t="inlineStr">
        <is>
          <t>Share not protected</t>
        </is>
      </c>
      <c r="F3" s="6" t="n">
        <v>0.92</v>
      </c>
      <c r="G3" s="2">
        <f>ROUND(D3*F3,0)</f>
        <v/>
      </c>
      <c r="H3" s="6" t="n">
        <v>624</v>
      </c>
      <c r="I3" s="2" t="inlineStr">
        <is>
          <t>Matches</t>
        </is>
      </c>
      <c r="J3" s="2" t="inlineStr">
        <is>
          <t>ERA says 92% of the 678 are not protected; its later statement gives 624 non-protected specimens.</t>
        </is>
      </c>
    </row>
    <row r="4">
      <c r="A4" s="2" t="inlineStr">
        <is>
          <t>Comino: protected + non-protected = total</t>
        </is>
      </c>
      <c r="B4" s="2" t="inlineStr">
        <is>
          <t>CC-002</t>
        </is>
      </c>
      <c r="C4" s="2" t="inlineStr">
        <is>
          <t>Protected removed</t>
        </is>
      </c>
      <c r="D4" s="6" t="n">
        <v>54</v>
      </c>
      <c r="E4" s="2" t="inlineStr">
        <is>
          <t>Non-protected removed</t>
        </is>
      </c>
      <c r="F4" s="6" t="n">
        <v>624</v>
      </c>
      <c r="G4" s="2">
        <f>D4+F4</f>
        <v/>
      </c>
      <c r="H4" s="6" t="n">
        <v>678</v>
      </c>
      <c r="I4" s="2" t="inlineStr">
        <is>
          <t>Matches</t>
        </is>
      </c>
      <c r="J4" s="2" t="inlineStr">
        <is>
          <t>Internal consistency check on ERA's figures. The NGO's 'about 800' is a different count: reconcile scope (shrubs, transplants).</t>
        </is>
      </c>
    </row>
    <row r="5">
      <c r="A5" s="2" t="inlineStr">
        <is>
          <t>Msida flyover: net trees and shrubs</t>
        </is>
      </c>
      <c r="B5" s="2" t="inlineStr">
        <is>
          <t>CC-008</t>
        </is>
      </c>
      <c r="C5" s="2" t="inlineStr">
        <is>
          <t>Removed</t>
        </is>
      </c>
      <c r="D5" s="6" t="n">
        <v>430</v>
      </c>
      <c r="E5" s="2" t="inlineStr">
        <is>
          <t>Replanted</t>
        </is>
      </c>
      <c r="F5" s="6" t="n">
        <v>313</v>
      </c>
      <c r="G5" s="2">
        <f>F5-D5</f>
        <v/>
      </c>
      <c r="H5" s="2" t="inlineStr"/>
      <c r="I5" s="2" t="inlineStr">
        <is>
          <t>n/a</t>
        </is>
      </c>
      <c r="J5" s="2" t="inlineStr">
        <is>
          <t>ERA screening. 26 of the 430 were proposed for transplanting, so the true net loss may be smaller. Count compensation by survival, not planting.</t>
        </is>
      </c>
    </row>
    <row r="6">
      <c r="A6" s="2" t="inlineStr">
        <is>
          <t>Climate: gap to 2030 target (percentage points)</t>
        </is>
      </c>
      <c r="B6" s="2" t="inlineStr">
        <is>
          <t>CC-003</t>
        </is>
      </c>
      <c r="C6" s="2" t="inlineStr">
        <is>
          <t>Projected change vs 2005 (%)</t>
        </is>
      </c>
      <c r="D6" s="6" t="n">
        <v>30</v>
      </c>
      <c r="E6" s="2" t="inlineStr">
        <is>
          <t>ESR target vs 2005 (%)</t>
        </is>
      </c>
      <c r="F6" s="6" t="n">
        <v>-19</v>
      </c>
      <c r="G6" s="2">
        <f>D6-F6</f>
        <v/>
      </c>
      <c r="H6" s="6" t="n">
        <v>49</v>
      </c>
      <c r="I6" s="2" t="inlineStr">
        <is>
          <t>Matches</t>
        </is>
      </c>
      <c r="J6" s="2" t="inlineStr">
        <is>
          <t>European Commission 2025 Climate Action Progress Report, as reported. A positive projection against a negative target gives a 49-point gap.</t>
        </is>
      </c>
    </row>
    <row r="7">
      <c r="A7" s="2" t="inlineStr">
        <is>
          <t>Climate: per-capita advantage over EU (points)</t>
        </is>
      </c>
      <c r="B7" s="2" t="inlineStr">
        <is>
          <t>CC-003</t>
        </is>
      </c>
      <c r="C7" s="2" t="inlineStr">
        <is>
          <t>Malta per-capita fall since 2005 (%)</t>
        </is>
      </c>
      <c r="D7" s="6" t="n">
        <v>44</v>
      </c>
      <c r="E7" s="2" t="inlineStr">
        <is>
          <t>EU average fall (%)</t>
        </is>
      </c>
      <c r="F7" s="6" t="n">
        <v>34</v>
      </c>
      <c r="G7" s="2">
        <f>D7-F7</f>
        <v/>
      </c>
      <c r="H7" s="2" t="inlineStr"/>
      <c r="I7" s="2" t="inlineStr">
        <is>
          <t>n/a</t>
        </is>
      </c>
      <c r="J7" s="2" t="inlineStr">
        <is>
          <t>Climate Action Authority framing. Per-capita falls can coexist with rising absolute emissions when population grows.</t>
        </is>
      </c>
    </row>
    <row r="8">
      <c r="A8" s="2" t="inlineStr">
        <is>
          <t>Waste: change in mixed waste</t>
        </is>
      </c>
      <c r="B8" s="2" t="inlineStr">
        <is>
          <t>CC-004</t>
        </is>
      </c>
      <c r="C8" s="2" t="inlineStr">
        <is>
          <t>Mixed waste, earlier (million kg)</t>
        </is>
      </c>
      <c r="D8" s="6" t="n">
        <v>141</v>
      </c>
      <c r="E8" s="2" t="inlineStr">
        <is>
          <t>Mixed waste, 2025 (million kg)</t>
        </is>
      </c>
      <c r="F8" s="6" t="n">
        <v>95.5</v>
      </c>
      <c r="G8" s="2">
        <f>(F8-D8)/D8</f>
        <v/>
      </c>
      <c r="H8" s="6" t="n">
        <v>-0.3</v>
      </c>
      <c r="I8" s="2" t="inlineStr">
        <is>
          <t>Consistent with 'over 30%'</t>
        </is>
      </c>
      <c r="J8" s="2" t="inlineStr">
        <is>
          <t>Ministry press release, Jan 2026. A fall in black-bag kg is not the EU recycling rate.</t>
        </is>
      </c>
    </row>
    <row r="9">
      <c r="A9" s="2" t="inlineStr">
        <is>
          <t>Vehicles added per day, Q2 2026</t>
        </is>
      </c>
      <c r="B9" s="2" t="inlineStr">
        <is>
          <t>CC-008</t>
        </is>
      </c>
      <c r="C9" s="2" t="inlineStr">
        <is>
          <t>Net increase in licensed vehicles</t>
        </is>
      </c>
      <c r="D9" s="6" t="n">
        <v>3086</v>
      </c>
      <c r="E9" s="2" t="inlineStr">
        <is>
          <t>Days in Q2 (30+31+30)</t>
        </is>
      </c>
      <c r="F9" s="6" t="n">
        <v>91</v>
      </c>
      <c r="G9" s="2">
        <f>D9/F9</f>
        <v/>
      </c>
      <c r="H9" s="6" t="n">
        <v>34</v>
      </c>
      <c r="I9" s="2" t="inlineStr">
        <is>
          <t>Matches</t>
        </is>
      </c>
      <c r="J9" s="2" t="inlineStr">
        <is>
          <t>NSO via MaltaToday. Licensed stock reached 460,648 at end of Q1 2026 per a secondary source.</t>
        </is>
      </c>
    </row>
    <row r="10">
      <c r="A10" s="2" t="inlineStr">
        <is>
          <t>Tree pledge: implied pace per year</t>
        </is>
      </c>
      <c r="B10" s="2" t="inlineStr">
        <is>
          <t>CC-010</t>
        </is>
      </c>
      <c r="C10" s="2" t="inlineStr">
        <is>
          <t>Pledged trees (2022 manifesto)</t>
        </is>
      </c>
      <c r="D10" s="6" t="n">
        <v>100000</v>
      </c>
      <c r="E10" s="2" t="inlineStr">
        <is>
          <t>Years</t>
        </is>
      </c>
      <c r="F10" s="6" t="n">
        <v>5</v>
      </c>
      <c r="G10" s="2">
        <f>D10/F10</f>
        <v/>
      </c>
      <c r="H10" s="2" t="inlineStr"/>
      <c r="I10" s="2" t="inlineStr">
        <is>
          <t>n/a</t>
        </is>
      </c>
      <c r="J10" s="2" t="inlineStr">
        <is>
          <t>Labour 2022 manifesto pledge, as reported by the Malta Independent.</t>
        </is>
      </c>
    </row>
    <row r="11">
      <c r="A11" s="2" t="inlineStr">
        <is>
          <t>2024 trees planted vs implied pace</t>
        </is>
      </c>
      <c r="B11" s="2" t="inlineStr">
        <is>
          <t>CC-010</t>
        </is>
      </c>
      <c r="C11" s="2" t="inlineStr">
        <is>
          <t>Trees planted in 2024 (reported)</t>
        </is>
      </c>
      <c r="D11" s="6" t="n">
        <v>8000</v>
      </c>
      <c r="E11" s="2" t="inlineStr">
        <is>
          <t>Implied pace per year (above)</t>
        </is>
      </c>
      <c r="F11" s="6" t="n">
        <v>20000</v>
      </c>
      <c r="G11" s="2">
        <f>D11/F11</f>
        <v/>
      </c>
      <c r="H11" s="2" t="inlineStr"/>
      <c r="I11" s="2" t="inlineStr">
        <is>
          <t>n/a</t>
        </is>
      </c>
      <c r="J11" s="2" t="inlineStr">
        <is>
          <t>INDICATIVE ONLY. The 8,000 are trees (25,000 shrubs reported separately); pledge scope and counting basis are unconfirmed. Do not publish this ratio until both are confirmed.</t>
        </is>
      </c>
    </row>
    <row r="12">
      <c r="A12" s="2" t="inlineStr">
        <is>
          <t>Gozo land area in hectares</t>
        </is>
      </c>
      <c r="B12" s="2" t="inlineStr">
        <is>
          <t>CC-107</t>
        </is>
      </c>
      <c r="C12" s="2" t="inlineStr">
        <is>
          <t>Gozo area (km2)</t>
        </is>
      </c>
      <c r="D12" s="6" t="n">
        <v>67</v>
      </c>
      <c r="E12" s="2" t="inlineStr">
        <is>
          <t>Hectares per km2</t>
        </is>
      </c>
      <c r="F12" s="6" t="n">
        <v>100</v>
      </c>
      <c r="G12" s="2">
        <f>D12*F12</f>
        <v/>
      </c>
      <c r="H12" s="2" t="inlineStr"/>
      <c r="I12" s="2" t="inlineStr">
        <is>
          <t>n/a</t>
        </is>
      </c>
      <c r="J12" s="2" t="inlineStr">
        <is>
          <t>Ingredient for the net-zero arithmetic. Area from the EC Clean Energy for EU Islands page. This is all land, not plantable land.</t>
        </is>
      </c>
    </row>
    <row r="13">
      <c r="A13" s="2" t="inlineStr">
        <is>
          <t>Mixed waste: percentage fall</t>
        </is>
      </c>
      <c r="B13" s="2" t="inlineStr">
        <is>
          <t>CC-004</t>
        </is>
      </c>
      <c r="C13" s="2" t="inlineStr">
        <is>
          <t>Before (million kg)</t>
        </is>
      </c>
      <c r="D13" s="6" t="n">
        <v>141</v>
      </c>
      <c r="E13" s="2" t="inlineStr">
        <is>
          <t>After (million kg)</t>
        </is>
      </c>
      <c r="F13" s="6" t="n">
        <v>95.5</v>
      </c>
      <c r="G13" s="7">
        <f>(F13-D13)/D13</f>
        <v/>
      </c>
      <c r="H13" s="2" t="inlineStr">
        <is>
          <t>over 30%</t>
        </is>
      </c>
      <c r="I13" s="2" t="inlineStr">
        <is>
          <t>Matches</t>
        </is>
      </c>
      <c r="J13" s="2" t="inlineStr">
        <is>
          <t>Ministry press release PR260072en, 19 Jan 2026. Arithmetic matches, but no start year is given for 141 million kg.</t>
        </is>
      </c>
    </row>
  </sheetData>
  <autoFilter ref="A1:J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60" customWidth="1" min="2" max="2"/>
    <col width="40" customWidth="1" min="3" max="3"/>
    <col width="30" customWidth="1" min="4" max="4"/>
    <col width="10" customWidth="1" min="5" max="5"/>
    <col width="50" customWidth="1" min="6" max="6"/>
  </cols>
  <sheetData>
    <row r="1">
      <c r="A1" s="4" t="inlineStr">
        <is>
          <t>Tag</t>
        </is>
      </c>
      <c r="B1" s="4" t="inlineStr">
        <is>
          <t>Meaning</t>
        </is>
      </c>
      <c r="C1" s="4" t="inlineStr">
        <is>
          <t>Claims (finished reports)</t>
        </is>
      </c>
      <c r="D1" s="4" t="inlineStr">
        <is>
          <t>Claims (provisional)</t>
        </is>
      </c>
      <c r="E1" s="4" t="inlineStr">
        <is>
          <t>Claims (count)</t>
        </is>
      </c>
      <c r="F1" s="4" t="inlineStr">
        <is>
          <t>Verdicts of tagged claims</t>
        </is>
      </c>
    </row>
    <row r="2">
      <c r="A2" s="2" t="inlineStr">
        <is>
          <t>Selective metric</t>
        </is>
      </c>
      <c r="B2" s="2" t="inlineStr">
        <is>
          <t>A favourable metric is cited while the regulator-relevant metric looks worse.</t>
        </is>
      </c>
      <c r="C2" s="2" t="inlineStr">
        <is>
          <t>CC-002, CC-003, CC-004, CC-009, CC-025, CC-026, CC-114</t>
        </is>
      </c>
      <c r="D2" s="2" t="inlineStr"/>
      <c r="E2" s="2" t="n">
        <v>7</v>
      </c>
      <c r="F2" s="2" t="inlineStr">
        <is>
          <t>Largely supported 4; Misleading 2; Not substantiated 1</t>
        </is>
      </c>
    </row>
    <row r="3">
      <c r="A3" s="2" t="inlineStr">
        <is>
          <t>Input-as-outcome</t>
        </is>
      </c>
      <c r="B3" s="2" t="inlineStr">
        <is>
          <t>Effort counted (trees planted, kilograms separated) is presented as if it were the result (trees surviving, recycling rate).</t>
        </is>
      </c>
      <c r="C3" s="2" t="inlineStr">
        <is>
          <t>CC-002, CC-004, CC-014, CC-034, CC-045</t>
        </is>
      </c>
      <c r="D3" s="2" t="inlineStr">
        <is>
          <t>CC-010</t>
        </is>
      </c>
      <c r="E3" s="2" t="n">
        <v>6</v>
      </c>
      <c r="F3" s="2" t="inlineStr">
        <is>
          <t>Not substantiated 3; Largely supported 1; Largely supported (pledge: Off track) 1; Misleading 1</t>
        </is>
      </c>
    </row>
    <row r="4">
      <c r="A4" s="2" t="inlineStr">
        <is>
          <t>Compliance-not-health</t>
        </is>
      </c>
      <c r="B4" s="2" t="inlineStr">
        <is>
          <t>Meeting a legal limit is presented as if it meant a health-protective level.</t>
        </is>
      </c>
      <c r="C4" s="2" t="inlineStr">
        <is>
          <t>CC-005, CC-007, CC-020</t>
        </is>
      </c>
      <c r="D4" s="2" t="inlineStr"/>
      <c r="E4" s="2" t="n">
        <v>3</v>
      </c>
      <c r="F4" s="2" t="inlineStr">
        <is>
          <t>Largely supported 2; Supported 1</t>
        </is>
      </c>
    </row>
    <row r="5">
      <c r="A5" s="2" t="inlineStr">
        <is>
          <t>Conditional-turned-unconditional</t>
        </is>
      </c>
      <c r="B5" s="2" t="inlineStr">
        <is>
          <t>A statement with a stated condition is reported or repeated without it.</t>
        </is>
      </c>
      <c r="C5" s="2" t="inlineStr">
        <is>
          <t>CC-001, CC-006, CC-016</t>
        </is>
      </c>
      <c r="D5" s="2" t="inlineStr"/>
      <c r="E5" s="2" t="n">
        <v>3</v>
      </c>
      <c r="F5" s="2" t="inlineStr">
        <is>
          <t>Not substantiated 2; Misleading 1</t>
        </is>
      </c>
    </row>
    <row r="6">
      <c r="A6" s="2" t="inlineStr">
        <is>
          <t>Promise-without-baseline</t>
        </is>
      </c>
      <c r="B6" s="2" t="inlineStr">
        <is>
          <t>A target or pledge with no stated starting point, scope or counting basis.</t>
        </is>
      </c>
      <c r="C6" s="2" t="inlineStr">
        <is>
          <t>CC-008, CC-011, CC-012, CC-017, CC-029, CC-030, CC-031, CC-039, CC-055, CC-107</t>
        </is>
      </c>
      <c r="D6" s="2" t="inlineStr">
        <is>
          <t>CC-010, CC-021</t>
        </is>
      </c>
      <c r="E6" s="2" t="n">
        <v>12</v>
      </c>
      <c r="F6" s="2" t="inlineStr">
        <is>
          <t>Not substantiated 3; Pledge: Not measurable 3; Largely supported (pledge: Off track) 2; Contradicted 1; Largely supported (pledge: Not measurable) 1; Supported (pledge: Not measurable) 1</t>
        </is>
      </c>
    </row>
  </sheetData>
  <autoFilter ref="A1:F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40" customWidth="1" min="3" max="3"/>
    <col width="20" customWidth="1" min="4" max="4"/>
    <col width="18" customWidth="1" min="5" max="5"/>
    <col width="80" customWidth="1" min="6" max="6"/>
    <col width="10" customWidth="1" min="7" max="7"/>
  </cols>
  <sheetData>
    <row r="1">
      <c r="A1" s="4" t="inlineStr">
        <is>
          <t>Theme ID</t>
        </is>
      </c>
      <c r="B1" s="4" t="inlineStr">
        <is>
          <t>Theme</t>
        </is>
      </c>
      <c r="C1" s="4" t="inlineStr">
        <is>
          <t>Linked claim IDs</t>
        </is>
      </c>
      <c r="D1" s="4" t="inlineStr">
        <is>
          <t>Link type</t>
        </is>
      </c>
      <c r="E1" s="4" t="inlineStr">
        <is>
          <t>Strength</t>
        </is>
      </c>
      <c r="F1" s="4" t="inlineStr">
        <is>
          <t>What connects them</t>
        </is>
      </c>
      <c r="G1" s="4" t="inlineStr">
        <is>
          <t>Edges generated</t>
        </is>
      </c>
    </row>
    <row r="2">
      <c r="A2" s="2" t="inlineStr">
        <is>
          <t>T1</t>
        </is>
      </c>
      <c r="B2" s="2" t="inlineStr">
        <is>
          <t>Sealed soil and concrete</t>
        </is>
      </c>
      <c r="C2" s="2" t="inlineStr">
        <is>
          <t>CC-001, CC-002, CC-008, CC-012, CC-019</t>
        </is>
      </c>
      <c r="D2" s="2" t="inlineStr">
        <is>
          <t>Shared mechanism</t>
        </is>
      </c>
      <c r="E2" s="2" t="inlineStr">
        <is>
          <t>Strong</t>
        </is>
      </c>
      <c r="F2" s="2" t="inlineStr">
        <is>
          <t>Excavation, concrete and sealed surfaces around trees. The EU review notes sealed or degraded soil keeps increasing in Malta.</t>
        </is>
      </c>
      <c r="G2" s="2" t="inlineStr">
        <is>
          <t>10</t>
        </is>
      </c>
    </row>
    <row r="3">
      <c r="A3" s="2" t="inlineStr">
        <is>
          <t>T2</t>
        </is>
      </c>
      <c r="B3" s="2" t="inlineStr">
        <is>
          <t>Replanting as currency</t>
        </is>
      </c>
      <c r="C3" s="2" t="inlineStr">
        <is>
          <t>CC-001, CC-002, CC-008, CC-010, CC-054, CC-056, CC-057</t>
        </is>
      </c>
      <c r="D3" s="2" t="inlineStr">
        <is>
          <t>Shared mechanism</t>
        </is>
      </c>
      <c r="E3" s="2" t="inlineStr">
        <is>
          <t>Strong</t>
        </is>
      </c>
      <c r="F3" s="2" t="inlineStr">
        <is>
          <t>Tree losses are justified by promised replacement or transplanting. Test survival and net canopy, not planting counts.</t>
        </is>
      </c>
      <c r="G3" s="2" t="inlineStr">
        <is>
          <t>10</t>
        </is>
      </c>
    </row>
    <row r="4">
      <c r="A4" s="2" t="inlineStr">
        <is>
          <t>T3</t>
        </is>
      </c>
      <c r="B4" s="2" t="inlineStr">
        <is>
          <t>Water chain: farm waste, sewage, sea, aquifer</t>
        </is>
      </c>
      <c r="C4" s="2" t="inlineStr">
        <is>
          <t>CC-005, CC-009, CC-039, CC-041, CC-042, CC-043, CC-047, CC-101, CC-108</t>
        </is>
      </c>
      <c r="D4" s="2" t="inlineStr">
        <is>
          <t>Shared cause</t>
        </is>
      </c>
      <c r="E4" s="2" t="inlineStr">
        <is>
          <t>Strong</t>
        </is>
      </c>
      <c r="F4" s="2" t="inlineStr">
        <is>
          <t>The Commission blames farm waste in the sewers for poor treatment; agricultural nitrates are behind groundwater failure. Treated water also feeds 'new water' irrigation.</t>
        </is>
      </c>
      <c r="G4" s="2" t="inlineStr">
        <is>
          <t>11</t>
        </is>
      </c>
    </row>
    <row r="5">
      <c r="A5" s="2" t="inlineStr">
        <is>
          <t>T4</t>
        </is>
      </c>
      <c r="B5" s="2" t="inlineStr">
        <is>
          <t>Transport, air and climate</t>
        </is>
      </c>
      <c r="C5" s="2" t="inlineStr">
        <is>
          <t>CC-003, CC-007, CC-008, CC-016, CC-021, CC-026, CC-035, CC-069, CC-071, CC-072, CC-076, CC-109, CC-110, CC-115</t>
        </is>
      </c>
      <c r="D5" s="2" t="inlineStr">
        <is>
          <t>Shared driver</t>
        </is>
      </c>
      <c r="E5" s="2" t="inlineStr">
        <is>
          <t>Strong</t>
        </is>
      </c>
      <c r="F5" s="2" t="inlineStr">
        <is>
          <t>Fleet growth links traffic claims, air quality and emissions. The climate report names transport and buildings as the lagging sectors.</t>
        </is>
      </c>
      <c r="G5" s="2" t="inlineStr">
        <is>
          <t>26</t>
        </is>
      </c>
    </row>
    <row r="6">
      <c r="A6" s="2" t="inlineStr">
        <is>
          <t>T5</t>
        </is>
      </c>
      <c r="B6" s="2" t="inlineStr">
        <is>
          <t>Waste and construction</t>
        </is>
      </c>
      <c r="C6" s="2" t="inlineStr">
        <is>
          <t>CC-002, CC-004, CC-008, CC-017, CC-063, CC-079, CC-081, CC-082, CC-111</t>
        </is>
      </c>
      <c r="D6" s="2" t="inlineStr">
        <is>
          <t>Shared material flow</t>
        </is>
      </c>
      <c r="E6" s="2" t="inlineStr">
        <is>
          <t>Weak (indicative)</t>
        </is>
      </c>
      <c r="F6" s="2" t="inlineStr">
        <is>
          <t>Inert mineral waste dominates Malta's recycling statistics, which ties waste claims to development projects. ERA and NSO confirm construction waste was about 2.2 of 2.9 Mt generated in 2023; the link to specific projects is still indicative.</t>
        </is>
      </c>
      <c r="G6" s="2" t="inlineStr">
        <is>
          <t>13</t>
        </is>
      </c>
    </row>
    <row r="7">
      <c r="A7" s="2" t="inlineStr">
        <is>
          <t>T6</t>
        </is>
      </c>
      <c r="B7" s="2" t="inlineStr">
        <is>
          <t>Selective-metric pattern</t>
        </is>
      </c>
      <c r="C7" s="2" t="inlineStr">
        <is>
          <t>CC-003, CC-004, CC-007, CC-010, CC-022, CC-025, CC-026, CC-051, CC-110, CC-114</t>
        </is>
      </c>
      <c r="D7" s="2" t="inlineStr">
        <is>
          <t>Rhetorical pattern</t>
        </is>
      </c>
      <c r="E7" s="2" t="inlineStr">
        <is>
          <t>Pattern, not causal</t>
        </is>
      </c>
      <c r="F7" s="2" t="inlineStr">
        <is>
          <t>A favourable metric is cited while the regulator-relevant metric looks worse. Useful for tagging, not for implying a common cause.</t>
        </is>
      </c>
      <c r="G7" s="2" t="inlineStr">
        <is>
          <t>12</t>
        </is>
      </c>
    </row>
    <row r="8">
      <c r="A8" s="2" t="inlineStr">
        <is>
          <t>T7</t>
        </is>
      </c>
      <c r="B8" s="2" t="inlineStr">
        <is>
          <t>2030 carbon target</t>
        </is>
      </c>
      <c r="C8" s="2" t="inlineStr">
        <is>
          <t>CC-003, CC-011, CC-024, CC-025, CC-094, CC-109, CC-114</t>
        </is>
      </c>
      <c r="D8" s="2" t="inlineStr">
        <is>
          <t>Shared target</t>
        </is>
      </c>
      <c r="E8" s="2" t="inlineStr">
        <is>
          <t>Strong</t>
        </is>
      </c>
      <c r="F8" s="2" t="inlineStr">
        <is>
          <t>The Climate Action Authority and the 2026 Labour manifesto (priority 18) both state a 40% cut in carbon emissions by 2030 against 2005, without saying whether it covers total or effort-sharing emissions.</t>
        </is>
      </c>
      <c r="G8" s="2" t="inlineStr">
        <is>
          <t>9</t>
        </is>
      </c>
    </row>
    <row r="9">
      <c r="A9" s="2" t="inlineStr">
        <is>
          <t>T8</t>
        </is>
      </c>
      <c r="B9" s="2" t="inlineStr">
        <is>
          <t>Planning, housing and land take</t>
        </is>
      </c>
      <c r="C9" s="2" t="inlineStr">
        <is>
          <t>CC-013, CC-014, CC-017, CC-018, CC-019, CC-058, CC-060, CC-062</t>
        </is>
      </c>
      <c r="D9" s="2" t="inlineStr">
        <is>
          <t>Shared driver</t>
        </is>
      </c>
      <c r="E9" s="2" t="inlineStr">
        <is>
          <t>Strong</t>
        </is>
      </c>
      <c r="F9" s="2" t="inlineStr">
        <is>
          <t>Permit volumes, enforcement and housing demand drive land take. Claims about prices, enforcement, reclamation and land loss rest on the same planning system and the same data (PA permits, NSO prices, land-cover maps).</t>
        </is>
      </c>
      <c r="G9" s="2" t="inlineStr">
        <is>
          <t>13</t>
        </is>
      </c>
    </row>
    <row r="10">
      <c r="A10" s="2" t="inlineStr">
        <is>
          <t>T9</t>
        </is>
      </c>
      <c r="B10" s="2" t="inlineStr">
        <is>
          <t>Compliance-not-health pattern</t>
        </is>
      </c>
      <c r="C10" s="2" t="inlineStr">
        <is>
          <t>CC-007, CC-020, CC-033</t>
        </is>
      </c>
      <c r="D10" s="2" t="inlineStr">
        <is>
          <t>Rhetorical pattern</t>
        </is>
      </c>
      <c r="E10" s="2" t="inlineStr">
        <is>
          <t>Pattern, not causal</t>
        </is>
      </c>
      <c r="F10" s="2" t="inlineStr">
        <is>
          <t>Meeting an EU legal limit or procedure is presented as if it meant a health-protective level: air (WHO PM2.5 guideline) and noise (WHO noise guidelines).</t>
        </is>
      </c>
      <c r="G10" s="2" t="inlineStr">
        <is>
          <t>2</t>
        </is>
      </c>
    </row>
    <row r="11">
      <c r="A11" s="2" t="inlineStr">
        <is>
          <t>T10</t>
        </is>
      </c>
      <c r="B11" s="2" t="inlineStr">
        <is>
          <t>Tourism pressure and carrying capacity</t>
        </is>
      </c>
      <c r="C11" s="2" t="inlineStr">
        <is>
          <t>CC-083, CC-084, CC-085, CC-086, CC-089, CC-098, CC-100, CC-112</t>
        </is>
      </c>
      <c r="D11" s="2" t="inlineStr">
        <is>
          <t>Shared driver</t>
        </is>
      </c>
      <c r="E11" s="2" t="inlineStr">
        <is>
          <t>Weak (indicative)</t>
        </is>
      </c>
      <c r="F11" s="2" t="inlineStr">
        <is>
          <t>Record arrivals, hotel pipelines and concessions on public land: claims about tourism growth and its limits share one driver. Indicative until a report tests it.</t>
        </is>
      </c>
      <c r="G11" s="2" t="inlineStr">
        <is>
          <t>8</t>
        </is>
      </c>
    </row>
    <row r="12">
      <c r="A12" s="2" t="inlineStr">
        <is>
          <t>T11</t>
        </is>
      </c>
      <c r="B12" s="2" t="inlineStr">
        <is>
          <t>Heat, power cuts and health</t>
        </is>
      </c>
      <c r="C12" s="2" t="inlineStr">
        <is>
          <t>CC-027, CC-090, CC-097, CC-103</t>
        </is>
      </c>
      <c r="D12" s="2" t="inlineStr">
        <is>
          <t>Shared driver</t>
        </is>
      </c>
      <c r="E12" s="2" t="inlineStr">
        <is>
          <t>Weak (indicative)</t>
        </is>
      </c>
      <c r="F12" s="2" t="inlineStr">
        <is>
          <t>The July heatwaves, the power cuts that accompanied them, and the health response: claims about causes (heat vs generation), deaths, worker exposure and disclosure share one event and one data gap (where deaths occurred, and whether outages coincided).</t>
        </is>
      </c>
      <c r="G12" s="2" t="inlineStr">
        <is>
          <t>6</t>
        </is>
      </c>
    </row>
    <row r="13">
      <c r="A13" s="2" t="inlineStr">
        <is>
          <t>T12</t>
        </is>
      </c>
      <c r="B13" s="2" t="inlineStr">
        <is>
          <t>Oversight and disclosure</t>
        </is>
      </c>
      <c r="C13" s="2" t="inlineStr">
        <is>
          <t>CC-102, CC-103</t>
        </is>
      </c>
      <c r="D13" s="2" t="inlineStr">
        <is>
          <t>Rhetorical pattern</t>
        </is>
      </c>
      <c r="E13" s="2" t="inlineStr">
        <is>
          <t>Pattern, not causal</t>
        </is>
      </c>
      <c r="F13" s="2" t="inlineStr">
        <is>
          <t>How public bodies respond to scrutiny: an Ombudsman finding left unimplemented, and a request for data refused with a promise to publish later. Useful for tracking follow-through; not evidence of a common cause.</t>
        </is>
      </c>
      <c r="G13" s="2" t="inlineStr">
        <is>
          <t>1</t>
        </is>
      </c>
    </row>
    <row r="14">
      <c r="A14" s="2" t="inlineStr">
        <is>
          <t>T13</t>
        </is>
      </c>
      <c r="B14" s="2" t="inlineStr">
        <is>
          <t>Noise governance</t>
        </is>
      </c>
      <c r="C14" s="2" t="inlineStr">
        <is>
          <t>CC-020, CC-104, CC-105</t>
        </is>
      </c>
      <c r="D14" s="2" t="inlineStr">
        <is>
          <t>Shared target</t>
        </is>
      </c>
      <c r="E14" s="2" t="inlineStr">
        <is>
          <t>Weak (indicative)</t>
        </is>
      </c>
      <c r="F14" s="2" t="inlineStr">
        <is>
          <t>Claims about whether Malta maps, plans for and acts on noise under Directive 2002/49/EC and the WHO guidelines: the 2026 EP study, the PN petition and ADPD's call for a Freeport and airport study.</t>
        </is>
      </c>
      <c r="G14" s="2" t="inlineStr">
        <is>
          <t>3</t>
        </is>
      </c>
    </row>
    <row r="15">
      <c r="A15" s="2" t="inlineStr">
        <is>
          <t>T14</t>
        </is>
      </c>
      <c r="B15" s="2" t="inlineStr">
        <is>
          <t>Energy subsidies</t>
        </is>
      </c>
      <c r="C15" s="2" t="inlineStr">
        <is>
          <t>CC-022, CC-095, CC-113</t>
        </is>
      </c>
      <c r="D15" s="2" t="inlineStr">
        <is>
          <t>Shared driver</t>
        </is>
      </c>
      <c r="E15" s="2" t="inlineStr">
        <is>
          <t>Weak (indicative)</t>
        </is>
      </c>
      <c r="F15" s="2" t="inlineStr">
        <is>
          <t>Claims about what energy support costs and what it shields: the lowest-electricity-burden claim, the EUR 400 million to 2027, and the EEA ranking of fossil-fuel subsidies by share of GDP. They rest on different definitions of subsidy; indicative until a report tests them together.</t>
        </is>
      </c>
      <c r="G15" s="2" t="inlineStr">
        <is>
          <t>3</t>
        </is>
      </c>
    </row>
    <row r="16">
      <c r="A16" s="2" t="inlineStr">
        <is>
          <t>T15</t>
        </is>
      </c>
      <c r="B16" s="2" t="inlineStr">
        <is>
          <t>Heritage and development control</t>
        </is>
      </c>
      <c r="C16" s="2" t="inlineStr">
        <is>
          <t>CC-065, CC-066, CC-116</t>
        </is>
      </c>
      <c r="D16" s="2" t="inlineStr">
        <is>
          <t>Shared mechanism</t>
        </is>
      </c>
      <c r="E16" s="2" t="inlineStr">
        <is>
          <t>Weak (indicative)</t>
        </is>
      </c>
      <c r="F16" s="2" t="inlineStr">
        <is>
          <t>Permits and planning policy near protected heritage: the Ġgantija buffer zone, Fort Chambray and UNESCO's request for height controls around Valletta. Indicative until a report tests the permits and policies.</t>
        </is>
      </c>
      <c r="G16" s="2" t="inlineStr">
        <is>
          <t>3</t>
        </is>
      </c>
    </row>
    <row r="17">
      <c r="A17" s="2" t="inlineStr">
        <is>
          <t>T16</t>
        </is>
      </c>
      <c r="B17" s="2" t="inlineStr">
        <is>
          <t>Shared emissions figures</t>
        </is>
      </c>
      <c r="C17" s="2" t="inlineStr">
        <is>
          <t>CC-026, CC-031, CC-109, CC-114</t>
        </is>
      </c>
      <c r="D17" s="2" t="inlineStr">
        <is>
          <t>Shared data</t>
        </is>
      </c>
      <c r="E17" s="2" t="inlineStr">
        <is>
          <t>Strong</t>
        </is>
      </c>
      <c r="F17" s="2" t="inlineStr">
        <is>
          <t>Finished checks that rest on the same Eurostat emissions figure, verified to agree by the fact-ledger build (sketch/fact-ledger): Malta's 2024 territorial total (CC-026, CC-031), road transport +39.4% since 2005 (CC-031, CC-109), air transport 444 to 4,730 kt (CC-026, CC-114).</t>
        </is>
      </c>
      <c r="G17" s="2" t="inlineStr">
        <is>
          <t>3</t>
        </is>
      </c>
    </row>
  </sheetData>
  <autoFilter ref="A1:G1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34"/>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9" customWidth="1" min="3" max="3"/>
    <col width="36" customWidth="1" min="4" max="4"/>
    <col width="22" customWidth="1" min="5" max="5"/>
    <col width="20" customWidth="1" min="6" max="6"/>
  </cols>
  <sheetData>
    <row r="1">
      <c r="A1" s="4" t="inlineStr">
        <is>
          <t>From</t>
        </is>
      </c>
      <c r="B1" s="4" t="inlineStr">
        <is>
          <t>To</t>
        </is>
      </c>
      <c r="C1" s="4" t="inlineStr">
        <is>
          <t>Theme ID</t>
        </is>
      </c>
      <c r="D1" s="4" t="inlineStr">
        <is>
          <t>Theme</t>
        </is>
      </c>
      <c r="E1" s="4" t="inlineStr">
        <is>
          <t>Link type</t>
        </is>
      </c>
      <c r="F1" s="4" t="inlineStr">
        <is>
          <t>Strength</t>
        </is>
      </c>
    </row>
    <row r="2">
      <c r="A2" s="2" t="inlineStr">
        <is>
          <t>CC-001</t>
        </is>
      </c>
      <c r="B2" s="2" t="inlineStr">
        <is>
          <t>CC-002</t>
        </is>
      </c>
      <c r="C2" s="2" t="inlineStr">
        <is>
          <t>T1</t>
        </is>
      </c>
      <c r="D2" s="2" t="inlineStr">
        <is>
          <t>Sealed soil and concrete</t>
        </is>
      </c>
      <c r="E2" s="2" t="inlineStr">
        <is>
          <t>Shared mechanism</t>
        </is>
      </c>
      <c r="F2" s="2" t="inlineStr">
        <is>
          <t>Strong</t>
        </is>
      </c>
    </row>
    <row r="3">
      <c r="A3" s="2" t="inlineStr">
        <is>
          <t>CC-001</t>
        </is>
      </c>
      <c r="B3" s="2" t="inlineStr">
        <is>
          <t>CC-008</t>
        </is>
      </c>
      <c r="C3" s="2" t="inlineStr">
        <is>
          <t>T1</t>
        </is>
      </c>
      <c r="D3" s="2" t="inlineStr">
        <is>
          <t>Sealed soil and concrete</t>
        </is>
      </c>
      <c r="E3" s="2" t="inlineStr">
        <is>
          <t>Shared mechanism</t>
        </is>
      </c>
      <c r="F3" s="2" t="inlineStr">
        <is>
          <t>Strong</t>
        </is>
      </c>
    </row>
    <row r="4">
      <c r="A4" s="2" t="inlineStr">
        <is>
          <t>CC-002</t>
        </is>
      </c>
      <c r="B4" s="2" t="inlineStr">
        <is>
          <t>CC-008</t>
        </is>
      </c>
      <c r="C4" s="2" t="inlineStr">
        <is>
          <t>T1</t>
        </is>
      </c>
      <c r="D4" s="2" t="inlineStr">
        <is>
          <t>Sealed soil and concrete</t>
        </is>
      </c>
      <c r="E4" s="2" t="inlineStr">
        <is>
          <t>Shared mechanism</t>
        </is>
      </c>
      <c r="F4" s="2" t="inlineStr">
        <is>
          <t>Strong</t>
        </is>
      </c>
    </row>
    <row r="5">
      <c r="A5" s="2" t="inlineStr">
        <is>
          <t>CC-001</t>
        </is>
      </c>
      <c r="B5" s="2" t="inlineStr">
        <is>
          <t>CC-002</t>
        </is>
      </c>
      <c r="C5" s="2" t="inlineStr">
        <is>
          <t>T2</t>
        </is>
      </c>
      <c r="D5" s="2" t="inlineStr">
        <is>
          <t>Replanting as currency</t>
        </is>
      </c>
      <c r="E5" s="2" t="inlineStr">
        <is>
          <t>Shared mechanism</t>
        </is>
      </c>
      <c r="F5" s="2" t="inlineStr">
        <is>
          <t>Strong</t>
        </is>
      </c>
    </row>
    <row r="6">
      <c r="A6" s="2" t="inlineStr">
        <is>
          <t>CC-001</t>
        </is>
      </c>
      <c r="B6" s="2" t="inlineStr">
        <is>
          <t>CC-008</t>
        </is>
      </c>
      <c r="C6" s="2" t="inlineStr">
        <is>
          <t>T2</t>
        </is>
      </c>
      <c r="D6" s="2" t="inlineStr">
        <is>
          <t>Replanting as currency</t>
        </is>
      </c>
      <c r="E6" s="2" t="inlineStr">
        <is>
          <t>Shared mechanism</t>
        </is>
      </c>
      <c r="F6" s="2" t="inlineStr">
        <is>
          <t>Strong</t>
        </is>
      </c>
    </row>
    <row r="7">
      <c r="A7" s="2" t="inlineStr">
        <is>
          <t>CC-001</t>
        </is>
      </c>
      <c r="B7" s="2" t="inlineStr">
        <is>
          <t>CC-010</t>
        </is>
      </c>
      <c r="C7" s="2" t="inlineStr">
        <is>
          <t>T2</t>
        </is>
      </c>
      <c r="D7" s="2" t="inlineStr">
        <is>
          <t>Replanting as currency</t>
        </is>
      </c>
      <c r="E7" s="2" t="inlineStr">
        <is>
          <t>Shared mechanism</t>
        </is>
      </c>
      <c r="F7" s="2" t="inlineStr">
        <is>
          <t>Strong</t>
        </is>
      </c>
    </row>
    <row r="8">
      <c r="A8" s="2" t="inlineStr">
        <is>
          <t>CC-002</t>
        </is>
      </c>
      <c r="B8" s="2" t="inlineStr">
        <is>
          <t>CC-008</t>
        </is>
      </c>
      <c r="C8" s="2" t="inlineStr">
        <is>
          <t>T2</t>
        </is>
      </c>
      <c r="D8" s="2" t="inlineStr">
        <is>
          <t>Replanting as currency</t>
        </is>
      </c>
      <c r="E8" s="2" t="inlineStr">
        <is>
          <t>Shared mechanism</t>
        </is>
      </c>
      <c r="F8" s="2" t="inlineStr">
        <is>
          <t>Strong</t>
        </is>
      </c>
    </row>
    <row r="9">
      <c r="A9" s="2" t="inlineStr">
        <is>
          <t>CC-002</t>
        </is>
      </c>
      <c r="B9" s="2" t="inlineStr">
        <is>
          <t>CC-010</t>
        </is>
      </c>
      <c r="C9" s="2" t="inlineStr">
        <is>
          <t>T2</t>
        </is>
      </c>
      <c r="D9" s="2" t="inlineStr">
        <is>
          <t>Replanting as currency</t>
        </is>
      </c>
      <c r="E9" s="2" t="inlineStr">
        <is>
          <t>Shared mechanism</t>
        </is>
      </c>
      <c r="F9" s="2" t="inlineStr">
        <is>
          <t>Strong</t>
        </is>
      </c>
    </row>
    <row r="10">
      <c r="A10" s="2" t="inlineStr">
        <is>
          <t>CC-008</t>
        </is>
      </c>
      <c r="B10" s="2" t="inlineStr">
        <is>
          <t>CC-010</t>
        </is>
      </c>
      <c r="C10" s="2" t="inlineStr">
        <is>
          <t>T2</t>
        </is>
      </c>
      <c r="D10" s="2" t="inlineStr">
        <is>
          <t>Replanting as currency</t>
        </is>
      </c>
      <c r="E10" s="2" t="inlineStr">
        <is>
          <t>Shared mechanism</t>
        </is>
      </c>
      <c r="F10" s="2" t="inlineStr">
        <is>
          <t>Strong</t>
        </is>
      </c>
    </row>
    <row r="11">
      <c r="A11" s="2" t="inlineStr">
        <is>
          <t>CC-005</t>
        </is>
      </c>
      <c r="B11" s="2" t="inlineStr">
        <is>
          <t>CC-009</t>
        </is>
      </c>
      <c r="C11" s="2" t="inlineStr">
        <is>
          <t>T3</t>
        </is>
      </c>
      <c r="D11" s="2" t="inlineStr">
        <is>
          <t>Water chain: farm waste, sewage, sea, aquifer</t>
        </is>
      </c>
      <c r="E11" s="2" t="inlineStr">
        <is>
          <t>Shared cause</t>
        </is>
      </c>
      <c r="F11" s="2" t="inlineStr">
        <is>
          <t>Strong</t>
        </is>
      </c>
    </row>
    <row r="12">
      <c r="A12" s="2" t="inlineStr">
        <is>
          <t>CC-003</t>
        </is>
      </c>
      <c r="B12" s="2" t="inlineStr">
        <is>
          <t>CC-007</t>
        </is>
      </c>
      <c r="C12" s="2" t="inlineStr">
        <is>
          <t>T4</t>
        </is>
      </c>
      <c r="D12" s="2" t="inlineStr">
        <is>
          <t>Transport, air and climate</t>
        </is>
      </c>
      <c r="E12" s="2" t="inlineStr">
        <is>
          <t>Shared driver</t>
        </is>
      </c>
      <c r="F12" s="2" t="inlineStr">
        <is>
          <t>Strong</t>
        </is>
      </c>
    </row>
    <row r="13">
      <c r="A13" s="2" t="inlineStr">
        <is>
          <t>CC-003</t>
        </is>
      </c>
      <c r="B13" s="2" t="inlineStr">
        <is>
          <t>CC-008</t>
        </is>
      </c>
      <c r="C13" s="2" t="inlineStr">
        <is>
          <t>T4</t>
        </is>
      </c>
      <c r="D13" s="2" t="inlineStr">
        <is>
          <t>Transport, air and climate</t>
        </is>
      </c>
      <c r="E13" s="2" t="inlineStr">
        <is>
          <t>Shared driver</t>
        </is>
      </c>
      <c r="F13" s="2" t="inlineStr">
        <is>
          <t>Strong</t>
        </is>
      </c>
    </row>
    <row r="14">
      <c r="A14" s="2" t="inlineStr">
        <is>
          <t>CC-007</t>
        </is>
      </c>
      <c r="B14" s="2" t="inlineStr">
        <is>
          <t>CC-008</t>
        </is>
      </c>
      <c r="C14" s="2" t="inlineStr">
        <is>
          <t>T4</t>
        </is>
      </c>
      <c r="D14" s="2" t="inlineStr">
        <is>
          <t>Transport, air and climate</t>
        </is>
      </c>
      <c r="E14" s="2" t="inlineStr">
        <is>
          <t>Shared driver</t>
        </is>
      </c>
      <c r="F14" s="2" t="inlineStr">
        <is>
          <t>Strong</t>
        </is>
      </c>
    </row>
    <row r="15">
      <c r="A15" s="2" t="inlineStr">
        <is>
          <t>CC-004</t>
        </is>
      </c>
      <c r="B15" s="2" t="inlineStr">
        <is>
          <t>CC-002</t>
        </is>
      </c>
      <c r="C15" s="2" t="inlineStr">
        <is>
          <t>T5</t>
        </is>
      </c>
      <c r="D15" s="2" t="inlineStr">
        <is>
          <t>Waste and construction</t>
        </is>
      </c>
      <c r="E15" s="2" t="inlineStr">
        <is>
          <t>Shared material flow</t>
        </is>
      </c>
      <c r="F15" s="2" t="inlineStr">
        <is>
          <t>Weak (indicative)</t>
        </is>
      </c>
    </row>
    <row r="16">
      <c r="A16" s="2" t="inlineStr">
        <is>
          <t>CC-004</t>
        </is>
      </c>
      <c r="B16" s="2" t="inlineStr">
        <is>
          <t>CC-008</t>
        </is>
      </c>
      <c r="C16" s="2" t="inlineStr">
        <is>
          <t>T5</t>
        </is>
      </c>
      <c r="D16" s="2" t="inlineStr">
        <is>
          <t>Waste and construction</t>
        </is>
      </c>
      <c r="E16" s="2" t="inlineStr">
        <is>
          <t>Shared material flow</t>
        </is>
      </c>
      <c r="F16" s="2" t="inlineStr">
        <is>
          <t>Weak (indicative)</t>
        </is>
      </c>
    </row>
    <row r="17">
      <c r="A17" s="2" t="inlineStr">
        <is>
          <t>CC-002</t>
        </is>
      </c>
      <c r="B17" s="2" t="inlineStr">
        <is>
          <t>CC-008</t>
        </is>
      </c>
      <c r="C17" s="2" t="inlineStr">
        <is>
          <t>T5</t>
        </is>
      </c>
      <c r="D17" s="2" t="inlineStr">
        <is>
          <t>Waste and construction</t>
        </is>
      </c>
      <c r="E17" s="2" t="inlineStr">
        <is>
          <t>Shared material flow</t>
        </is>
      </c>
      <c r="F17" s="2" t="inlineStr">
        <is>
          <t>Weak (indicative)</t>
        </is>
      </c>
    </row>
    <row r="18">
      <c r="A18" s="2" t="inlineStr">
        <is>
          <t>CC-003</t>
        </is>
      </c>
      <c r="B18" s="2" t="inlineStr">
        <is>
          <t>CC-004</t>
        </is>
      </c>
      <c r="C18" s="2" t="inlineStr">
        <is>
          <t>T6</t>
        </is>
      </c>
      <c r="D18" s="2" t="inlineStr">
        <is>
          <t>Selective-metric pattern</t>
        </is>
      </c>
      <c r="E18" s="2" t="inlineStr">
        <is>
          <t>Rhetorical pattern</t>
        </is>
      </c>
      <c r="F18" s="2" t="inlineStr">
        <is>
          <t>Pattern, not causal</t>
        </is>
      </c>
    </row>
    <row r="19">
      <c r="A19" s="2" t="inlineStr">
        <is>
          <t>CC-003</t>
        </is>
      </c>
      <c r="B19" s="2" t="inlineStr">
        <is>
          <t>CC-007</t>
        </is>
      </c>
      <c r="C19" s="2" t="inlineStr">
        <is>
          <t>T6</t>
        </is>
      </c>
      <c r="D19" s="2" t="inlineStr">
        <is>
          <t>Selective-metric pattern</t>
        </is>
      </c>
      <c r="E19" s="2" t="inlineStr">
        <is>
          <t>Rhetorical pattern</t>
        </is>
      </c>
      <c r="F19" s="2" t="inlineStr">
        <is>
          <t>Pattern, not causal</t>
        </is>
      </c>
    </row>
    <row r="20">
      <c r="A20" s="2" t="inlineStr">
        <is>
          <t>CC-003</t>
        </is>
      </c>
      <c r="B20" s="2" t="inlineStr">
        <is>
          <t>CC-010</t>
        </is>
      </c>
      <c r="C20" s="2" t="inlineStr">
        <is>
          <t>T6</t>
        </is>
      </c>
      <c r="D20" s="2" t="inlineStr">
        <is>
          <t>Selective-metric pattern</t>
        </is>
      </c>
      <c r="E20" s="2" t="inlineStr">
        <is>
          <t>Rhetorical pattern</t>
        </is>
      </c>
      <c r="F20" s="2" t="inlineStr">
        <is>
          <t>Pattern, not causal</t>
        </is>
      </c>
    </row>
    <row r="21">
      <c r="A21" s="2" t="inlineStr">
        <is>
          <t>CC-004</t>
        </is>
      </c>
      <c r="B21" s="2" t="inlineStr">
        <is>
          <t>CC-007</t>
        </is>
      </c>
      <c r="C21" s="2" t="inlineStr">
        <is>
          <t>T6</t>
        </is>
      </c>
      <c r="D21" s="2" t="inlineStr">
        <is>
          <t>Selective-metric pattern</t>
        </is>
      </c>
      <c r="E21" s="2" t="inlineStr">
        <is>
          <t>Rhetorical pattern</t>
        </is>
      </c>
      <c r="F21" s="2" t="inlineStr">
        <is>
          <t>Pattern, not causal</t>
        </is>
      </c>
    </row>
    <row r="22">
      <c r="A22" s="2" t="inlineStr">
        <is>
          <t>CC-004</t>
        </is>
      </c>
      <c r="B22" s="2" t="inlineStr">
        <is>
          <t>CC-010</t>
        </is>
      </c>
      <c r="C22" s="2" t="inlineStr">
        <is>
          <t>T6</t>
        </is>
      </c>
      <c r="D22" s="2" t="inlineStr">
        <is>
          <t>Selective-metric pattern</t>
        </is>
      </c>
      <c r="E22" s="2" t="inlineStr">
        <is>
          <t>Rhetorical pattern</t>
        </is>
      </c>
      <c r="F22" s="2" t="inlineStr">
        <is>
          <t>Pattern, not causal</t>
        </is>
      </c>
    </row>
    <row r="23">
      <c r="A23" s="2" t="inlineStr">
        <is>
          <t>CC-007</t>
        </is>
      </c>
      <c r="B23" s="2" t="inlineStr">
        <is>
          <t>CC-010</t>
        </is>
      </c>
      <c r="C23" s="2" t="inlineStr">
        <is>
          <t>T6</t>
        </is>
      </c>
      <c r="D23" s="2" t="inlineStr">
        <is>
          <t>Selective-metric pattern</t>
        </is>
      </c>
      <c r="E23" s="2" t="inlineStr">
        <is>
          <t>Rhetorical pattern</t>
        </is>
      </c>
      <c r="F23" s="2" t="inlineStr">
        <is>
          <t>Pattern, not causal</t>
        </is>
      </c>
    </row>
    <row r="24">
      <c r="A24" s="2" t="inlineStr">
        <is>
          <t>CC-003</t>
        </is>
      </c>
      <c r="B24" s="2" t="inlineStr">
        <is>
          <t>CC-011</t>
        </is>
      </c>
      <c r="C24" s="2" t="inlineStr">
        <is>
          <t>T7</t>
        </is>
      </c>
      <c r="D24" s="2" t="inlineStr">
        <is>
          <t>2030 carbon target</t>
        </is>
      </c>
      <c r="E24" s="2" t="inlineStr">
        <is>
          <t>Shared target</t>
        </is>
      </c>
      <c r="F24" s="2" t="inlineStr">
        <is>
          <t>Strong</t>
        </is>
      </c>
    </row>
    <row r="25">
      <c r="A25" s="2" t="inlineStr">
        <is>
          <t>CC-001</t>
        </is>
      </c>
      <c r="B25" s="2" t="inlineStr">
        <is>
          <t>CC-012</t>
        </is>
      </c>
      <c r="C25" s="2" t="inlineStr">
        <is>
          <t>T1</t>
        </is>
      </c>
      <c r="D25" s="2" t="inlineStr">
        <is>
          <t>Sealed soil and concrete</t>
        </is>
      </c>
      <c r="E25" s="2" t="inlineStr">
        <is>
          <t>Shared mechanism</t>
        </is>
      </c>
      <c r="F25" s="2" t="inlineStr">
        <is>
          <t>Strong</t>
        </is>
      </c>
    </row>
    <row r="26">
      <c r="A26" s="2" t="inlineStr">
        <is>
          <t>CC-001</t>
        </is>
      </c>
      <c r="B26" s="2" t="inlineStr">
        <is>
          <t>CC-019</t>
        </is>
      </c>
      <c r="C26" s="2" t="inlineStr">
        <is>
          <t>T1</t>
        </is>
      </c>
      <c r="D26" s="2" t="inlineStr">
        <is>
          <t>Sealed soil and concrete</t>
        </is>
      </c>
      <c r="E26" s="2" t="inlineStr">
        <is>
          <t>Shared mechanism</t>
        </is>
      </c>
      <c r="F26" s="2" t="inlineStr">
        <is>
          <t>Strong</t>
        </is>
      </c>
    </row>
    <row r="27">
      <c r="A27" s="2" t="inlineStr">
        <is>
          <t>CC-002</t>
        </is>
      </c>
      <c r="B27" s="2" t="inlineStr">
        <is>
          <t>CC-012</t>
        </is>
      </c>
      <c r="C27" s="2" t="inlineStr">
        <is>
          <t>T1</t>
        </is>
      </c>
      <c r="D27" s="2" t="inlineStr">
        <is>
          <t>Sealed soil and concrete</t>
        </is>
      </c>
      <c r="E27" s="2" t="inlineStr">
        <is>
          <t>Shared mechanism</t>
        </is>
      </c>
      <c r="F27" s="2" t="inlineStr">
        <is>
          <t>Strong</t>
        </is>
      </c>
    </row>
    <row r="28">
      <c r="A28" s="2" t="inlineStr">
        <is>
          <t>CC-002</t>
        </is>
      </c>
      <c r="B28" s="2" t="inlineStr">
        <is>
          <t>CC-019</t>
        </is>
      </c>
      <c r="C28" s="2" t="inlineStr">
        <is>
          <t>T1</t>
        </is>
      </c>
      <c r="D28" s="2" t="inlineStr">
        <is>
          <t>Sealed soil and concrete</t>
        </is>
      </c>
      <c r="E28" s="2" t="inlineStr">
        <is>
          <t>Shared mechanism</t>
        </is>
      </c>
      <c r="F28" s="2" t="inlineStr">
        <is>
          <t>Strong</t>
        </is>
      </c>
    </row>
    <row r="29">
      <c r="A29" s="2" t="inlineStr">
        <is>
          <t>CC-008</t>
        </is>
      </c>
      <c r="B29" s="2" t="inlineStr">
        <is>
          <t>CC-012</t>
        </is>
      </c>
      <c r="C29" s="2" t="inlineStr">
        <is>
          <t>T1</t>
        </is>
      </c>
      <c r="D29" s="2" t="inlineStr">
        <is>
          <t>Sealed soil and concrete</t>
        </is>
      </c>
      <c r="E29" s="2" t="inlineStr">
        <is>
          <t>Shared mechanism</t>
        </is>
      </c>
      <c r="F29" s="2" t="inlineStr">
        <is>
          <t>Strong</t>
        </is>
      </c>
    </row>
    <row r="30">
      <c r="A30" s="2" t="inlineStr">
        <is>
          <t>CC-008</t>
        </is>
      </c>
      <c r="B30" s="2" t="inlineStr">
        <is>
          <t>CC-019</t>
        </is>
      </c>
      <c r="C30" s="2" t="inlineStr">
        <is>
          <t>T1</t>
        </is>
      </c>
      <c r="D30" s="2" t="inlineStr">
        <is>
          <t>Sealed soil and concrete</t>
        </is>
      </c>
      <c r="E30" s="2" t="inlineStr">
        <is>
          <t>Shared mechanism</t>
        </is>
      </c>
      <c r="F30" s="2" t="inlineStr">
        <is>
          <t>Strong</t>
        </is>
      </c>
    </row>
    <row r="31">
      <c r="A31" s="2" t="inlineStr">
        <is>
          <t>CC-012</t>
        </is>
      </c>
      <c r="B31" s="2" t="inlineStr">
        <is>
          <t>CC-019</t>
        </is>
      </c>
      <c r="C31" s="2" t="inlineStr">
        <is>
          <t>T1</t>
        </is>
      </c>
      <c r="D31" s="2" t="inlineStr">
        <is>
          <t>Sealed soil and concrete</t>
        </is>
      </c>
      <c r="E31" s="2" t="inlineStr">
        <is>
          <t>Shared mechanism</t>
        </is>
      </c>
      <c r="F31" s="2" t="inlineStr">
        <is>
          <t>Strong</t>
        </is>
      </c>
    </row>
    <row r="32">
      <c r="A32" s="2" t="inlineStr">
        <is>
          <t>CC-003</t>
        </is>
      </c>
      <c r="B32" s="2" t="inlineStr">
        <is>
          <t>CC-016</t>
        </is>
      </c>
      <c r="C32" s="2" t="inlineStr">
        <is>
          <t>T4</t>
        </is>
      </c>
      <c r="D32" s="2" t="inlineStr">
        <is>
          <t>Transport, air and climate</t>
        </is>
      </c>
      <c r="E32" s="2" t="inlineStr">
        <is>
          <t>Shared driver</t>
        </is>
      </c>
      <c r="F32" s="2" t="inlineStr">
        <is>
          <t>Strong</t>
        </is>
      </c>
    </row>
    <row r="33">
      <c r="A33" s="2" t="inlineStr">
        <is>
          <t>CC-003</t>
        </is>
      </c>
      <c r="B33" s="2" t="inlineStr">
        <is>
          <t>CC-021</t>
        </is>
      </c>
      <c r="C33" s="2" t="inlineStr">
        <is>
          <t>T4</t>
        </is>
      </c>
      <c r="D33" s="2" t="inlineStr">
        <is>
          <t>Transport, air and climate</t>
        </is>
      </c>
      <c r="E33" s="2" t="inlineStr">
        <is>
          <t>Shared driver</t>
        </is>
      </c>
      <c r="F33" s="2" t="inlineStr">
        <is>
          <t>Strong</t>
        </is>
      </c>
    </row>
    <row r="34">
      <c r="A34" s="2" t="inlineStr">
        <is>
          <t>CC-007</t>
        </is>
      </c>
      <c r="B34" s="2" t="inlineStr">
        <is>
          <t>CC-016</t>
        </is>
      </c>
      <c r="C34" s="2" t="inlineStr">
        <is>
          <t>T4</t>
        </is>
      </c>
      <c r="D34" s="2" t="inlineStr">
        <is>
          <t>Transport, air and climate</t>
        </is>
      </c>
      <c r="E34" s="2" t="inlineStr">
        <is>
          <t>Shared driver</t>
        </is>
      </c>
      <c r="F34" s="2" t="inlineStr">
        <is>
          <t>Strong</t>
        </is>
      </c>
    </row>
    <row r="35">
      <c r="A35" s="2" t="inlineStr">
        <is>
          <t>CC-007</t>
        </is>
      </c>
      <c r="B35" s="2" t="inlineStr">
        <is>
          <t>CC-021</t>
        </is>
      </c>
      <c r="C35" s="2" t="inlineStr">
        <is>
          <t>T4</t>
        </is>
      </c>
      <c r="D35" s="2" t="inlineStr">
        <is>
          <t>Transport, air and climate</t>
        </is>
      </c>
      <c r="E35" s="2" t="inlineStr">
        <is>
          <t>Shared driver</t>
        </is>
      </c>
      <c r="F35" s="2" t="inlineStr">
        <is>
          <t>Strong</t>
        </is>
      </c>
    </row>
    <row r="36">
      <c r="A36" s="2" t="inlineStr">
        <is>
          <t>CC-008</t>
        </is>
      </c>
      <c r="B36" s="2" t="inlineStr">
        <is>
          <t>CC-016</t>
        </is>
      </c>
      <c r="C36" s="2" t="inlineStr">
        <is>
          <t>T4</t>
        </is>
      </c>
      <c r="D36" s="2" t="inlineStr">
        <is>
          <t>Transport, air and climate</t>
        </is>
      </c>
      <c r="E36" s="2" t="inlineStr">
        <is>
          <t>Shared driver</t>
        </is>
      </c>
      <c r="F36" s="2" t="inlineStr">
        <is>
          <t>Strong</t>
        </is>
      </c>
    </row>
    <row r="37">
      <c r="A37" s="2" t="inlineStr">
        <is>
          <t>CC-008</t>
        </is>
      </c>
      <c r="B37" s="2" t="inlineStr">
        <is>
          <t>CC-021</t>
        </is>
      </c>
      <c r="C37" s="2" t="inlineStr">
        <is>
          <t>T4</t>
        </is>
      </c>
      <c r="D37" s="2" t="inlineStr">
        <is>
          <t>Transport, air and climate</t>
        </is>
      </c>
      <c r="E37" s="2" t="inlineStr">
        <is>
          <t>Shared driver</t>
        </is>
      </c>
      <c r="F37" s="2" t="inlineStr">
        <is>
          <t>Strong</t>
        </is>
      </c>
    </row>
    <row r="38">
      <c r="A38" s="2" t="inlineStr">
        <is>
          <t>CC-016</t>
        </is>
      </c>
      <c r="B38" s="2" t="inlineStr">
        <is>
          <t>CC-021</t>
        </is>
      </c>
      <c r="C38" s="2" t="inlineStr">
        <is>
          <t>T4</t>
        </is>
      </c>
      <c r="D38" s="2" t="inlineStr">
        <is>
          <t>Transport, air and climate</t>
        </is>
      </c>
      <c r="E38" s="2" t="inlineStr">
        <is>
          <t>Shared driver</t>
        </is>
      </c>
      <c r="F38" s="2" t="inlineStr">
        <is>
          <t>Strong</t>
        </is>
      </c>
    </row>
    <row r="39">
      <c r="A39" s="2" t="inlineStr">
        <is>
          <t>CC-004</t>
        </is>
      </c>
      <c r="B39" s="2" t="inlineStr">
        <is>
          <t>CC-017</t>
        </is>
      </c>
      <c r="C39" s="2" t="inlineStr">
        <is>
          <t>T5</t>
        </is>
      </c>
      <c r="D39" s="2" t="inlineStr">
        <is>
          <t>Waste and construction</t>
        </is>
      </c>
      <c r="E39" s="2" t="inlineStr">
        <is>
          <t>Shared material flow</t>
        </is>
      </c>
      <c r="F39" s="2" t="inlineStr">
        <is>
          <t>Weak (indicative)</t>
        </is>
      </c>
    </row>
    <row r="40">
      <c r="A40" s="2" t="inlineStr">
        <is>
          <t>CC-002</t>
        </is>
      </c>
      <c r="B40" s="2" t="inlineStr">
        <is>
          <t>CC-017</t>
        </is>
      </c>
      <c r="C40" s="2" t="inlineStr">
        <is>
          <t>T5</t>
        </is>
      </c>
      <c r="D40" s="2" t="inlineStr">
        <is>
          <t>Waste and construction</t>
        </is>
      </c>
      <c r="E40" s="2" t="inlineStr">
        <is>
          <t>Shared material flow</t>
        </is>
      </c>
      <c r="F40" s="2" t="inlineStr">
        <is>
          <t>Weak (indicative)</t>
        </is>
      </c>
    </row>
    <row r="41">
      <c r="A41" s="2" t="inlineStr">
        <is>
          <t>CC-008</t>
        </is>
      </c>
      <c r="B41" s="2" t="inlineStr">
        <is>
          <t>CC-017</t>
        </is>
      </c>
      <c r="C41" s="2" t="inlineStr">
        <is>
          <t>T5</t>
        </is>
      </c>
      <c r="D41" s="2" t="inlineStr">
        <is>
          <t>Waste and construction</t>
        </is>
      </c>
      <c r="E41" s="2" t="inlineStr">
        <is>
          <t>Shared material flow</t>
        </is>
      </c>
      <c r="F41" s="2" t="inlineStr">
        <is>
          <t>Weak (indicative)</t>
        </is>
      </c>
    </row>
    <row r="42">
      <c r="A42" s="2" t="inlineStr">
        <is>
          <t>CC-013</t>
        </is>
      </c>
      <c r="B42" s="2" t="inlineStr">
        <is>
          <t>CC-014</t>
        </is>
      </c>
      <c r="C42" s="2" t="inlineStr">
        <is>
          <t>T8</t>
        </is>
      </c>
      <c r="D42" s="2" t="inlineStr">
        <is>
          <t>Planning, housing and land take</t>
        </is>
      </c>
      <c r="E42" s="2" t="inlineStr">
        <is>
          <t>Shared driver</t>
        </is>
      </c>
      <c r="F42" s="2" t="inlineStr">
        <is>
          <t>Strong</t>
        </is>
      </c>
    </row>
    <row r="43">
      <c r="A43" s="2" t="inlineStr">
        <is>
          <t>CC-013</t>
        </is>
      </c>
      <c r="B43" s="2" t="inlineStr">
        <is>
          <t>CC-017</t>
        </is>
      </c>
      <c r="C43" s="2" t="inlineStr">
        <is>
          <t>T8</t>
        </is>
      </c>
      <c r="D43" s="2" t="inlineStr">
        <is>
          <t>Planning, housing and land take</t>
        </is>
      </c>
      <c r="E43" s="2" t="inlineStr">
        <is>
          <t>Shared driver</t>
        </is>
      </c>
      <c r="F43" s="2" t="inlineStr">
        <is>
          <t>Strong</t>
        </is>
      </c>
    </row>
    <row r="44">
      <c r="A44" s="2" t="inlineStr">
        <is>
          <t>CC-013</t>
        </is>
      </c>
      <c r="B44" s="2" t="inlineStr">
        <is>
          <t>CC-018</t>
        </is>
      </c>
      <c r="C44" s="2" t="inlineStr">
        <is>
          <t>T8</t>
        </is>
      </c>
      <c r="D44" s="2" t="inlineStr">
        <is>
          <t>Planning, housing and land take</t>
        </is>
      </c>
      <c r="E44" s="2" t="inlineStr">
        <is>
          <t>Shared driver</t>
        </is>
      </c>
      <c r="F44" s="2" t="inlineStr">
        <is>
          <t>Strong</t>
        </is>
      </c>
    </row>
    <row r="45">
      <c r="A45" s="2" t="inlineStr">
        <is>
          <t>CC-013</t>
        </is>
      </c>
      <c r="B45" s="2" t="inlineStr">
        <is>
          <t>CC-019</t>
        </is>
      </c>
      <c r="C45" s="2" t="inlineStr">
        <is>
          <t>T8</t>
        </is>
      </c>
      <c r="D45" s="2" t="inlineStr">
        <is>
          <t>Planning, housing and land take</t>
        </is>
      </c>
      <c r="E45" s="2" t="inlineStr">
        <is>
          <t>Shared driver</t>
        </is>
      </c>
      <c r="F45" s="2" t="inlineStr">
        <is>
          <t>Strong</t>
        </is>
      </c>
    </row>
    <row r="46">
      <c r="A46" s="2" t="inlineStr">
        <is>
          <t>CC-014</t>
        </is>
      </c>
      <c r="B46" s="2" t="inlineStr">
        <is>
          <t>CC-017</t>
        </is>
      </c>
      <c r="C46" s="2" t="inlineStr">
        <is>
          <t>T8</t>
        </is>
      </c>
      <c r="D46" s="2" t="inlineStr">
        <is>
          <t>Planning, housing and land take</t>
        </is>
      </c>
      <c r="E46" s="2" t="inlineStr">
        <is>
          <t>Shared driver</t>
        </is>
      </c>
      <c r="F46" s="2" t="inlineStr">
        <is>
          <t>Strong</t>
        </is>
      </c>
    </row>
    <row r="47">
      <c r="A47" s="2" t="inlineStr">
        <is>
          <t>CC-014</t>
        </is>
      </c>
      <c r="B47" s="2" t="inlineStr">
        <is>
          <t>CC-018</t>
        </is>
      </c>
      <c r="C47" s="2" t="inlineStr">
        <is>
          <t>T8</t>
        </is>
      </c>
      <c r="D47" s="2" t="inlineStr">
        <is>
          <t>Planning, housing and land take</t>
        </is>
      </c>
      <c r="E47" s="2" t="inlineStr">
        <is>
          <t>Shared driver</t>
        </is>
      </c>
      <c r="F47" s="2" t="inlineStr">
        <is>
          <t>Strong</t>
        </is>
      </c>
    </row>
    <row r="48">
      <c r="A48" s="2" t="inlineStr">
        <is>
          <t>CC-014</t>
        </is>
      </c>
      <c r="B48" s="2" t="inlineStr">
        <is>
          <t>CC-019</t>
        </is>
      </c>
      <c r="C48" s="2" t="inlineStr">
        <is>
          <t>T8</t>
        </is>
      </c>
      <c r="D48" s="2" t="inlineStr">
        <is>
          <t>Planning, housing and land take</t>
        </is>
      </c>
      <c r="E48" s="2" t="inlineStr">
        <is>
          <t>Shared driver</t>
        </is>
      </c>
      <c r="F48" s="2" t="inlineStr">
        <is>
          <t>Strong</t>
        </is>
      </c>
    </row>
    <row r="49">
      <c r="A49" s="2" t="inlineStr">
        <is>
          <t>CC-017</t>
        </is>
      </c>
      <c r="B49" s="2" t="inlineStr">
        <is>
          <t>CC-018</t>
        </is>
      </c>
      <c r="C49" s="2" t="inlineStr">
        <is>
          <t>T8</t>
        </is>
      </c>
      <c r="D49" s="2" t="inlineStr">
        <is>
          <t>Planning, housing and land take</t>
        </is>
      </c>
      <c r="E49" s="2" t="inlineStr">
        <is>
          <t>Shared driver</t>
        </is>
      </c>
      <c r="F49" s="2" t="inlineStr">
        <is>
          <t>Strong</t>
        </is>
      </c>
    </row>
    <row r="50">
      <c r="A50" s="2" t="inlineStr">
        <is>
          <t>CC-017</t>
        </is>
      </c>
      <c r="B50" s="2" t="inlineStr">
        <is>
          <t>CC-019</t>
        </is>
      </c>
      <c r="C50" s="2" t="inlineStr">
        <is>
          <t>T8</t>
        </is>
      </c>
      <c r="D50" s="2" t="inlineStr">
        <is>
          <t>Planning, housing and land take</t>
        </is>
      </c>
      <c r="E50" s="2" t="inlineStr">
        <is>
          <t>Shared driver</t>
        </is>
      </c>
      <c r="F50" s="2" t="inlineStr">
        <is>
          <t>Strong</t>
        </is>
      </c>
    </row>
    <row r="51">
      <c r="A51" s="2" t="inlineStr">
        <is>
          <t>CC-018</t>
        </is>
      </c>
      <c r="B51" s="2" t="inlineStr">
        <is>
          <t>CC-019</t>
        </is>
      </c>
      <c r="C51" s="2" t="inlineStr">
        <is>
          <t>T8</t>
        </is>
      </c>
      <c r="D51" s="2" t="inlineStr">
        <is>
          <t>Planning, housing and land take</t>
        </is>
      </c>
      <c r="E51" s="2" t="inlineStr">
        <is>
          <t>Shared driver</t>
        </is>
      </c>
      <c r="F51" s="2" t="inlineStr">
        <is>
          <t>Strong</t>
        </is>
      </c>
    </row>
    <row r="52">
      <c r="A52" s="2" t="inlineStr">
        <is>
          <t>CC-007</t>
        </is>
      </c>
      <c r="B52" s="2" t="inlineStr">
        <is>
          <t>CC-020</t>
        </is>
      </c>
      <c r="C52" s="2" t="inlineStr">
        <is>
          <t>T9</t>
        </is>
      </c>
      <c r="D52" s="2" t="inlineStr">
        <is>
          <t>Compliance-not-health pattern</t>
        </is>
      </c>
      <c r="E52" s="2" t="inlineStr">
        <is>
          <t>Rhetorical pattern</t>
        </is>
      </c>
      <c r="F52" s="2" t="inlineStr">
        <is>
          <t>Pattern, not causal</t>
        </is>
      </c>
    </row>
    <row r="53">
      <c r="A53" s="2" t="inlineStr">
        <is>
          <t>CC-008</t>
        </is>
      </c>
      <c r="B53" s="2" t="inlineStr">
        <is>
          <t>CC-056</t>
        </is>
      </c>
      <c r="C53" s="2" t="inlineStr">
        <is>
          <t>T2</t>
        </is>
      </c>
      <c r="D53" s="2" t="inlineStr">
        <is>
          <t>Replanting as currency</t>
        </is>
      </c>
      <c r="E53" s="2" t="inlineStr">
        <is>
          <t>Shared mechanism</t>
        </is>
      </c>
      <c r="F53" s="2" t="inlineStr">
        <is>
          <t>Weak (indicative)</t>
        </is>
      </c>
    </row>
    <row r="54">
      <c r="A54" s="2" t="inlineStr">
        <is>
          <t>CC-010</t>
        </is>
      </c>
      <c r="B54" s="2" t="inlineStr">
        <is>
          <t>CC-057</t>
        </is>
      </c>
      <c r="C54" s="2" t="inlineStr">
        <is>
          <t>T2</t>
        </is>
      </c>
      <c r="D54" s="2" t="inlineStr">
        <is>
          <t>Replanting as currency</t>
        </is>
      </c>
      <c r="E54" s="2" t="inlineStr">
        <is>
          <t>Shared mechanism</t>
        </is>
      </c>
      <c r="F54" s="2" t="inlineStr">
        <is>
          <t>Weak (indicative)</t>
        </is>
      </c>
    </row>
    <row r="55">
      <c r="A55" s="2" t="inlineStr">
        <is>
          <t>CC-056</t>
        </is>
      </c>
      <c r="B55" s="2" t="inlineStr">
        <is>
          <t>CC-057</t>
        </is>
      </c>
      <c r="C55" s="2" t="inlineStr">
        <is>
          <t>T2</t>
        </is>
      </c>
      <c r="D55" s="2" t="inlineStr">
        <is>
          <t>Replanting as currency</t>
        </is>
      </c>
      <c r="E55" s="2" t="inlineStr">
        <is>
          <t>Shared mechanism</t>
        </is>
      </c>
      <c r="F55" s="2" t="inlineStr">
        <is>
          <t>Weak (indicative)</t>
        </is>
      </c>
    </row>
    <row r="56">
      <c r="A56" s="2" t="inlineStr">
        <is>
          <t>CC-010</t>
        </is>
      </c>
      <c r="B56" s="2" t="inlineStr">
        <is>
          <t>CC-054</t>
        </is>
      </c>
      <c r="C56" s="2" t="inlineStr">
        <is>
          <t>T2</t>
        </is>
      </c>
      <c r="D56" s="2" t="inlineStr">
        <is>
          <t>Replanting as currency</t>
        </is>
      </c>
      <c r="E56" s="2" t="inlineStr">
        <is>
          <t>Shared mechanism</t>
        </is>
      </c>
      <c r="F56" s="2" t="inlineStr">
        <is>
          <t>Weak (indicative)</t>
        </is>
      </c>
    </row>
    <row r="57">
      <c r="A57" s="2" t="inlineStr">
        <is>
          <t>CC-005</t>
        </is>
      </c>
      <c r="B57" s="2" t="inlineStr">
        <is>
          <t>CC-041</t>
        </is>
      </c>
      <c r="C57" s="2" t="inlineStr">
        <is>
          <t>T3</t>
        </is>
      </c>
      <c r="D57" s="2" t="inlineStr">
        <is>
          <t>Water chain: farm waste, sewage, sea, aquifer</t>
        </is>
      </c>
      <c r="E57" s="2" t="inlineStr">
        <is>
          <t>Shared cause</t>
        </is>
      </c>
      <c r="F57" s="2" t="inlineStr">
        <is>
          <t>Weak (indicative)</t>
        </is>
      </c>
    </row>
    <row r="58">
      <c r="A58" s="2" t="inlineStr">
        <is>
          <t>CC-005</t>
        </is>
      </c>
      <c r="B58" s="2" t="inlineStr">
        <is>
          <t>CC-042</t>
        </is>
      </c>
      <c r="C58" s="2" t="inlineStr">
        <is>
          <t>T3</t>
        </is>
      </c>
      <c r="D58" s="2" t="inlineStr">
        <is>
          <t>Water chain: farm waste, sewage, sea, aquifer</t>
        </is>
      </c>
      <c r="E58" s="2" t="inlineStr">
        <is>
          <t>Shared cause</t>
        </is>
      </c>
      <c r="F58" s="2" t="inlineStr">
        <is>
          <t>Weak (indicative)</t>
        </is>
      </c>
    </row>
    <row r="59">
      <c r="A59" s="2" t="inlineStr">
        <is>
          <t>CC-005</t>
        </is>
      </c>
      <c r="B59" s="2" t="inlineStr">
        <is>
          <t>CC-043</t>
        </is>
      </c>
      <c r="C59" s="2" t="inlineStr">
        <is>
          <t>T3</t>
        </is>
      </c>
      <c r="D59" s="2" t="inlineStr">
        <is>
          <t>Water chain: farm waste, sewage, sea, aquifer</t>
        </is>
      </c>
      <c r="E59" s="2" t="inlineStr">
        <is>
          <t>Shared cause</t>
        </is>
      </c>
      <c r="F59" s="2" t="inlineStr">
        <is>
          <t>Weak (indicative)</t>
        </is>
      </c>
    </row>
    <row r="60">
      <c r="A60" s="2" t="inlineStr">
        <is>
          <t>CC-009</t>
        </is>
      </c>
      <c r="B60" s="2" t="inlineStr">
        <is>
          <t>CC-047</t>
        </is>
      </c>
      <c r="C60" s="2" t="inlineStr">
        <is>
          <t>T3</t>
        </is>
      </c>
      <c r="D60" s="2" t="inlineStr">
        <is>
          <t>Water chain: farm waste, sewage, sea, aquifer</t>
        </is>
      </c>
      <c r="E60" s="2" t="inlineStr">
        <is>
          <t>Shared cause</t>
        </is>
      </c>
      <c r="F60" s="2" t="inlineStr">
        <is>
          <t>Weak (indicative)</t>
        </is>
      </c>
    </row>
    <row r="61">
      <c r="A61" s="2" t="inlineStr">
        <is>
          <t>CC-009</t>
        </is>
      </c>
      <c r="B61" s="2" t="inlineStr">
        <is>
          <t>CC-039</t>
        </is>
      </c>
      <c r="C61" s="2" t="inlineStr">
        <is>
          <t>T3</t>
        </is>
      </c>
      <c r="D61" s="2" t="inlineStr">
        <is>
          <t>Water chain: farm waste, sewage, sea, aquifer</t>
        </is>
      </c>
      <c r="E61" s="2" t="inlineStr">
        <is>
          <t>Shared cause</t>
        </is>
      </c>
      <c r="F61" s="2" t="inlineStr">
        <is>
          <t>Weak (indicative)</t>
        </is>
      </c>
    </row>
    <row r="62">
      <c r="A62" s="2" t="inlineStr">
        <is>
          <t>CC-008</t>
        </is>
      </c>
      <c r="B62" s="2" t="inlineStr">
        <is>
          <t>CC-069</t>
        </is>
      </c>
      <c r="C62" s="2" t="inlineStr">
        <is>
          <t>T4</t>
        </is>
      </c>
      <c r="D62" s="2" t="inlineStr">
        <is>
          <t>Transport, air and climate</t>
        </is>
      </c>
      <c r="E62" s="2" t="inlineStr">
        <is>
          <t>Shared driver</t>
        </is>
      </c>
      <c r="F62" s="2" t="inlineStr">
        <is>
          <t>Weak (indicative)</t>
        </is>
      </c>
    </row>
    <row r="63">
      <c r="A63" s="2" t="inlineStr">
        <is>
          <t>CC-008</t>
        </is>
      </c>
      <c r="B63" s="2" t="inlineStr">
        <is>
          <t>CC-076</t>
        </is>
      </c>
      <c r="C63" s="2" t="inlineStr">
        <is>
          <t>T4</t>
        </is>
      </c>
      <c r="D63" s="2" t="inlineStr">
        <is>
          <t>Transport, air and climate</t>
        </is>
      </c>
      <c r="E63" s="2" t="inlineStr">
        <is>
          <t>Shared driver</t>
        </is>
      </c>
      <c r="F63" s="2" t="inlineStr">
        <is>
          <t>Weak (indicative)</t>
        </is>
      </c>
    </row>
    <row r="64">
      <c r="A64" s="2" t="inlineStr">
        <is>
          <t>CC-008</t>
        </is>
      </c>
      <c r="B64" s="2" t="inlineStr">
        <is>
          <t>CC-072</t>
        </is>
      </c>
      <c r="C64" s="2" t="inlineStr">
        <is>
          <t>T4</t>
        </is>
      </c>
      <c r="D64" s="2" t="inlineStr">
        <is>
          <t>Transport, air and climate</t>
        </is>
      </c>
      <c r="E64" s="2" t="inlineStr">
        <is>
          <t>Shared driver</t>
        </is>
      </c>
      <c r="F64" s="2" t="inlineStr">
        <is>
          <t>Weak (indicative)</t>
        </is>
      </c>
    </row>
    <row r="65">
      <c r="A65" s="2" t="inlineStr">
        <is>
          <t>CC-007</t>
        </is>
      </c>
      <c r="B65" s="2" t="inlineStr">
        <is>
          <t>CC-035</t>
        </is>
      </c>
      <c r="C65" s="2" t="inlineStr">
        <is>
          <t>T4</t>
        </is>
      </c>
      <c r="D65" s="2" t="inlineStr">
        <is>
          <t>Transport, air and climate</t>
        </is>
      </c>
      <c r="E65" s="2" t="inlineStr">
        <is>
          <t>Shared driver</t>
        </is>
      </c>
      <c r="F65" s="2" t="inlineStr">
        <is>
          <t>Weak (indicative)</t>
        </is>
      </c>
    </row>
    <row r="66">
      <c r="A66" s="2" t="inlineStr">
        <is>
          <t>CC-004</t>
        </is>
      </c>
      <c r="B66" s="2" t="inlineStr">
        <is>
          <t>CC-081</t>
        </is>
      </c>
      <c r="C66" s="2" t="inlineStr">
        <is>
          <t>T5</t>
        </is>
      </c>
      <c r="D66" s="2" t="inlineStr">
        <is>
          <t>Waste and construction</t>
        </is>
      </c>
      <c r="E66" s="2" t="inlineStr">
        <is>
          <t>Shared material flow</t>
        </is>
      </c>
      <c r="F66" s="2" t="inlineStr">
        <is>
          <t>Weak (indicative)</t>
        </is>
      </c>
    </row>
    <row r="67">
      <c r="A67" s="2" t="inlineStr">
        <is>
          <t>CC-004</t>
        </is>
      </c>
      <c r="B67" s="2" t="inlineStr">
        <is>
          <t>CC-079</t>
        </is>
      </c>
      <c r="C67" s="2" t="inlineStr">
        <is>
          <t>T5</t>
        </is>
      </c>
      <c r="D67" s="2" t="inlineStr">
        <is>
          <t>Waste and construction</t>
        </is>
      </c>
      <c r="E67" s="2" t="inlineStr">
        <is>
          <t>Shared material flow</t>
        </is>
      </c>
      <c r="F67" s="2" t="inlineStr">
        <is>
          <t>Weak (indicative)</t>
        </is>
      </c>
    </row>
    <row r="68">
      <c r="A68" s="2" t="inlineStr">
        <is>
          <t>CC-017</t>
        </is>
      </c>
      <c r="B68" s="2" t="inlineStr">
        <is>
          <t>CC-063</t>
        </is>
      </c>
      <c r="C68" s="2" t="inlineStr">
        <is>
          <t>T5</t>
        </is>
      </c>
      <c r="D68" s="2" t="inlineStr">
        <is>
          <t>Waste and construction</t>
        </is>
      </c>
      <c r="E68" s="2" t="inlineStr">
        <is>
          <t>Shared material flow</t>
        </is>
      </c>
      <c r="F68" s="2" t="inlineStr">
        <is>
          <t>Weak (indicative)</t>
        </is>
      </c>
    </row>
    <row r="69">
      <c r="A69" s="2" t="inlineStr">
        <is>
          <t>CC-063</t>
        </is>
      </c>
      <c r="B69" s="2" t="inlineStr">
        <is>
          <t>CC-082</t>
        </is>
      </c>
      <c r="C69" s="2" t="inlineStr">
        <is>
          <t>T5</t>
        </is>
      </c>
      <c r="D69" s="2" t="inlineStr">
        <is>
          <t>Waste and construction</t>
        </is>
      </c>
      <c r="E69" s="2" t="inlineStr">
        <is>
          <t>Shared material flow</t>
        </is>
      </c>
      <c r="F69" s="2" t="inlineStr">
        <is>
          <t>Weak (indicative)</t>
        </is>
      </c>
    </row>
    <row r="70">
      <c r="A70" s="2" t="inlineStr">
        <is>
          <t>CC-025</t>
        </is>
      </c>
      <c r="B70" s="2" t="inlineStr">
        <is>
          <t>CC-026</t>
        </is>
      </c>
      <c r="C70" s="2" t="inlineStr">
        <is>
          <t>T6</t>
        </is>
      </c>
      <c r="D70" s="2" t="inlineStr">
        <is>
          <t>Selective-metric pattern</t>
        </is>
      </c>
      <c r="E70" s="2" t="inlineStr">
        <is>
          <t>Rhetorical pattern</t>
        </is>
      </c>
      <c r="F70" s="2" t="inlineStr">
        <is>
          <t>Pattern, not causal</t>
        </is>
      </c>
    </row>
    <row r="71">
      <c r="A71" s="2" t="inlineStr">
        <is>
          <t>CC-022</t>
        </is>
      </c>
      <c r="B71" s="2" t="inlineStr">
        <is>
          <t>CC-025</t>
        </is>
      </c>
      <c r="C71" s="2" t="inlineStr">
        <is>
          <t>T6</t>
        </is>
      </c>
      <c r="D71" s="2" t="inlineStr">
        <is>
          <t>Selective-metric pattern</t>
        </is>
      </c>
      <c r="E71" s="2" t="inlineStr">
        <is>
          <t>Rhetorical pattern</t>
        </is>
      </c>
      <c r="F71" s="2" t="inlineStr">
        <is>
          <t>Pattern, not causal</t>
        </is>
      </c>
    </row>
    <row r="72">
      <c r="A72" s="2" t="inlineStr">
        <is>
          <t>CC-022</t>
        </is>
      </c>
      <c r="B72" s="2" t="inlineStr">
        <is>
          <t>CC-051</t>
        </is>
      </c>
      <c r="C72" s="2" t="inlineStr">
        <is>
          <t>T6</t>
        </is>
      </c>
      <c r="D72" s="2" t="inlineStr">
        <is>
          <t>Selective-metric pattern</t>
        </is>
      </c>
      <c r="E72" s="2" t="inlineStr">
        <is>
          <t>Rhetorical pattern</t>
        </is>
      </c>
      <c r="F72" s="2" t="inlineStr">
        <is>
          <t>Pattern, not causal</t>
        </is>
      </c>
    </row>
    <row r="73">
      <c r="A73" s="2" t="inlineStr">
        <is>
          <t>CC-003</t>
        </is>
      </c>
      <c r="B73" s="2" t="inlineStr">
        <is>
          <t>CC-094</t>
        </is>
      </c>
      <c r="C73" s="2" t="inlineStr">
        <is>
          <t>T7</t>
        </is>
      </c>
      <c r="D73" s="2" t="inlineStr">
        <is>
          <t>2030 carbon target</t>
        </is>
      </c>
      <c r="E73" s="2" t="inlineStr">
        <is>
          <t>Shared target</t>
        </is>
      </c>
      <c r="F73" s="2" t="inlineStr">
        <is>
          <t>Weak (indicative)</t>
        </is>
      </c>
    </row>
    <row r="74">
      <c r="A74" s="2" t="inlineStr">
        <is>
          <t>CC-003</t>
        </is>
      </c>
      <c r="B74" s="2" t="inlineStr">
        <is>
          <t>CC-025</t>
        </is>
      </c>
      <c r="C74" s="2" t="inlineStr">
        <is>
          <t>T7</t>
        </is>
      </c>
      <c r="D74" s="2" t="inlineStr">
        <is>
          <t>2030 carbon target</t>
        </is>
      </c>
      <c r="E74" s="2" t="inlineStr">
        <is>
          <t>Shared target</t>
        </is>
      </c>
      <c r="F74" s="2" t="inlineStr">
        <is>
          <t>Weak (indicative)</t>
        </is>
      </c>
    </row>
    <row r="75">
      <c r="A75" s="2" t="inlineStr">
        <is>
          <t>CC-011</t>
        </is>
      </c>
      <c r="B75" s="2" t="inlineStr">
        <is>
          <t>CC-024</t>
        </is>
      </c>
      <c r="C75" s="2" t="inlineStr">
        <is>
          <t>T7</t>
        </is>
      </c>
      <c r="D75" s="2" t="inlineStr">
        <is>
          <t>2030 carbon target</t>
        </is>
      </c>
      <c r="E75" s="2" t="inlineStr">
        <is>
          <t>Shared target</t>
        </is>
      </c>
      <c r="F75" s="2" t="inlineStr">
        <is>
          <t>Weak (indicative)</t>
        </is>
      </c>
    </row>
    <row r="76">
      <c r="A76" s="2" t="inlineStr">
        <is>
          <t>CC-013</t>
        </is>
      </c>
      <c r="B76" s="2" t="inlineStr">
        <is>
          <t>CC-060</t>
        </is>
      </c>
      <c r="C76" s="2" t="inlineStr">
        <is>
          <t>T8</t>
        </is>
      </c>
      <c r="D76" s="2" t="inlineStr">
        <is>
          <t>Planning, housing and land take</t>
        </is>
      </c>
      <c r="E76" s="2" t="inlineStr">
        <is>
          <t>Shared driver</t>
        </is>
      </c>
      <c r="F76" s="2" t="inlineStr">
        <is>
          <t>Weak (indicative)</t>
        </is>
      </c>
    </row>
    <row r="77">
      <c r="A77" s="2" t="inlineStr">
        <is>
          <t>CC-018</t>
        </is>
      </c>
      <c r="B77" s="2" t="inlineStr">
        <is>
          <t>CC-062</t>
        </is>
      </c>
      <c r="C77" s="2" t="inlineStr">
        <is>
          <t>T8</t>
        </is>
      </c>
      <c r="D77" s="2" t="inlineStr">
        <is>
          <t>Planning, housing and land take</t>
        </is>
      </c>
      <c r="E77" s="2" t="inlineStr">
        <is>
          <t>Shared driver</t>
        </is>
      </c>
      <c r="F77" s="2" t="inlineStr">
        <is>
          <t>Weak (indicative)</t>
        </is>
      </c>
    </row>
    <row r="78">
      <c r="A78" s="2" t="inlineStr">
        <is>
          <t>CC-019</t>
        </is>
      </c>
      <c r="B78" s="2" t="inlineStr">
        <is>
          <t>CC-058</t>
        </is>
      </c>
      <c r="C78" s="2" t="inlineStr">
        <is>
          <t>T8</t>
        </is>
      </c>
      <c r="D78" s="2" t="inlineStr">
        <is>
          <t>Planning, housing and land take</t>
        </is>
      </c>
      <c r="E78" s="2" t="inlineStr">
        <is>
          <t>Shared driver</t>
        </is>
      </c>
      <c r="F78" s="2" t="inlineStr">
        <is>
          <t>Weak (indicative)</t>
        </is>
      </c>
    </row>
    <row r="79">
      <c r="A79" s="2" t="inlineStr">
        <is>
          <t>CC-007</t>
        </is>
      </c>
      <c r="B79" s="2" t="inlineStr">
        <is>
          <t>CC-033</t>
        </is>
      </c>
      <c r="C79" s="2" t="inlineStr">
        <is>
          <t>T9</t>
        </is>
      </c>
      <c r="D79" s="2" t="inlineStr">
        <is>
          <t>Compliance-not-health pattern</t>
        </is>
      </c>
      <c r="E79" s="2" t="inlineStr">
        <is>
          <t>Rhetorical pattern</t>
        </is>
      </c>
      <c r="F79" s="2" t="inlineStr">
        <is>
          <t>Pattern, not causal</t>
        </is>
      </c>
    </row>
    <row r="80">
      <c r="A80" s="2" t="inlineStr">
        <is>
          <t>CC-083</t>
        </is>
      </c>
      <c r="B80" s="2" t="inlineStr">
        <is>
          <t>CC-084</t>
        </is>
      </c>
      <c r="C80" s="2" t="inlineStr">
        <is>
          <t>T10</t>
        </is>
      </c>
      <c r="D80" s="2" t="inlineStr">
        <is>
          <t>Tourism pressure and carrying capacity</t>
        </is>
      </c>
      <c r="E80" s="2" t="inlineStr">
        <is>
          <t>Shared driver</t>
        </is>
      </c>
      <c r="F80" s="2" t="inlineStr">
        <is>
          <t>Weak (indicative)</t>
        </is>
      </c>
    </row>
    <row r="81">
      <c r="A81" s="2" t="inlineStr">
        <is>
          <t>CC-083</t>
        </is>
      </c>
      <c r="B81" s="2" t="inlineStr">
        <is>
          <t>CC-085</t>
        </is>
      </c>
      <c r="C81" s="2" t="inlineStr">
        <is>
          <t>T10</t>
        </is>
      </c>
      <c r="D81" s="2" t="inlineStr">
        <is>
          <t>Tourism pressure and carrying capacity</t>
        </is>
      </c>
      <c r="E81" s="2" t="inlineStr">
        <is>
          <t>Shared driver</t>
        </is>
      </c>
      <c r="F81" s="2" t="inlineStr">
        <is>
          <t>Weak (indicative)</t>
        </is>
      </c>
    </row>
    <row r="82">
      <c r="A82" s="2" t="inlineStr">
        <is>
          <t>CC-084</t>
        </is>
      </c>
      <c r="B82" s="2" t="inlineStr">
        <is>
          <t>CC-100</t>
        </is>
      </c>
      <c r="C82" s="2" t="inlineStr">
        <is>
          <t>T10</t>
        </is>
      </c>
      <c r="D82" s="2" t="inlineStr">
        <is>
          <t>Tourism pressure and carrying capacity</t>
        </is>
      </c>
      <c r="E82" s="2" t="inlineStr">
        <is>
          <t>Shared driver</t>
        </is>
      </c>
      <c r="F82" s="2" t="inlineStr">
        <is>
          <t>Weak (indicative)</t>
        </is>
      </c>
    </row>
    <row r="83">
      <c r="A83" s="2" t="inlineStr">
        <is>
          <t>CC-086</t>
        </is>
      </c>
      <c r="B83" s="2" t="inlineStr">
        <is>
          <t>CC-098</t>
        </is>
      </c>
      <c r="C83" s="2" t="inlineStr">
        <is>
          <t>T10</t>
        </is>
      </c>
      <c r="D83" s="2" t="inlineStr">
        <is>
          <t>Tourism pressure and carrying capacity</t>
        </is>
      </c>
      <c r="E83" s="2" t="inlineStr">
        <is>
          <t>Shared driver</t>
        </is>
      </c>
      <c r="F83" s="2" t="inlineStr">
        <is>
          <t>Weak (indicative)</t>
        </is>
      </c>
    </row>
    <row r="84">
      <c r="A84" s="2" t="inlineStr">
        <is>
          <t>CC-085</t>
        </is>
      </c>
      <c r="B84" s="2" t="inlineStr">
        <is>
          <t>CC-089</t>
        </is>
      </c>
      <c r="C84" s="2" t="inlineStr">
        <is>
          <t>T10</t>
        </is>
      </c>
      <c r="D84" s="2" t="inlineStr">
        <is>
          <t>Tourism pressure and carrying capacity</t>
        </is>
      </c>
      <c r="E84" s="2" t="inlineStr">
        <is>
          <t>Shared driver</t>
        </is>
      </c>
      <c r="F84" s="2" t="inlineStr">
        <is>
          <t>Weak (indicative)</t>
        </is>
      </c>
    </row>
    <row r="85">
      <c r="A85" s="2" t="inlineStr">
        <is>
          <t>CC-009</t>
        </is>
      </c>
      <c r="B85" s="2" t="inlineStr">
        <is>
          <t>CC-101</t>
        </is>
      </c>
      <c r="C85" s="2" t="inlineStr">
        <is>
          <t>T3</t>
        </is>
      </c>
      <c r="D85" s="2" t="inlineStr">
        <is>
          <t>Water chain: farm waste, sewage, sea, aquifer</t>
        </is>
      </c>
      <c r="E85" s="2" t="inlineStr">
        <is>
          <t>Shared cause</t>
        </is>
      </c>
      <c r="F85" s="2" t="inlineStr">
        <is>
          <t>Weak (indicative)</t>
        </is>
      </c>
    </row>
    <row r="86">
      <c r="A86" s="2" t="inlineStr">
        <is>
          <t>CC-039</t>
        </is>
      </c>
      <c r="B86" s="2" t="inlineStr">
        <is>
          <t>CC-101</t>
        </is>
      </c>
      <c r="C86" s="2" t="inlineStr">
        <is>
          <t>T3</t>
        </is>
      </c>
      <c r="D86" s="2" t="inlineStr">
        <is>
          <t>Water chain: farm waste, sewage, sea, aquifer</t>
        </is>
      </c>
      <c r="E86" s="2" t="inlineStr">
        <is>
          <t>Shared cause</t>
        </is>
      </c>
      <c r="F86" s="2" t="inlineStr">
        <is>
          <t>Weak (indicative)</t>
        </is>
      </c>
    </row>
    <row r="87">
      <c r="A87" s="2" t="inlineStr">
        <is>
          <t>CC-047</t>
        </is>
      </c>
      <c r="B87" s="2" t="inlineStr">
        <is>
          <t>CC-101</t>
        </is>
      </c>
      <c r="C87" s="2" t="inlineStr">
        <is>
          <t>T3</t>
        </is>
      </c>
      <c r="D87" s="2" t="inlineStr">
        <is>
          <t>Water chain: farm waste, sewage, sea, aquifer</t>
        </is>
      </c>
      <c r="E87" s="2" t="inlineStr">
        <is>
          <t>Shared cause</t>
        </is>
      </c>
      <c r="F87" s="2" t="inlineStr">
        <is>
          <t>Weak (indicative)</t>
        </is>
      </c>
    </row>
    <row r="88">
      <c r="A88" s="2" t="inlineStr">
        <is>
          <t>CC-027</t>
        </is>
      </c>
      <c r="B88" s="2" t="inlineStr">
        <is>
          <t>CC-090</t>
        </is>
      </c>
      <c r="C88" s="2" t="inlineStr">
        <is>
          <t>T11</t>
        </is>
      </c>
      <c r="D88" s="2" t="inlineStr">
        <is>
          <t>Heat, power cuts and health</t>
        </is>
      </c>
      <c r="E88" s="2" t="inlineStr">
        <is>
          <t>Shared driver</t>
        </is>
      </c>
      <c r="F88" s="2" t="inlineStr">
        <is>
          <t>Weak (indicative)</t>
        </is>
      </c>
    </row>
    <row r="89">
      <c r="A89" s="2" t="inlineStr">
        <is>
          <t>CC-027</t>
        </is>
      </c>
      <c r="B89" s="2" t="inlineStr">
        <is>
          <t>CC-097</t>
        </is>
      </c>
      <c r="C89" s="2" t="inlineStr">
        <is>
          <t>T11</t>
        </is>
      </c>
      <c r="D89" s="2" t="inlineStr">
        <is>
          <t>Heat, power cuts and health</t>
        </is>
      </c>
      <c r="E89" s="2" t="inlineStr">
        <is>
          <t>Shared driver</t>
        </is>
      </c>
      <c r="F89" s="2" t="inlineStr">
        <is>
          <t>Weak (indicative)</t>
        </is>
      </c>
    </row>
    <row r="90">
      <c r="A90" s="2" t="inlineStr">
        <is>
          <t>CC-027</t>
        </is>
      </c>
      <c r="B90" s="2" t="inlineStr">
        <is>
          <t>CC-103</t>
        </is>
      </c>
      <c r="C90" s="2" t="inlineStr">
        <is>
          <t>T11</t>
        </is>
      </c>
      <c r="D90" s="2" t="inlineStr">
        <is>
          <t>Heat, power cuts and health</t>
        </is>
      </c>
      <c r="E90" s="2" t="inlineStr">
        <is>
          <t>Shared driver</t>
        </is>
      </c>
      <c r="F90" s="2" t="inlineStr">
        <is>
          <t>Weak (indicative)</t>
        </is>
      </c>
    </row>
    <row r="91">
      <c r="A91" s="2" t="inlineStr">
        <is>
          <t>CC-090</t>
        </is>
      </c>
      <c r="B91" s="2" t="inlineStr">
        <is>
          <t>CC-097</t>
        </is>
      </c>
      <c r="C91" s="2" t="inlineStr">
        <is>
          <t>T11</t>
        </is>
      </c>
      <c r="D91" s="2" t="inlineStr">
        <is>
          <t>Heat, power cuts and health</t>
        </is>
      </c>
      <c r="E91" s="2" t="inlineStr">
        <is>
          <t>Shared driver</t>
        </is>
      </c>
      <c r="F91" s="2" t="inlineStr">
        <is>
          <t>Weak (indicative)</t>
        </is>
      </c>
    </row>
    <row r="92">
      <c r="A92" s="2" t="inlineStr">
        <is>
          <t>CC-090</t>
        </is>
      </c>
      <c r="B92" s="2" t="inlineStr">
        <is>
          <t>CC-103</t>
        </is>
      </c>
      <c r="C92" s="2" t="inlineStr">
        <is>
          <t>T11</t>
        </is>
      </c>
      <c r="D92" s="2" t="inlineStr">
        <is>
          <t>Heat, power cuts and health</t>
        </is>
      </c>
      <c r="E92" s="2" t="inlineStr">
        <is>
          <t>Shared driver</t>
        </is>
      </c>
      <c r="F92" s="2" t="inlineStr">
        <is>
          <t>Weak (indicative)</t>
        </is>
      </c>
    </row>
    <row r="93">
      <c r="A93" s="2" t="inlineStr">
        <is>
          <t>CC-097</t>
        </is>
      </c>
      <c r="B93" s="2" t="inlineStr">
        <is>
          <t>CC-103</t>
        </is>
      </c>
      <c r="C93" s="2" t="inlineStr">
        <is>
          <t>T11</t>
        </is>
      </c>
      <c r="D93" s="2" t="inlineStr">
        <is>
          <t>Heat, power cuts and health</t>
        </is>
      </c>
      <c r="E93" s="2" t="inlineStr">
        <is>
          <t>Shared driver</t>
        </is>
      </c>
      <c r="F93" s="2" t="inlineStr">
        <is>
          <t>Weak (indicative)</t>
        </is>
      </c>
    </row>
    <row r="94">
      <c r="A94" s="2" t="inlineStr">
        <is>
          <t>CC-102</t>
        </is>
      </c>
      <c r="B94" s="2" t="inlineStr">
        <is>
          <t>CC-103</t>
        </is>
      </c>
      <c r="C94" s="2" t="inlineStr">
        <is>
          <t>T12</t>
        </is>
      </c>
      <c r="D94" s="2" t="inlineStr">
        <is>
          <t>Oversight and disclosure</t>
        </is>
      </c>
      <c r="E94" s="2" t="inlineStr">
        <is>
          <t>Rhetorical pattern</t>
        </is>
      </c>
      <c r="F94" s="2" t="inlineStr">
        <is>
          <t>Pattern, not causal</t>
        </is>
      </c>
    </row>
    <row r="95">
      <c r="A95" s="2" t="inlineStr">
        <is>
          <t>CC-020</t>
        </is>
      </c>
      <c r="B95" s="2" t="inlineStr">
        <is>
          <t>CC-104</t>
        </is>
      </c>
      <c r="C95" s="2" t="inlineStr">
        <is>
          <t>T13</t>
        </is>
      </c>
      <c r="D95" s="2" t="inlineStr">
        <is>
          <t>Noise governance</t>
        </is>
      </c>
      <c r="E95" s="2" t="inlineStr">
        <is>
          <t>Shared target</t>
        </is>
      </c>
      <c r="F95" s="2" t="inlineStr">
        <is>
          <t>Weak (indicative)</t>
        </is>
      </c>
    </row>
    <row r="96">
      <c r="A96" s="2" t="inlineStr">
        <is>
          <t>CC-020</t>
        </is>
      </c>
      <c r="B96" s="2" t="inlineStr">
        <is>
          <t>CC-105</t>
        </is>
      </c>
      <c r="C96" s="2" t="inlineStr">
        <is>
          <t>T13</t>
        </is>
      </c>
      <c r="D96" s="2" t="inlineStr">
        <is>
          <t>Noise governance</t>
        </is>
      </c>
      <c r="E96" s="2" t="inlineStr">
        <is>
          <t>Shared target</t>
        </is>
      </c>
      <c r="F96" s="2" t="inlineStr">
        <is>
          <t>Weak (indicative)</t>
        </is>
      </c>
    </row>
    <row r="97">
      <c r="A97" s="2" t="inlineStr">
        <is>
          <t>CC-104</t>
        </is>
      </c>
      <c r="B97" s="2" t="inlineStr">
        <is>
          <t>CC-105</t>
        </is>
      </c>
      <c r="C97" s="2" t="inlineStr">
        <is>
          <t>T13</t>
        </is>
      </c>
      <c r="D97" s="2" t="inlineStr">
        <is>
          <t>Noise governance</t>
        </is>
      </c>
      <c r="E97" s="2" t="inlineStr">
        <is>
          <t>Shared target</t>
        </is>
      </c>
      <c r="F97" s="2" t="inlineStr">
        <is>
          <t>Weak (indicative)</t>
        </is>
      </c>
    </row>
    <row r="98">
      <c r="A98" s="2" t="inlineStr">
        <is>
          <t>CC-003</t>
        </is>
      </c>
      <c r="B98" s="2" t="inlineStr">
        <is>
          <t>CC-026</t>
        </is>
      </c>
      <c r="C98" s="2" t="inlineStr">
        <is>
          <t>T4</t>
        </is>
      </c>
      <c r="D98" s="2" t="inlineStr">
        <is>
          <t>Transport, air and climate</t>
        </is>
      </c>
      <c r="E98" s="2" t="inlineStr">
        <is>
          <t>Shared driver</t>
        </is>
      </c>
      <c r="F98" s="2" t="inlineStr">
        <is>
          <t>Weak (indicative)</t>
        </is>
      </c>
    </row>
    <row r="99">
      <c r="A99" s="2" t="inlineStr">
        <is>
          <t>CC-009</t>
        </is>
      </c>
      <c r="B99" s="2" t="inlineStr">
        <is>
          <t>CC-108</t>
        </is>
      </c>
      <c r="C99" s="2" t="inlineStr">
        <is>
          <t>T3</t>
        </is>
      </c>
      <c r="D99" s="2" t="inlineStr">
        <is>
          <t>Water chain: farm waste, sewage, sea, aquifer</t>
        </is>
      </c>
      <c r="E99" s="2" t="inlineStr">
        <is>
          <t>Shared driver</t>
        </is>
      </c>
      <c r="F99" s="2" t="inlineStr">
        <is>
          <t>Strong</t>
        </is>
      </c>
    </row>
    <row r="100">
      <c r="A100" s="2" t="inlineStr">
        <is>
          <t>CC-101</t>
        </is>
      </c>
      <c r="B100" s="2" t="inlineStr">
        <is>
          <t>CC-108</t>
        </is>
      </c>
      <c r="C100" s="2" t="inlineStr">
        <is>
          <t>T3</t>
        </is>
      </c>
      <c r="D100" s="2" t="inlineStr">
        <is>
          <t>Water chain: farm waste, sewage, sea, aquifer</t>
        </is>
      </c>
      <c r="E100" s="2" t="inlineStr">
        <is>
          <t>Shared driver</t>
        </is>
      </c>
      <c r="F100" s="2" t="inlineStr">
        <is>
          <t>Weak (indicative)</t>
        </is>
      </c>
    </row>
    <row r="101">
      <c r="A101" s="2" t="inlineStr">
        <is>
          <t>CC-109</t>
        </is>
      </c>
      <c r="B101" s="2" t="inlineStr">
        <is>
          <t>CC-008</t>
        </is>
      </c>
      <c r="C101" s="2" t="inlineStr">
        <is>
          <t>T4</t>
        </is>
      </c>
      <c r="D101" s="2" t="inlineStr">
        <is>
          <t>Transport, air and climate</t>
        </is>
      </c>
      <c r="E101" s="2" t="inlineStr">
        <is>
          <t>Shared driver</t>
        </is>
      </c>
      <c r="F101" s="2" t="inlineStr">
        <is>
          <t>Strong</t>
        </is>
      </c>
    </row>
    <row r="102">
      <c r="A102" s="2" t="inlineStr">
        <is>
          <t>CC-109</t>
        </is>
      </c>
      <c r="B102" s="2" t="inlineStr">
        <is>
          <t>CC-072</t>
        </is>
      </c>
      <c r="C102" s="2" t="inlineStr">
        <is>
          <t>T4</t>
        </is>
      </c>
      <c r="D102" s="2" t="inlineStr">
        <is>
          <t>Transport, air and climate</t>
        </is>
      </c>
      <c r="E102" s="2" t="inlineStr">
        <is>
          <t>Shared driver</t>
        </is>
      </c>
      <c r="F102" s="2" t="inlineStr">
        <is>
          <t>Strong</t>
        </is>
      </c>
    </row>
    <row r="103">
      <c r="A103" s="2" t="inlineStr">
        <is>
          <t>CC-110</t>
        </is>
      </c>
      <c r="B103" s="2" t="inlineStr">
        <is>
          <t>CC-072</t>
        </is>
      </c>
      <c r="C103" s="2" t="inlineStr">
        <is>
          <t>T4</t>
        </is>
      </c>
      <c r="D103" s="2" t="inlineStr">
        <is>
          <t>Transport, air and climate</t>
        </is>
      </c>
      <c r="E103" s="2" t="inlineStr">
        <is>
          <t>Shared driver</t>
        </is>
      </c>
      <c r="F103" s="2" t="inlineStr">
        <is>
          <t>Strong</t>
        </is>
      </c>
    </row>
    <row r="104">
      <c r="A104" s="2" t="inlineStr">
        <is>
          <t>CC-110</t>
        </is>
      </c>
      <c r="B104" s="2" t="inlineStr">
        <is>
          <t>CC-026</t>
        </is>
      </c>
      <c r="C104" s="2" t="inlineStr">
        <is>
          <t>T4</t>
        </is>
      </c>
      <c r="D104" s="2" t="inlineStr">
        <is>
          <t>Transport, air and climate</t>
        </is>
      </c>
      <c r="E104" s="2" t="inlineStr">
        <is>
          <t>Shared driver</t>
        </is>
      </c>
      <c r="F104" s="2" t="inlineStr">
        <is>
          <t>Strong</t>
        </is>
      </c>
    </row>
    <row r="105">
      <c r="A105" s="2" t="inlineStr">
        <is>
          <t>CC-110</t>
        </is>
      </c>
      <c r="B105" s="2" t="inlineStr">
        <is>
          <t>CC-075</t>
        </is>
      </c>
      <c r="C105" s="2" t="inlineStr">
        <is>
          <t>T4</t>
        </is>
      </c>
      <c r="D105" s="2" t="inlineStr">
        <is>
          <t>Transport, air and climate</t>
        </is>
      </c>
      <c r="E105" s="2" t="inlineStr">
        <is>
          <t>Shared driver</t>
        </is>
      </c>
      <c r="F105" s="2" t="inlineStr">
        <is>
          <t>Strong</t>
        </is>
      </c>
    </row>
    <row r="106">
      <c r="A106" s="2" t="inlineStr">
        <is>
          <t>CC-109</t>
        </is>
      </c>
      <c r="B106" s="2" t="inlineStr">
        <is>
          <t>CC-110</t>
        </is>
      </c>
      <c r="C106" s="2" t="inlineStr">
        <is>
          <t>T4</t>
        </is>
      </c>
      <c r="D106" s="2" t="inlineStr">
        <is>
          <t>Transport, air and climate</t>
        </is>
      </c>
      <c r="E106" s="2" t="inlineStr">
        <is>
          <t>Shared driver</t>
        </is>
      </c>
      <c r="F106" s="2" t="inlineStr">
        <is>
          <t>Strong</t>
        </is>
      </c>
    </row>
    <row r="107">
      <c r="A107" s="2" t="inlineStr">
        <is>
          <t>CC-115</t>
        </is>
      </c>
      <c r="B107" s="2" t="inlineStr">
        <is>
          <t>CC-008</t>
        </is>
      </c>
      <c r="C107" s="2" t="inlineStr">
        <is>
          <t>T4</t>
        </is>
      </c>
      <c r="D107" s="2" t="inlineStr">
        <is>
          <t>Transport, air and climate</t>
        </is>
      </c>
      <c r="E107" s="2" t="inlineStr">
        <is>
          <t>Shared driver</t>
        </is>
      </c>
      <c r="F107" s="2" t="inlineStr">
        <is>
          <t>Strong</t>
        </is>
      </c>
    </row>
    <row r="108">
      <c r="A108" s="2" t="inlineStr">
        <is>
          <t>CC-115</t>
        </is>
      </c>
      <c r="B108" s="2" t="inlineStr">
        <is>
          <t>CC-071</t>
        </is>
      </c>
      <c r="C108" s="2" t="inlineStr">
        <is>
          <t>T4</t>
        </is>
      </c>
      <c r="D108" s="2" t="inlineStr">
        <is>
          <t>Transport, air and climate</t>
        </is>
      </c>
      <c r="E108" s="2" t="inlineStr">
        <is>
          <t>Shared driver</t>
        </is>
      </c>
      <c r="F108" s="2" t="inlineStr">
        <is>
          <t>Strong</t>
        </is>
      </c>
    </row>
    <row r="109">
      <c r="A109" s="2" t="inlineStr">
        <is>
          <t>CC-115</t>
        </is>
      </c>
      <c r="B109" s="2" t="inlineStr">
        <is>
          <t>CC-109</t>
        </is>
      </c>
      <c r="C109" s="2" t="inlineStr">
        <is>
          <t>T4</t>
        </is>
      </c>
      <c r="D109" s="2" t="inlineStr">
        <is>
          <t>Transport, air and climate</t>
        </is>
      </c>
      <c r="E109" s="2" t="inlineStr">
        <is>
          <t>Shared driver</t>
        </is>
      </c>
      <c r="F109" s="2" t="inlineStr">
        <is>
          <t>Strong</t>
        </is>
      </c>
    </row>
    <row r="110">
      <c r="A110" s="2" t="inlineStr">
        <is>
          <t>CC-111</t>
        </is>
      </c>
      <c r="B110" s="2" t="inlineStr">
        <is>
          <t>CC-081</t>
        </is>
      </c>
      <c r="C110" s="2" t="inlineStr">
        <is>
          <t>T5</t>
        </is>
      </c>
      <c r="D110" s="2" t="inlineStr">
        <is>
          <t>Waste and construction</t>
        </is>
      </c>
      <c r="E110" s="2" t="inlineStr">
        <is>
          <t>Shared material flow</t>
        </is>
      </c>
      <c r="F110" s="2" t="inlineStr">
        <is>
          <t>Weak (indicative)</t>
        </is>
      </c>
    </row>
    <row r="111">
      <c r="A111" s="2" t="inlineStr">
        <is>
          <t>CC-111</t>
        </is>
      </c>
      <c r="B111" s="2" t="inlineStr">
        <is>
          <t>CC-004</t>
        </is>
      </c>
      <c r="C111" s="2" t="inlineStr">
        <is>
          <t>T5</t>
        </is>
      </c>
      <c r="D111" s="2" t="inlineStr">
        <is>
          <t>Waste and construction</t>
        </is>
      </c>
      <c r="E111" s="2" t="inlineStr">
        <is>
          <t>Shared material flow</t>
        </is>
      </c>
      <c r="F111" s="2" t="inlineStr">
        <is>
          <t>Weak (indicative)</t>
        </is>
      </c>
    </row>
    <row r="112">
      <c r="A112" s="2" t="inlineStr">
        <is>
          <t>CC-111</t>
        </is>
      </c>
      <c r="B112" s="2" t="inlineStr">
        <is>
          <t>CC-079</t>
        </is>
      </c>
      <c r="C112" s="2" t="inlineStr">
        <is>
          <t>T5</t>
        </is>
      </c>
      <c r="D112" s="2" t="inlineStr">
        <is>
          <t>Waste and construction</t>
        </is>
      </c>
      <c r="E112" s="2" t="inlineStr">
        <is>
          <t>Shared material flow</t>
        </is>
      </c>
      <c r="F112" s="2" t="inlineStr">
        <is>
          <t>Weak (indicative)</t>
        </is>
      </c>
    </row>
    <row r="113">
      <c r="A113" s="2" t="inlineStr">
        <is>
          <t>CC-110</t>
        </is>
      </c>
      <c r="B113" s="2" t="inlineStr">
        <is>
          <t>CC-007</t>
        </is>
      </c>
      <c r="C113" s="2" t="inlineStr">
        <is>
          <t>T6</t>
        </is>
      </c>
      <c r="D113" s="2" t="inlineStr">
        <is>
          <t>Selective-metric pattern</t>
        </is>
      </c>
      <c r="E113" s="2" t="inlineStr">
        <is>
          <t>Rhetorical pattern</t>
        </is>
      </c>
      <c r="F113" s="2" t="inlineStr">
        <is>
          <t>Pattern, not causal</t>
        </is>
      </c>
    </row>
    <row r="114">
      <c r="A114" s="2" t="inlineStr">
        <is>
          <t>CC-114</t>
        </is>
      </c>
      <c r="B114" s="2" t="inlineStr">
        <is>
          <t>CC-003</t>
        </is>
      </c>
      <c r="C114" s="2" t="inlineStr">
        <is>
          <t>T6</t>
        </is>
      </c>
      <c r="D114" s="2" t="inlineStr">
        <is>
          <t>Selective-metric pattern</t>
        </is>
      </c>
      <c r="E114" s="2" t="inlineStr">
        <is>
          <t>Rhetorical pattern</t>
        </is>
      </c>
      <c r="F114" s="2" t="inlineStr">
        <is>
          <t>Pattern, not causal</t>
        </is>
      </c>
    </row>
    <row r="115">
      <c r="A115" s="2" t="inlineStr">
        <is>
          <t>CC-114</t>
        </is>
      </c>
      <c r="B115" s="2" t="inlineStr">
        <is>
          <t>CC-025</t>
        </is>
      </c>
      <c r="C115" s="2" t="inlineStr">
        <is>
          <t>T6</t>
        </is>
      </c>
      <c r="D115" s="2" t="inlineStr">
        <is>
          <t>Selective-metric pattern</t>
        </is>
      </c>
      <c r="E115" s="2" t="inlineStr">
        <is>
          <t>Rhetorical pattern</t>
        </is>
      </c>
      <c r="F115" s="2" t="inlineStr">
        <is>
          <t>Pattern, not causal</t>
        </is>
      </c>
    </row>
    <row r="116">
      <c r="A116" s="2" t="inlineStr">
        <is>
          <t>CC-109</t>
        </is>
      </c>
      <c r="B116" s="2" t="inlineStr">
        <is>
          <t>CC-094</t>
        </is>
      </c>
      <c r="C116" s="2" t="inlineStr">
        <is>
          <t>T7</t>
        </is>
      </c>
      <c r="D116" s="2" t="inlineStr">
        <is>
          <t>2030 carbon target</t>
        </is>
      </c>
      <c r="E116" s="2" t="inlineStr">
        <is>
          <t>Shared target</t>
        </is>
      </c>
      <c r="F116" s="2" t="inlineStr">
        <is>
          <t>Strong</t>
        </is>
      </c>
    </row>
    <row r="117">
      <c r="A117" s="2" t="inlineStr">
        <is>
          <t>CC-109</t>
        </is>
      </c>
      <c r="B117" s="2" t="inlineStr">
        <is>
          <t>CC-003</t>
        </is>
      </c>
      <c r="C117" s="2" t="inlineStr">
        <is>
          <t>T7</t>
        </is>
      </c>
      <c r="D117" s="2" t="inlineStr">
        <is>
          <t>2030 carbon target</t>
        </is>
      </c>
      <c r="E117" s="2" t="inlineStr">
        <is>
          <t>Shared target</t>
        </is>
      </c>
      <c r="F117" s="2" t="inlineStr">
        <is>
          <t>Strong</t>
        </is>
      </c>
    </row>
    <row r="118">
      <c r="A118" s="2" t="inlineStr">
        <is>
          <t>CC-114</t>
        </is>
      </c>
      <c r="B118" s="2" t="inlineStr">
        <is>
          <t>CC-094</t>
        </is>
      </c>
      <c r="C118" s="2" t="inlineStr">
        <is>
          <t>T7</t>
        </is>
      </c>
      <c r="D118" s="2" t="inlineStr">
        <is>
          <t>2030 carbon target</t>
        </is>
      </c>
      <c r="E118" s="2" t="inlineStr">
        <is>
          <t>Shared target</t>
        </is>
      </c>
      <c r="F118" s="2" t="inlineStr">
        <is>
          <t>Strong</t>
        </is>
      </c>
    </row>
    <row r="119">
      <c r="A119" s="2" t="inlineStr">
        <is>
          <t>CC-114</t>
        </is>
      </c>
      <c r="B119" s="2" t="inlineStr">
        <is>
          <t>CC-003</t>
        </is>
      </c>
      <c r="C119" s="2" t="inlineStr">
        <is>
          <t>T7</t>
        </is>
      </c>
      <c r="D119" s="2" t="inlineStr">
        <is>
          <t>2030 carbon target</t>
        </is>
      </c>
      <c r="E119" s="2" t="inlineStr">
        <is>
          <t>Shared target</t>
        </is>
      </c>
      <c r="F119" s="2" t="inlineStr">
        <is>
          <t>Strong</t>
        </is>
      </c>
    </row>
    <row r="120">
      <c r="A120" s="2" t="inlineStr">
        <is>
          <t>CC-114</t>
        </is>
      </c>
      <c r="B120" s="2" t="inlineStr">
        <is>
          <t>CC-025</t>
        </is>
      </c>
      <c r="C120" s="2" t="inlineStr">
        <is>
          <t>T7</t>
        </is>
      </c>
      <c r="D120" s="2" t="inlineStr">
        <is>
          <t>2030 carbon target</t>
        </is>
      </c>
      <c r="E120" s="2" t="inlineStr">
        <is>
          <t>Shared target</t>
        </is>
      </c>
      <c r="F120" s="2" t="inlineStr">
        <is>
          <t>Strong</t>
        </is>
      </c>
    </row>
    <row r="121">
      <c r="A121" s="2" t="inlineStr">
        <is>
          <t>CC-112</t>
        </is>
      </c>
      <c r="B121" s="2" t="inlineStr">
        <is>
          <t>CC-088</t>
        </is>
      </c>
      <c r="C121" s="2" t="inlineStr">
        <is>
          <t>T10</t>
        </is>
      </c>
      <c r="D121" s="2" t="inlineStr">
        <is>
          <t>Tourism pressure and carrying capacity</t>
        </is>
      </c>
      <c r="E121" s="2" t="inlineStr">
        <is>
          <t>Shared driver</t>
        </is>
      </c>
      <c r="F121" s="2" t="inlineStr">
        <is>
          <t>Weak (indicative)</t>
        </is>
      </c>
    </row>
    <row r="122">
      <c r="A122" s="2" t="inlineStr">
        <is>
          <t>CC-112</t>
        </is>
      </c>
      <c r="B122" s="2" t="inlineStr">
        <is>
          <t>CC-089</t>
        </is>
      </c>
      <c r="C122" s="2" t="inlineStr">
        <is>
          <t>T10</t>
        </is>
      </c>
      <c r="D122" s="2" t="inlineStr">
        <is>
          <t>Tourism pressure and carrying capacity</t>
        </is>
      </c>
      <c r="E122" s="2" t="inlineStr">
        <is>
          <t>Shared driver</t>
        </is>
      </c>
      <c r="F122" s="2" t="inlineStr">
        <is>
          <t>Weak (indicative)</t>
        </is>
      </c>
    </row>
    <row r="123">
      <c r="A123" s="2" t="inlineStr">
        <is>
          <t>CC-112</t>
        </is>
      </c>
      <c r="B123" s="2" t="inlineStr">
        <is>
          <t>CC-099</t>
        </is>
      </c>
      <c r="C123" s="2" t="inlineStr">
        <is>
          <t>T10</t>
        </is>
      </c>
      <c r="D123" s="2" t="inlineStr">
        <is>
          <t>Tourism pressure and carrying capacity</t>
        </is>
      </c>
      <c r="E123" s="2" t="inlineStr">
        <is>
          <t>Shared driver</t>
        </is>
      </c>
      <c r="F123" s="2" t="inlineStr">
        <is>
          <t>Weak (indicative)</t>
        </is>
      </c>
    </row>
    <row r="124">
      <c r="A124" s="2" t="inlineStr">
        <is>
          <t>CC-022</t>
        </is>
      </c>
      <c r="B124" s="2" t="inlineStr">
        <is>
          <t>CC-095</t>
        </is>
      </c>
      <c r="C124" s="2" t="inlineStr">
        <is>
          <t>T14</t>
        </is>
      </c>
      <c r="D124" s="2" t="inlineStr">
        <is>
          <t>Energy subsidies</t>
        </is>
      </c>
      <c r="E124" s="2" t="inlineStr">
        <is>
          <t>Shared driver</t>
        </is>
      </c>
      <c r="F124" s="2" t="inlineStr">
        <is>
          <t>Weak (indicative)</t>
        </is>
      </c>
    </row>
    <row r="125">
      <c r="A125" s="2" t="inlineStr">
        <is>
          <t>CC-022</t>
        </is>
      </c>
      <c r="B125" s="2" t="inlineStr">
        <is>
          <t>CC-113</t>
        </is>
      </c>
      <c r="C125" s="2" t="inlineStr">
        <is>
          <t>T14</t>
        </is>
      </c>
      <c r="D125" s="2" t="inlineStr">
        <is>
          <t>Energy subsidies</t>
        </is>
      </c>
      <c r="E125" s="2" t="inlineStr">
        <is>
          <t>Shared driver</t>
        </is>
      </c>
      <c r="F125" s="2" t="inlineStr">
        <is>
          <t>Weak (indicative)</t>
        </is>
      </c>
    </row>
    <row r="126">
      <c r="A126" s="2" t="inlineStr">
        <is>
          <t>CC-095</t>
        </is>
      </c>
      <c r="B126" s="2" t="inlineStr">
        <is>
          <t>CC-113</t>
        </is>
      </c>
      <c r="C126" s="2" t="inlineStr">
        <is>
          <t>T14</t>
        </is>
      </c>
      <c r="D126" s="2" t="inlineStr">
        <is>
          <t>Energy subsidies</t>
        </is>
      </c>
      <c r="E126" s="2" t="inlineStr">
        <is>
          <t>Shared driver</t>
        </is>
      </c>
      <c r="F126" s="2" t="inlineStr">
        <is>
          <t>Weak (indicative)</t>
        </is>
      </c>
    </row>
    <row r="127">
      <c r="A127" s="2" t="inlineStr">
        <is>
          <t>CC-065</t>
        </is>
      </c>
      <c r="B127" s="2" t="inlineStr">
        <is>
          <t>CC-066</t>
        </is>
      </c>
      <c r="C127" s="2" t="inlineStr">
        <is>
          <t>T15</t>
        </is>
      </c>
      <c r="D127" s="2" t="inlineStr">
        <is>
          <t>Heritage and development control</t>
        </is>
      </c>
      <c r="E127" s="2" t="inlineStr">
        <is>
          <t>Shared mechanism</t>
        </is>
      </c>
      <c r="F127" s="2" t="inlineStr">
        <is>
          <t>Weak (indicative)</t>
        </is>
      </c>
    </row>
    <row r="128">
      <c r="A128" s="2" t="inlineStr">
        <is>
          <t>CC-065</t>
        </is>
      </c>
      <c r="B128" s="2" t="inlineStr">
        <is>
          <t>CC-116</t>
        </is>
      </c>
      <c r="C128" s="2" t="inlineStr">
        <is>
          <t>T15</t>
        </is>
      </c>
      <c r="D128" s="2" t="inlineStr">
        <is>
          <t>Heritage and development control</t>
        </is>
      </c>
      <c r="E128" s="2" t="inlineStr">
        <is>
          <t>Shared mechanism</t>
        </is>
      </c>
      <c r="F128" s="2" t="inlineStr">
        <is>
          <t>Weak (indicative)</t>
        </is>
      </c>
    </row>
    <row r="129">
      <c r="A129" s="2" t="inlineStr">
        <is>
          <t>CC-066</t>
        </is>
      </c>
      <c r="B129" s="2" t="inlineStr">
        <is>
          <t>CC-116</t>
        </is>
      </c>
      <c r="C129" s="2" t="inlineStr">
        <is>
          <t>T15</t>
        </is>
      </c>
      <c r="D129" s="2" t="inlineStr">
        <is>
          <t>Heritage and development control</t>
        </is>
      </c>
      <c r="E129" s="2" t="inlineStr">
        <is>
          <t>Shared mechanism</t>
        </is>
      </c>
      <c r="F129" s="2" t="inlineStr">
        <is>
          <t>Weak (indicative)</t>
        </is>
      </c>
    </row>
    <row r="130">
      <c r="A130" s="2" t="inlineStr">
        <is>
          <t>CC-071</t>
        </is>
      </c>
      <c r="B130" s="2" t="inlineStr">
        <is>
          <t>CC-072</t>
        </is>
      </c>
      <c r="C130" s="2" t="inlineStr">
        <is>
          <t>T4</t>
        </is>
      </c>
      <c r="D130" s="2" t="inlineStr">
        <is>
          <t>Transport, air and climate</t>
        </is>
      </c>
      <c r="E130" s="2" t="inlineStr">
        <is>
          <t>Shared driver</t>
        </is>
      </c>
      <c r="F130" s="2" t="inlineStr">
        <is>
          <t>Weak (indicative)</t>
        </is>
      </c>
    </row>
    <row r="131">
      <c r="A131" s="2" t="inlineStr">
        <is>
          <t>CC-069</t>
        </is>
      </c>
      <c r="B131" s="2" t="inlineStr">
        <is>
          <t>CC-071</t>
        </is>
      </c>
      <c r="C131" s="2" t="inlineStr">
        <is>
          <t>T4</t>
        </is>
      </c>
      <c r="D131" s="2" t="inlineStr">
        <is>
          <t>Transport, air and climate</t>
        </is>
      </c>
      <c r="E131" s="2" t="inlineStr">
        <is>
          <t>Shared driver</t>
        </is>
      </c>
      <c r="F131" s="2" t="inlineStr">
        <is>
          <t>Weak (indicative)</t>
        </is>
      </c>
    </row>
    <row r="132">
      <c r="A132" s="2" t="inlineStr">
        <is>
          <t>CC-026</t>
        </is>
      </c>
      <c r="B132" s="2" t="inlineStr">
        <is>
          <t>CC-031</t>
        </is>
      </c>
      <c r="C132" s="2" t="inlineStr">
        <is>
          <t>T16</t>
        </is>
      </c>
      <c r="D132" s="2" t="inlineStr">
        <is>
          <t>Shared emissions figures</t>
        </is>
      </c>
      <c r="E132" s="2" t="inlineStr">
        <is>
          <t>Shared data</t>
        </is>
      </c>
      <c r="F132" s="2" t="inlineStr">
        <is>
          <t>Strong</t>
        </is>
      </c>
    </row>
    <row r="133">
      <c r="A133" s="2" t="inlineStr">
        <is>
          <t>CC-026</t>
        </is>
      </c>
      <c r="B133" s="2" t="inlineStr">
        <is>
          <t>CC-114</t>
        </is>
      </c>
      <c r="C133" s="2" t="inlineStr">
        <is>
          <t>T16</t>
        </is>
      </c>
      <c r="D133" s="2" t="inlineStr">
        <is>
          <t>Shared emissions figures</t>
        </is>
      </c>
      <c r="E133" s="2" t="inlineStr">
        <is>
          <t>Shared data</t>
        </is>
      </c>
      <c r="F133" s="2" t="inlineStr">
        <is>
          <t>Strong</t>
        </is>
      </c>
    </row>
    <row r="134">
      <c r="A134" s="2" t="inlineStr">
        <is>
          <t>CC-031</t>
        </is>
      </c>
      <c r="B134" s="2" t="inlineStr">
        <is>
          <t>CC-109</t>
        </is>
      </c>
      <c r="C134" s="2" t="inlineStr">
        <is>
          <t>T16</t>
        </is>
      </c>
      <c r="D134" s="2" t="inlineStr">
        <is>
          <t>Shared emissions figures</t>
        </is>
      </c>
      <c r="E134" s="2" t="inlineStr">
        <is>
          <t>Shared data</t>
        </is>
      </c>
      <c r="F134" s="2" t="inlineStr">
        <is>
          <t>Strong</t>
        </is>
      </c>
    </row>
  </sheetData>
  <autoFilter ref="A1:F13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7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4" customWidth="1" min="2" max="2"/>
    <col width="52" customWidth="1" min="3" max="3"/>
    <col width="26" customWidth="1" min="4" max="4"/>
    <col width="14" customWidth="1" min="5" max="5"/>
    <col width="20" customWidth="1" min="6" max="6"/>
    <col width="50" customWidth="1" min="7" max="7"/>
    <col width="50" customWidth="1" min="8" max="8"/>
  </cols>
  <sheetData>
    <row r="1">
      <c r="A1" s="4" t="inlineStr">
        <is>
          <t>Ref</t>
        </is>
      </c>
      <c r="B1" s="4" t="inlineStr">
        <is>
          <t>Claim IDs</t>
        </is>
      </c>
      <c r="C1" s="4" t="inlineStr">
        <is>
          <t>Source</t>
        </is>
      </c>
      <c r="D1" s="4" t="inlineStr">
        <is>
          <t>Publisher</t>
        </is>
      </c>
      <c r="E1" s="4" t="inlineStr">
        <is>
          <t>Date</t>
        </is>
      </c>
      <c r="F1" s="4" t="inlineStr">
        <is>
          <t>Type</t>
        </is>
      </c>
      <c r="G1" s="4" t="inlineStr">
        <is>
          <t>Reliability note</t>
        </is>
      </c>
      <c r="H1" s="4" t="inlineStr">
        <is>
          <t>URL</t>
        </is>
      </c>
    </row>
    <row r="2">
      <c r="A2" s="2" t="inlineStr">
        <is>
          <t>1</t>
        </is>
      </c>
      <c r="B2" s="2" t="inlineStr">
        <is>
          <t>CC-001</t>
        </is>
      </c>
      <c r="C2" s="2" t="inlineStr">
        <is>
          <t>Concrete layer won't damage Upper Barrakka trees, Ambjent Malta says (N. Meilak)</t>
        </is>
      </c>
      <c r="D2" s="2" t="inlineStr">
        <is>
          <t>Times of Malta</t>
        </is>
      </c>
      <c r="E2" s="2" t="inlineStr">
        <is>
          <t>1 Oct 2026</t>
        </is>
      </c>
      <c r="F2" s="2" t="inlineStr">
        <is>
          <t>News (full text read)</t>
        </is>
      </c>
      <c r="G2" s="2" t="inlineStr">
        <is>
          <t>Primary for the claim. Supplied as PDF.</t>
        </is>
      </c>
      <c r="H2" s="2" t="inlineStr">
        <is>
          <t>Supplied by user (PDF)</t>
        </is>
      </c>
    </row>
    <row r="3">
      <c r="A3" s="2" t="inlineStr">
        <is>
          <t>2</t>
        </is>
      </c>
      <c r="B3" s="2" t="inlineStr">
        <is>
          <t>CC-001</t>
        </is>
      </c>
      <c r="C3" s="2" t="inlineStr">
        <is>
          <t>Wirt Artna explains concrete around Upper Barrakka tree</t>
        </is>
      </c>
      <c r="D3" s="2" t="inlineStr">
        <is>
          <t>Newsbook</t>
        </is>
      </c>
      <c r="E3" s="2" t="inlineStr">
        <is>
          <t>1 Oct 2026</t>
        </is>
      </c>
      <c r="F3" s="2" t="inlineStr">
        <is>
          <t>News (excerpt only)</t>
        </is>
      </c>
      <c r="G3" s="2" t="inlineStr">
        <is>
          <t>Page blocks automated access.</t>
        </is>
      </c>
      <c r="H3" s="5" t="inlineStr">
        <is>
          <t>https://newsbook.com.mt/en/wirt-artna-explains-concrete-around-upper-barrakka-tree-it-is-protecting-historic-tunnels/</t>
        </is>
      </c>
    </row>
    <row r="4">
      <c r="A4" s="2" t="inlineStr">
        <is>
          <t>3</t>
        </is>
      </c>
      <c r="B4" s="2" t="inlineStr">
        <is>
          <t>CC-001</t>
        </is>
      </c>
      <c r="C4" s="2" t="inlineStr">
        <is>
          <t>Parts of Upper Barrakka have been cemented over, but don't panic just yet...</t>
        </is>
      </c>
      <c r="D4" s="2" t="inlineStr">
        <is>
          <t>MaltaToday</t>
        </is>
      </c>
      <c r="E4" s="2" t="inlineStr">
        <is>
          <t>c. Dec 2025</t>
        </is>
      </c>
      <c r="F4" s="2" t="inlineStr">
        <is>
          <t>News (full text read)</t>
        </is>
      </c>
      <c r="G4" s="2" t="inlineStr">
        <is>
          <t>Earlier phase of works; quotes the executive chairman of Fondazzjoni Wirt Artna.</t>
        </is>
      </c>
      <c r="H4" s="5" t="inlineStr">
        <is>
          <t>https://www.maltatoday.com.mt/environment/environment/138909/parts_of_upper_barrakka_have_been_cemented_over_but_dont_panic_just_yet</t>
        </is>
      </c>
    </row>
    <row r="5">
      <c r="A5" s="2" t="inlineStr">
        <is>
          <t>4</t>
        </is>
      </c>
      <c r="B5" s="2" t="inlineStr">
        <is>
          <t>CC-002</t>
        </is>
      </c>
      <c r="C5" s="2" t="inlineStr">
        <is>
          <t>ERA clarifies environmental measures linked to the Comino Hotel project</t>
        </is>
      </c>
      <c r="D5" s="2" t="inlineStr">
        <is>
          <t>Environment and Resources Authority</t>
        </is>
      </c>
      <c r="E5" s="2" t="inlineStr">
        <is>
          <t>11 Aug 2026</t>
        </is>
      </c>
      <c r="F5" s="2" t="inlineStr">
        <is>
          <t>Regulator statement</t>
        </is>
      </c>
      <c r="G5" s="2" t="inlineStr">
        <is>
          <t>Primary. Source of the 54 / 540 / 678 / 92% / 348 figures.</t>
        </is>
      </c>
      <c r="H5" s="5" t="inlineStr">
        <is>
          <t>https://era.org.mt/press-releases/era-clarifies-environmental-measures-linked-to-the-comino-hotel-project/</t>
        </is>
      </c>
    </row>
    <row r="6">
      <c r="A6" s="2" t="inlineStr">
        <is>
          <t>5</t>
        </is>
      </c>
      <c r="B6" s="2" t="inlineStr">
        <is>
          <t>CC-002</t>
        </is>
      </c>
      <c r="C6" s="2" t="inlineStr">
        <is>
          <t>Comino trees: ERA says its decisions based on expert advice, Maltese law</t>
        </is>
      </c>
      <c r="D6" s="2" t="inlineStr">
        <is>
          <t>Newsbook</t>
        </is>
      </c>
      <c r="E6" s="2" t="inlineStr">
        <is>
          <t>11 Aug 2026</t>
        </is>
      </c>
      <c r="F6" s="2" t="inlineStr">
        <is>
          <t>News</t>
        </is>
      </c>
      <c r="G6" s="2" t="inlineStr">
        <is>
          <t>Gives the 624 non-protected figure.</t>
        </is>
      </c>
      <c r="H6" s="5" t="inlineStr">
        <is>
          <t>https://newsbook.com.mt/en/comino-trees-era-says-its-decisions-based-on-expert-advice-maltese-law/</t>
        </is>
      </c>
    </row>
    <row r="7">
      <c r="A7" s="2" t="inlineStr">
        <is>
          <t>6</t>
        </is>
      </c>
      <c r="B7" s="2" t="inlineStr">
        <is>
          <t>CC-002</t>
        </is>
      </c>
      <c r="C7" s="2" t="inlineStr">
        <is>
          <t>ERA urged to refuse permit for removal of 800 trees from Comino</t>
        </is>
      </c>
      <c r="D7" s="2" t="inlineStr">
        <is>
          <t>Newsbook</t>
        </is>
      </c>
      <c r="E7" s="2" t="inlineStr">
        <is>
          <t>5 Aug 2026</t>
        </is>
      </c>
      <c r="F7" s="2" t="inlineStr">
        <is>
          <t>News</t>
        </is>
      </c>
      <c r="G7" s="2" t="inlineStr">
        <is>
          <t>NGO's count and developer's counter-figures.</t>
        </is>
      </c>
      <c r="H7" s="5" t="inlineStr">
        <is>
          <t>https://newsbook.com.mt/en/era-urged-to-refuse-permit-for-removal-of-800-trees-from-comino/</t>
        </is>
      </c>
    </row>
    <row r="8">
      <c r="A8" s="2" t="inlineStr">
        <is>
          <t>7</t>
        </is>
      </c>
      <c r="B8" s="2" t="inlineStr">
        <is>
          <t>CC-002</t>
        </is>
      </c>
      <c r="C8" s="2" t="inlineStr">
        <is>
          <t>ERA approves preliminary works for proposed Comino hotel</t>
        </is>
      </c>
      <c r="D8" s="2" t="inlineStr">
        <is>
          <t>MaltaToday</t>
        </is>
      </c>
      <c r="E8" s="2" t="inlineStr">
        <is>
          <t>Aug 2026</t>
        </is>
      </c>
      <c r="F8" s="2" t="inlineStr">
        <is>
          <t>News</t>
        </is>
      </c>
      <c r="G8" s="2" t="inlineStr">
        <is>
          <t>Reports ERA board vote and NGO position.</t>
        </is>
      </c>
      <c r="H8" s="5" t="inlineStr">
        <is>
          <t>https://www.maltatoday.com.mt/environment/planning/143667/era_approves_preliminary_works_for_proposed_comino_hotel</t>
        </is>
      </c>
    </row>
    <row r="9">
      <c r="A9" s="2" t="inlineStr">
        <is>
          <t>8</t>
        </is>
      </c>
      <c r="B9" s="2" t="inlineStr">
        <is>
          <t>CC-002</t>
        </is>
      </c>
      <c r="C9" s="2" t="inlineStr">
        <is>
          <t>Excavation and tree uprooting on Comino suspended following crowdfunded NGO appeal</t>
        </is>
      </c>
      <c r="D9" s="2" t="inlineStr">
        <is>
          <t>Moviment Graffitti</t>
        </is>
      </c>
      <c r="E9" s="2" t="inlineStr">
        <is>
          <t>30 Sep 2026</t>
        </is>
      </c>
      <c r="F9" s="2" t="inlineStr">
        <is>
          <t>NGO statement</t>
        </is>
      </c>
      <c r="G9" s="2" t="inlineStr">
        <is>
          <t>Advocacy source. Use for the tribunal suspension; confirm with tribunal record.</t>
        </is>
      </c>
      <c r="H9" s="5" t="inlineStr">
        <is>
          <t>https://mail.movimentgraffitti.org/2026/09/30/excavation-and-tree-uprooting-on-comino-suspended-following-crowdfunded-ngo-appeal-but-the-fight-to-save-comino-continues/</t>
        </is>
      </c>
    </row>
    <row r="10">
      <c r="A10" s="2" t="inlineStr">
        <is>
          <t>9</t>
        </is>
      </c>
      <c r="B10" s="2" t="inlineStr">
        <is>
          <t>CC-003</t>
        </is>
      </c>
      <c r="C10" s="2" t="inlineStr">
        <is>
          <t>Malta set to increase emissions as EU cuts carbon output (citing EC 2025 Climate Action Progress Report)</t>
        </is>
      </c>
      <c r="D10" s="2" t="inlineStr">
        <is>
          <t>Italpress / MNA</t>
        </is>
      </c>
      <c r="E10" s="2" t="inlineStr">
        <is>
          <t>Nov 2025</t>
        </is>
      </c>
      <c r="F10" s="2" t="inlineStr">
        <is>
          <t>News relay of EU report</t>
        </is>
      </c>
      <c r="G10" s="2" t="inlineStr">
        <is>
          <t>Find the EU report itself for the 30% projection and 49-point shortfall.</t>
        </is>
      </c>
      <c r="H10" s="5" t="inlineStr">
        <is>
          <t>https://www.italpress.com/?p=605399</t>
        </is>
      </c>
    </row>
    <row r="11">
      <c r="A11" s="2" t="inlineStr">
        <is>
          <t>10</t>
        </is>
      </c>
      <c r="B11" s="2" t="inlineStr">
        <is>
          <t>CC-003</t>
        </is>
      </c>
      <c r="C11" s="2" t="inlineStr">
        <is>
          <t>Malta cuts emissions faster than EU average, report shows</t>
        </is>
      </c>
      <c r="D11" s="2" t="inlineStr">
        <is>
          <t>MaltaToday</t>
        </is>
      </c>
      <c r="E11" s="2" t="inlineStr">
        <is>
          <t>Nov 2025</t>
        </is>
      </c>
      <c r="F11" s="2" t="inlineStr">
        <is>
          <t>News</t>
        </is>
      </c>
      <c r="G11" s="2" t="inlineStr">
        <is>
          <t>Carries the Climate Action Authority framing.</t>
        </is>
      </c>
      <c r="H11" s="5" t="inlineStr">
        <is>
          <t>https://www.maltatoday.com.mt/news/national/138271/malta_cuts_emissions_faster_than_eu_average_report_shows</t>
        </is>
      </c>
    </row>
    <row r="12">
      <c r="A12" s="2" t="inlineStr">
        <is>
          <t>11</t>
        </is>
      </c>
      <c r="B12" s="2" t="inlineStr">
        <is>
          <t>CC-003</t>
        </is>
      </c>
      <c r="C12" s="2" t="inlineStr">
        <is>
          <t>Facts: emissions (June 2026)</t>
        </is>
      </c>
      <c r="D12" s="2" t="inlineStr">
        <is>
          <t>Climate Action Authority</t>
        </is>
      </c>
      <c r="E12" s="2" t="inlineStr">
        <is>
          <t>Jun 2026</t>
        </is>
      </c>
      <c r="F12" s="2" t="inlineStr">
        <is>
          <t>Government factsheet</t>
        </is>
      </c>
      <c r="G12" s="2" t="inlineStr">
        <is>
          <t>Primary for the authority's framing.</t>
        </is>
      </c>
      <c r="H12" s="5" t="inlineStr">
        <is>
          <t>https://climateaction.gov.mt/wp-content/uploads/2026/06/FACTS-EMISSIONS-JUNE-26.pdf</t>
        </is>
      </c>
    </row>
    <row r="13">
      <c r="A13" s="2" t="inlineStr">
        <is>
          <t>12</t>
        </is>
      </c>
      <c r="B13" s="2" t="inlineStr">
        <is>
          <t>CC-003</t>
        </is>
      </c>
      <c r="C13" s="2" t="inlineStr">
        <is>
          <t>Renewable Energy 2026: Malta</t>
        </is>
      </c>
      <c r="D13" s="2" t="inlineStr">
        <is>
          <t>Chambers Practice Guides</t>
        </is>
      </c>
      <c r="E13" s="2" t="inlineStr">
        <is>
          <t>11 Sep 2026</t>
        </is>
      </c>
      <c r="F13" s="2" t="inlineStr">
        <is>
          <t>Legal practice guide</t>
        </is>
      </c>
      <c r="G13" s="2" t="inlineStr">
        <is>
          <t>Secondary. Source of the 10-11% renewable share.</t>
        </is>
      </c>
      <c r="H13" s="5" t="inlineStr">
        <is>
          <t>https://practiceguides.chambers.com/practice-guides/renewable-energy-2026/malta</t>
        </is>
      </c>
    </row>
    <row r="14">
      <c r="A14" s="2" t="inlineStr">
        <is>
          <t>13</t>
        </is>
      </c>
      <c r="B14" s="2" t="inlineStr">
        <is>
          <t>CC-004</t>
        </is>
      </c>
      <c r="C14" s="2" t="inlineStr">
        <is>
          <t>Malta records strong progress in waste separation</t>
        </is>
      </c>
      <c r="D14" s="2" t="inlineStr">
        <is>
          <t>gov.mt press release</t>
        </is>
      </c>
      <c r="E14" s="2" t="inlineStr">
        <is>
          <t>19 Jan 2026</t>
        </is>
      </c>
      <c r="F14" s="2" t="inlineStr">
        <is>
          <t>Government statement</t>
        </is>
      </c>
      <c r="G14" s="2" t="inlineStr">
        <is>
          <t>Primary. Source of 412 million kg diverted.</t>
        </is>
      </c>
      <c r="H14" s="5" t="inlineStr">
        <is>
          <t>https://www.gov.mt/en/Government/DOI/Press%20Releases/Pages/2026/01/19/PR260072en.aspx</t>
        </is>
      </c>
    </row>
    <row r="15">
      <c r="A15" s="2" t="inlineStr">
        <is>
          <t>14</t>
        </is>
      </c>
      <c r="B15" s="2" t="inlineStr">
        <is>
          <t>CC-004</t>
        </is>
      </c>
      <c r="C15" s="2" t="inlineStr">
        <is>
          <t>Malta records strong progress in waste separation (Public Service)</t>
        </is>
      </c>
      <c r="D15" s="2" t="inlineStr">
        <is>
          <t>publicservice.gov.mt</t>
        </is>
      </c>
      <c r="E15" s="2" t="inlineStr">
        <is>
          <t>23 Jan 2026</t>
        </is>
      </c>
      <c r="F15" s="2" t="inlineStr">
        <is>
          <t>Government statement</t>
        </is>
      </c>
      <c r="G15" s="2" t="inlineStr">
        <is>
          <t>Primary. Source of the mixed-waste figures.</t>
        </is>
      </c>
      <c r="H15" s="5" t="inlineStr">
        <is>
          <t>https://publicservice.gov.mt/en/news/malta-records-strong-progress-in-waste-separation</t>
        </is>
      </c>
    </row>
    <row r="16">
      <c r="A16" s="2" t="inlineStr">
        <is>
          <t>15</t>
        </is>
      </c>
      <c r="B16" s="2" t="inlineStr">
        <is>
          <t>CC-004 / 005 / 006</t>
        </is>
      </c>
      <c r="C16" s="2" t="inlineStr">
        <is>
          <t>Environmental Implementation Review 2025: Malta</t>
        </is>
      </c>
      <c r="D16" s="2" t="inlineStr">
        <is>
          <t>European Commission (OP)</t>
        </is>
      </c>
      <c r="E16" s="2" t="inlineStr">
        <is>
          <t>2025</t>
        </is>
      </c>
      <c r="F16" s="2" t="inlineStr">
        <is>
          <t>EU report</t>
        </is>
      </c>
      <c r="G16" s="2" t="inlineStr">
        <is>
          <t>Independent anchor: recycling, bathing water, wastewater, trapping, sealed soil.</t>
        </is>
      </c>
      <c r="H16" s="5" t="inlineStr">
        <is>
          <t>https://op.europa.eu/webpub/env/eir-country-reports-summaries/en/malta.html</t>
        </is>
      </c>
    </row>
    <row r="17">
      <c r="A17" s="2" t="inlineStr">
        <is>
          <t>16</t>
        </is>
      </c>
      <c r="B17" s="2" t="inlineStr">
        <is>
          <t>CC-004</t>
        </is>
      </c>
      <c r="C17" s="2" t="inlineStr">
        <is>
          <t>ERA welcomes progress in recycling (2023 NSO data)</t>
        </is>
      </c>
      <c r="D17" s="2" t="inlineStr">
        <is>
          <t>ERA</t>
        </is>
      </c>
      <c r="E17" s="2" t="inlineStr">
        <is>
          <t>19 Feb 2025</t>
        </is>
      </c>
      <c r="F17" s="2" t="inlineStr">
        <is>
          <t>Regulator statement</t>
        </is>
      </c>
      <c r="G17" s="2" t="inlineStr">
        <is>
          <t>Source of the '68% recycled' figure, which ERA states is for construction and demolition waste.</t>
        </is>
      </c>
      <c r="H17" s="5" t="inlineStr">
        <is>
          <t>https://era.org.mt/?p=53057</t>
        </is>
      </c>
    </row>
    <row r="18">
      <c r="A18" s="2" t="inlineStr">
        <is>
          <t>17</t>
        </is>
      </c>
      <c r="B18" s="2" t="inlineStr">
        <is>
          <t>CC-004</t>
        </is>
      </c>
      <c r="C18" s="2" t="inlineStr">
        <is>
          <t>Solid Waste Management 2024</t>
        </is>
      </c>
      <c r="D18" s="2" t="inlineStr">
        <is>
          <t>NSO</t>
        </is>
      </c>
      <c r="E18" s="2" t="inlineStr">
        <is>
          <t>17 Feb 2026</t>
        </is>
      </c>
      <c r="F18" s="2" t="inlineStr">
        <is>
          <t>Official statistics</t>
        </is>
      </c>
      <c r="G18" s="2" t="inlineStr">
        <is>
          <t>Primary data for the recycling-rate test.</t>
        </is>
      </c>
      <c r="H18" s="5" t="inlineStr">
        <is>
          <t>https://nso.gov.mt/solid-waste-management-2024/</t>
        </is>
      </c>
    </row>
    <row r="19">
      <c r="A19" s="2" t="inlineStr">
        <is>
          <t>18</t>
        </is>
      </c>
      <c r="B19" s="2" t="inlineStr">
        <is>
          <t>CC-005</t>
        </is>
      </c>
      <c r="C19" s="2" t="inlineStr">
        <is>
          <t>EU Court finds Malta in breach of its wastewater treatment obligations</t>
        </is>
      </c>
      <c r="D19" s="2" t="inlineStr">
        <is>
          <t>MaltaToday</t>
        </is>
      </c>
      <c r="E19" s="2" t="inlineStr">
        <is>
          <t>n/d</t>
        </is>
      </c>
      <c r="F19" s="2" t="inlineStr">
        <is>
          <t>News</t>
        </is>
      </c>
      <c r="G19" s="2" t="inlineStr">
        <is>
          <t>Reports the ECJ finding on treatment capacity.</t>
        </is>
      </c>
      <c r="H19" s="5" t="inlineStr">
        <is>
          <t>https://maltatoday.com.mt/news/europe/131800/eu_court_finds_malta_in_breach_of_its_wastewater_treatment_obligations</t>
        </is>
      </c>
    </row>
    <row r="20">
      <c r="A20" s="2" t="inlineStr">
        <is>
          <t>19</t>
        </is>
      </c>
      <c r="B20" s="2" t="inlineStr">
        <is>
          <t>CC-005</t>
        </is>
      </c>
      <c r="C20" s="2" t="inlineStr">
        <is>
          <t>Malta beaches waters (relaying Malta Independent)</t>
        </is>
      </c>
      <c r="D20" s="2" t="inlineStr">
        <is>
          <t>TravelMole</t>
        </is>
      </c>
      <c r="E20" s="2" t="inlineStr">
        <is>
          <t>n/d</t>
        </is>
      </c>
      <c r="F20" s="2" t="inlineStr">
        <is>
          <t>Travel news relay</t>
        </is>
      </c>
      <c r="G20" s="2" t="inlineStr">
        <is>
          <t>Lower reliability. Lead only; confirm closures in primary sources.</t>
        </is>
      </c>
      <c r="H20" s="5" t="inlineStr">
        <is>
          <t>https://travelmole.com/news/malta-beaches-waters/</t>
        </is>
      </c>
    </row>
    <row r="21">
      <c r="A21" s="2" t="inlineStr">
        <is>
          <t>20</t>
        </is>
      </c>
      <c r="B21" s="2" t="inlineStr">
        <is>
          <t>CC-006</t>
        </is>
      </c>
      <c r="C21" s="2" t="inlineStr">
        <is>
          <t>Malta greenlights 2026 spring hunting season</t>
        </is>
      </c>
      <c r="D21" s="2" t="inlineStr">
        <is>
          <t>CABS (Committee Against Bird Slaughter)</t>
        </is>
      </c>
      <c r="E21" s="2" t="inlineStr">
        <is>
          <t>1 Apr 2026</t>
        </is>
      </c>
      <c r="F21" s="2" t="inlineStr">
        <is>
          <t>Campaign group</t>
        </is>
      </c>
      <c r="G21" s="2" t="inlineStr">
        <is>
          <t>Advocacy source. Confirm dates and limits in WBRU documents.</t>
        </is>
      </c>
      <c r="H21" s="5" t="inlineStr">
        <is>
          <t>https://www.komitee.de/en/latest-news/news/malta-green-light-spring-hunting/</t>
        </is>
      </c>
    </row>
    <row r="22">
      <c r="A22" s="2" t="inlineStr">
        <is>
          <t>21</t>
        </is>
      </c>
      <c r="B22" s="2" t="inlineStr">
        <is>
          <t>CC-006</t>
        </is>
      </c>
      <c r="C22" s="2" t="inlineStr">
        <is>
          <t>Spring hunting for turtle dove set to return after Ornis votes in favour</t>
        </is>
      </c>
      <c r="D22" s="2" t="inlineStr">
        <is>
          <t>MaltaToday</t>
        </is>
      </c>
      <c r="E22" s="2" t="inlineStr">
        <is>
          <t>n/d</t>
        </is>
      </c>
      <c r="F22" s="2" t="inlineStr">
        <is>
          <t>News</t>
        </is>
      </c>
      <c r="G22" s="2" t="inlineStr">
        <is>
          <t>Reports the Ornis vote and FKNK position.</t>
        </is>
      </c>
      <c r="H22" s="5" t="inlineStr">
        <is>
          <t>https://www.maltatoday.com.mt/environment/environment/115708/spring_hunting_for_turtle_dove_set_to_return_after_ornis_votes_in_favour</t>
        </is>
      </c>
    </row>
    <row r="23">
      <c r="A23" s="2" t="inlineStr">
        <is>
          <t>22</t>
        </is>
      </c>
      <c r="B23" s="2" t="inlineStr">
        <is>
          <t>CC-006</t>
        </is>
      </c>
      <c r="C23" s="2" t="inlineStr">
        <is>
          <t>The importance of spring hunting in Malta on European Turtle-Dove and Common Quail populations</t>
        </is>
      </c>
      <c r="D23" s="2" t="inlineStr">
        <is>
          <t>Humboldt-Universität zu Berlin (edoc)</t>
        </is>
      </c>
      <c r="E23" s="2" t="inlineStr">
        <is>
          <t>n/d</t>
        </is>
      </c>
      <c r="F23" s="2" t="inlineStr">
        <is>
          <t>Peer-reviewed</t>
        </is>
      </c>
      <c r="G23" s="2" t="inlineStr">
        <is>
          <t>Uses hunter-provided figures; wide error margins stated by the authors.</t>
        </is>
      </c>
      <c r="H23" s="5" t="inlineStr">
        <is>
          <t>https://edoc.hu-berlin.de/18452/26405</t>
        </is>
      </c>
    </row>
    <row r="24">
      <c r="A24" s="2" t="inlineStr">
        <is>
          <t>23</t>
        </is>
      </c>
      <c r="B24" s="2" t="inlineStr">
        <is>
          <t>CC-007</t>
        </is>
      </c>
      <c r="C24" s="2" t="inlineStr">
        <is>
          <t>Air pollution exceeds WHO guidelines throughout Maltese islands</t>
        </is>
      </c>
      <c r="D24" s="2" t="inlineStr">
        <is>
          <t>Newsbook</t>
        </is>
      </c>
      <c r="E24" s="2" t="inlineStr">
        <is>
          <t>2025</t>
        </is>
      </c>
      <c r="F24" s="2" t="inlineStr">
        <is>
          <t>News</t>
        </is>
      </c>
      <c r="G24" s="2" t="inlineStr">
        <is>
          <t>Reports the Minister's parliamentary figures (2020-2024).</t>
        </is>
      </c>
      <c r="H24" s="5" t="inlineStr">
        <is>
          <t>https://newsbook.com.mt/en/air-pollution-exceeds-who-guidelines-throughout-maltese-islands/</t>
        </is>
      </c>
    </row>
    <row r="25">
      <c r="A25" s="2" t="inlineStr">
        <is>
          <t>24</t>
        </is>
      </c>
      <c r="B25" s="2" t="inlineStr">
        <is>
          <t>CC-007</t>
        </is>
      </c>
      <c r="C25" s="2" t="inlineStr">
        <is>
          <t>arja.mt: real-time air quality for Malta</t>
        </is>
      </c>
      <c r="D25" s="2" t="inlineStr">
        <is>
          <t>arja.mt</t>
        </is>
      </c>
      <c r="E25" s="2" t="inlineStr">
        <is>
          <t>Live</t>
        </is>
      </c>
      <c r="F25" s="2" t="inlineStr">
        <is>
          <t>Open data portal</t>
        </is>
      </c>
      <c r="G25" s="2" t="inlineStr">
        <is>
          <t>Built on ERA station data.</t>
        </is>
      </c>
      <c r="H25" s="5" t="inlineStr">
        <is>
          <t>https://arja.mt/</t>
        </is>
      </c>
    </row>
    <row r="26">
      <c r="A26" s="2" t="inlineStr">
        <is>
          <t>25</t>
        </is>
      </c>
      <c r="B26" s="2" t="inlineStr">
        <is>
          <t>CC-008</t>
        </is>
      </c>
      <c r="C26" s="2" t="inlineStr">
        <is>
          <t>No social impact assessment yet for Msida flyovers</t>
        </is>
      </c>
      <c r="D26" s="2" t="inlineStr">
        <is>
          <t>MaltaToday</t>
        </is>
      </c>
      <c r="E26" s="2" t="inlineStr">
        <is>
          <t>28 Jan 2021</t>
        </is>
      </c>
      <c r="F26" s="2" t="inlineStr">
        <is>
          <t>News</t>
        </is>
      </c>
      <c r="G26" s="2" t="inlineStr">
        <is>
          <t>Records Infrastructure Malta's congestion and air-quality claims. Date from the search index and first Wayback capture; page blocks scripts.</t>
        </is>
      </c>
      <c r="H26" s="5" t="inlineStr">
        <is>
          <t>https://www.maltatoday.com.mt/environment/townscapes/107316/no_social_impact_assessment_yet_for_msida_flyovers</t>
        </is>
      </c>
    </row>
    <row r="27">
      <c r="A27" s="2" t="inlineStr">
        <is>
          <t>26</t>
        </is>
      </c>
      <c r="B27" s="2" t="inlineStr">
        <is>
          <t>CC-008</t>
        </is>
      </c>
      <c r="C27" s="2" t="inlineStr">
        <is>
          <t>No EIA needed for Msida flyover project, ERA says</t>
        </is>
      </c>
      <c r="D27" s="2" t="inlineStr">
        <is>
          <t>MaltaToday</t>
        </is>
      </c>
      <c r="E27" s="2" t="inlineStr">
        <is>
          <t>4 Mar 2021</t>
        </is>
      </c>
      <c r="F27" s="2" t="inlineStr">
        <is>
          <t>News</t>
        </is>
      </c>
      <c r="G27" s="2" t="inlineStr">
        <is>
          <t>Source of 430 removed / 313 planted. Date from the search index and first Wayback capture; page blocks scripts.</t>
        </is>
      </c>
      <c r="H27" s="5" t="inlineStr">
        <is>
          <t>https://www.maltatoday.com.mt/environment/planning/108072/no_eia_needed_for_msida_flyover_project_era_says</t>
        </is>
      </c>
    </row>
    <row r="28">
      <c r="A28" s="2" t="inlineStr">
        <is>
          <t>27</t>
        </is>
      </c>
      <c r="B28" s="2" t="inlineStr">
        <is>
          <t>CC-008</t>
        </is>
      </c>
      <c r="C28" s="2" t="inlineStr">
        <is>
          <t>All Marsa Junction Project flyovers now open</t>
        </is>
      </c>
      <c r="D28" s="2" t="inlineStr">
        <is>
          <t>MaltaToday</t>
        </is>
      </c>
      <c r="E28" s="2" t="inlineStr">
        <is>
          <t>14 Nov 2020</t>
        </is>
      </c>
      <c r="F28" s="2" t="inlineStr">
        <is>
          <t>News</t>
        </is>
      </c>
      <c r="G28" s="2" t="inlineStr">
        <is>
          <t>Records the Marsa emissions claim. Date from the search index and first Wayback capture; IM's own release is dated 14 Nov 2020.</t>
        </is>
      </c>
      <c r="H28" s="5" t="inlineStr">
        <is>
          <t>https://www.maltatoday.com.mt/news/national/105894/all_marsa_junction_project_flyovers_now_open</t>
        </is>
      </c>
    </row>
    <row r="29">
      <c r="A29" s="2" t="inlineStr">
        <is>
          <t>28</t>
        </is>
      </c>
      <c r="B29" s="2" t="inlineStr">
        <is>
          <t>CC-008</t>
        </is>
      </c>
      <c r="C29" s="2" t="inlineStr">
        <is>
          <t>Over 3,000 vehicles added to Malta's roads in three months</t>
        </is>
      </c>
      <c r="D29" s="2" t="inlineStr">
        <is>
          <t>MaltaToday (NSO figures)</t>
        </is>
      </c>
      <c r="E29" s="2" t="inlineStr">
        <is>
          <t>Q2 2026</t>
        </is>
      </c>
      <c r="F29" s="2" t="inlineStr">
        <is>
          <t>News relay of NSO</t>
        </is>
      </c>
      <c r="G29" s="2" t="inlineStr">
        <is>
          <t>Find the NSO release for the primary figure.</t>
        </is>
      </c>
      <c r="H29" s="5" t="inlineStr">
        <is>
          <t>https://www.maltatoday.com.mt/news/national/143850/over_3000_vehicles_added_to_maltas_roads_in_three_months</t>
        </is>
      </c>
    </row>
    <row r="30">
      <c r="A30" s="2" t="inlineStr">
        <is>
          <t>29</t>
        </is>
      </c>
      <c r="B30" s="2" t="inlineStr">
        <is>
          <t>CC-008</t>
        </is>
      </c>
      <c r="C30" s="2" t="inlineStr">
        <is>
          <t>Msida Creek: enhancing connectivity and community spaces</t>
        </is>
      </c>
      <c r="D30" s="2" t="inlineStr">
        <is>
          <t>Infrastructure Malta</t>
        </is>
      </c>
      <c r="E30" s="2" t="inlineStr">
        <is>
          <t>28 Oct 2024</t>
        </is>
      </c>
      <c r="F30" s="2" t="inlineStr">
        <is>
          <t>Primary project statement</t>
        </is>
      </c>
      <c r="G30" s="2" t="inlineStr">
        <is>
          <t>Verbatim forecast about delays emissions and noise; not an outcome evaluation. Wording re-checked on the live page 5 Oct 2026; the v1.0 quote did not match it (v1.1 quotes the live page).</t>
        </is>
      </c>
      <c r="H30" s="5" t="inlineStr">
        <is>
          <t>https://www.infrastructuremalta.com/news/msida-creek-enhancing-connectivity-and-community-spaces</t>
        </is>
      </c>
    </row>
    <row r="31">
      <c r="A31" s="2" t="inlineStr">
        <is>
          <t>30</t>
        </is>
      </c>
      <c r="B31" s="2" t="inlineStr">
        <is>
          <t>CC-008</t>
        </is>
      </c>
      <c r="C31" s="2" t="inlineStr">
        <is>
          <t>Infrastructure Malta completes the Marsa Junction Project</t>
        </is>
      </c>
      <c r="D31" s="2" t="inlineStr">
        <is>
          <t>Infrastructure Malta</t>
        </is>
      </c>
      <c r="E31" s="2" t="inlineStr">
        <is>
          <t>15 Apr 2021</t>
        </is>
      </c>
      <c r="F31" s="2" t="inlineStr">
        <is>
          <t>Primary project statement</t>
        </is>
      </c>
      <c r="G31" s="2" t="inlineStr">
        <is>
          <t>Reports 79% travel-time and up-to-70% air-pollution reductions; underlying survey and calculation not linked.</t>
        </is>
      </c>
      <c r="H31" s="5" t="inlineStr">
        <is>
          <t>https://www.infrastructuremalta.com/news/infrastructure-malta-completes-marsa-junction-project</t>
        </is>
      </c>
    </row>
    <row r="32">
      <c r="A32" s="2" t="inlineStr">
        <is>
          <t>31</t>
        </is>
      </c>
      <c r="B32" s="2" t="inlineStr">
        <is>
          <t>CC-008</t>
        </is>
      </c>
      <c r="C32" s="2" t="inlineStr">
        <is>
          <t>The Msida Creek Project to commence in early November</t>
        </is>
      </c>
      <c r="D32" s="2" t="inlineStr">
        <is>
          <t>Infrastructure Malta</t>
        </is>
      </c>
      <c r="E32" s="2" t="inlineStr">
        <is>
          <t>21 Oct 2024</t>
        </is>
      </c>
      <c r="F32" s="2" t="inlineStr">
        <is>
          <t>Primary project update</t>
        </is>
      </c>
      <c r="G32" s="2" t="inlineStr">
        <is>
          <t>States completion targeted for 2027.</t>
        </is>
      </c>
      <c r="H32" s="5" t="inlineStr">
        <is>
          <t>https://www.infrastructuremalta.com/mcp</t>
        </is>
      </c>
    </row>
    <row r="33">
      <c r="A33" s="2" t="inlineStr">
        <is>
          <t>32</t>
        </is>
      </c>
      <c r="B33" s="2" t="inlineStr">
        <is>
          <t>CC-008</t>
        </is>
      </c>
      <c r="C33" s="2" t="inlineStr">
        <is>
          <t>Inawgurata l-flyover tal-Imsida Creek</t>
        </is>
      </c>
      <c r="D33" s="2" t="inlineStr">
        <is>
          <t>Office of the Prime Minister</t>
        </is>
      </c>
      <c r="E33" s="2" t="inlineStr">
        <is>
          <t>17 Dec 2025</t>
        </is>
      </c>
      <c r="F33" s="2" t="inlineStr">
        <is>
          <t>Primary project update</t>
        </is>
      </c>
      <c r="G33" s="2" t="inlineStr">
        <is>
          <t>Maltese-language statement says flyover inaugurated and vehicle use begins next day; full project benefits said to appear in later phases.</t>
        </is>
      </c>
      <c r="H33" s="5" t="inlineStr">
        <is>
          <t>https://primeminister.gov.mt/latest-news/pr252279/</t>
        </is>
      </c>
    </row>
    <row r="34">
      <c r="A34" s="2" t="inlineStr">
        <is>
          <t>33</t>
        </is>
      </c>
      <c r="B34" s="2" t="inlineStr">
        <is>
          <t>CC-008</t>
        </is>
      </c>
      <c r="C34" s="2" t="inlineStr">
        <is>
          <t>Periodic Marsa traffic surveys said to confirm benefits</t>
        </is>
      </c>
      <c r="D34" s="2" t="inlineStr">
        <is>
          <t>Times of Malta</t>
        </is>
      </c>
      <c r="E34" s="2" t="inlineStr">
        <is>
          <t>29 Nov 2021</t>
        </is>
      </c>
      <c r="F34" s="2" t="inlineStr">
        <is>
          <t>News report (secondary)</t>
        </is>
      </c>
      <c r="G34" s="2" t="inlineStr">
        <is>
          <t>Quotes IM spokesperson saying periodic surveys confirmed travel-time and air-quality benefits; survey data not included.</t>
        </is>
      </c>
      <c r="H34" s="5" t="inlineStr">
        <is>
          <t>https://timesofmalta.com/article/roads-agency-insists-marsa-junction-cuts-travel-time-by-70-despite.913440</t>
        </is>
      </c>
    </row>
    <row r="35">
      <c r="A35" s="2" t="inlineStr">
        <is>
          <t>34</t>
        </is>
      </c>
      <c r="B35" s="2" t="inlineStr">
        <is>
          <t>CC-008</t>
        </is>
      </c>
      <c r="C35" s="2" t="inlineStr">
        <is>
          <t>The Fundamental Law of Road Congestion: Evidence from US Cities</t>
        </is>
      </c>
      <c r="D35" s="2" t="inlineStr">
        <is>
          <t>American Economic Association</t>
        </is>
      </c>
      <c r="E35" s="2" t="inlineStr">
        <is>
          <t>2011</t>
        </is>
      </c>
      <c r="F35" s="2" t="inlineStr">
        <is>
          <t>Peer-reviewed study</t>
        </is>
      </c>
      <c r="G35" s="2" t="inlineStr">
        <is>
          <t>Observational US-city evidence on lane-kilometres and vehicle-kilometres; context differs from one Maltese junction.</t>
        </is>
      </c>
      <c r="H35" s="5" t="inlineStr">
        <is>
          <t>https://pubs.aeaweb.org/doi/abs/10.1257/aer.101.6.2616</t>
        </is>
      </c>
    </row>
    <row r="36">
      <c r="A36" s="2" t="inlineStr">
        <is>
          <t>35</t>
        </is>
      </c>
      <c r="B36" s="2" t="inlineStr">
        <is>
          <t>CC-008</t>
        </is>
      </c>
      <c r="C36" s="2" t="inlineStr">
        <is>
          <t>ERA project file PA/02053/20 and PA/06425/20</t>
        </is>
      </c>
      <c r="D36" s="2" t="inlineStr">
        <is>
          <t>Environment and Resources Authority</t>
        </is>
      </c>
      <c r="E36" s="2" t="inlineStr">
        <is>
          <t>Accessed 2 Oct 2026</t>
        </is>
      </c>
      <c r="F36" s="2" t="inlineStr">
        <is>
          <t>Regulatory record</t>
        </is>
      </c>
      <c r="G36" s="2" t="inlineStr">
        <is>
          <t>Planning/EIA record for Msida Creek; project description contains expected benefits, not observed post-opening outcomes.</t>
        </is>
      </c>
      <c r="H36" s="5" t="inlineStr">
        <is>
          <t>https://era.org.mt/era-project/pa02053-20_pa06425-20/</t>
        </is>
      </c>
    </row>
    <row r="37">
      <c r="A37" s="2" t="inlineStr">
        <is>
          <t>29</t>
        </is>
      </c>
      <c r="B37" s="2" t="inlineStr">
        <is>
          <t>CC-009</t>
        </is>
      </c>
      <c r="C37" s="2" t="inlineStr">
        <is>
          <t>Nearly two-thirds of your tap water comes from the sea</t>
        </is>
      </c>
      <c r="D37" s="2" t="inlineStr">
        <is>
          <t>MaltaToday</t>
        </is>
      </c>
      <c r="E37" s="2" t="inlineStr">
        <is>
          <t>2022 data</t>
        </is>
      </c>
      <c r="F37" s="2" t="inlineStr">
        <is>
          <t>News (WSC annual report)</t>
        </is>
      </c>
      <c r="G37" s="2" t="inlineStr">
        <is>
          <t>Figures are for 2022; update.</t>
        </is>
      </c>
      <c r="H37" s="5" t="inlineStr">
        <is>
          <t>https://www.maltatoday.com.mt/news/national/123510/nearly_twothirds_of_your_tap_water_comes_from_the_sea_</t>
        </is>
      </c>
    </row>
    <row r="38">
      <c r="A38" s="2" t="inlineStr">
        <is>
          <t>30</t>
        </is>
      </c>
      <c r="B38" s="2" t="inlineStr">
        <is>
          <t>CC-009</t>
        </is>
      </c>
      <c r="C38" s="2" t="inlineStr">
        <is>
          <t>Malta water table 'fails' test due to high nitrates</t>
        </is>
      </c>
      <c r="D38" s="2" t="inlineStr">
        <is>
          <t>MaltaToday</t>
        </is>
      </c>
      <c r="E38" s="2" t="inlineStr">
        <is>
          <t>n/d</t>
        </is>
      </c>
      <c r="F38" s="2" t="inlineStr">
        <is>
          <t>News</t>
        </is>
      </c>
      <c r="G38" s="2" t="inlineStr">
        <is>
          <t>Reports river-basin status; find the plan itself.</t>
        </is>
      </c>
      <c r="H38" s="5" t="inlineStr">
        <is>
          <t>https://www.maltatoday.com.mt/news/national/125093/malta_water_table_fails_test_due_to_high_nitrates</t>
        </is>
      </c>
    </row>
    <row r="39">
      <c r="A39" s="2" t="inlineStr">
        <is>
          <t>31</t>
        </is>
      </c>
      <c r="B39" s="2" t="inlineStr">
        <is>
          <t>CC-009</t>
        </is>
      </c>
      <c r="C39" s="2" t="inlineStr">
        <is>
          <t>35 million tender launched: new Għar Lapsi reverse osmosis plant</t>
        </is>
      </c>
      <c r="D39" s="2" t="inlineStr">
        <is>
          <t>Chambers (WH Partners)</t>
        </is>
      </c>
      <c r="E39" s="2" t="inlineStr">
        <is>
          <t>Aug 2026</t>
        </is>
      </c>
      <c r="F39" s="2" t="inlineStr">
        <is>
          <t>Legal article</t>
        </is>
      </c>
      <c r="G39" s="2" t="inlineStr">
        <is>
          <t>Source of the Aug 2026 tender facts.</t>
        </is>
      </c>
      <c r="H39" s="5" t="inlineStr">
        <is>
          <t>https://chambers.com/articles/35-million-tender-launched-new-għar-lapsi-reverse-osmosis-plant</t>
        </is>
      </c>
    </row>
    <row r="40">
      <c r="A40" s="2" t="inlineStr">
        <is>
          <t>32</t>
        </is>
      </c>
      <c r="B40" s="2" t="inlineStr">
        <is>
          <t>CC-010</t>
        </is>
      </c>
      <c r="C40" s="2" t="inlineStr">
        <is>
          <t>Over 8,000 new trees in 2024</t>
        </is>
      </c>
      <c r="D40" s="2" t="inlineStr">
        <is>
          <t>Project Green</t>
        </is>
      </c>
      <c r="E40" s="2" t="inlineStr">
        <is>
          <t>2024-12-31</t>
        </is>
      </c>
      <c r="F40" s="2" t="inlineStr">
        <is>
          <t>Government press release</t>
        </is>
      </c>
      <c r="G40" s="2" t="inlineStr">
        <is>
          <t>Primary wording: more than 8,000 trees and 25,000 shrubs planted in 2024; no survival inventory.</t>
        </is>
      </c>
      <c r="H40" s="5" t="inlineStr">
        <is>
          <t>https://projectgreen.mt/over-8000-new-trees-in-2024/</t>
        </is>
      </c>
    </row>
    <row r="41">
      <c r="A41" s="2" t="inlineStr">
        <is>
          <t>33</t>
        </is>
      </c>
      <c r="B41" s="2" t="inlineStr">
        <is>
          <t>CC-010</t>
        </is>
      </c>
      <c r="C41" s="2" t="inlineStr">
        <is>
          <t>Malta Flimkien: Manifest Elettorali 2022</t>
        </is>
      </c>
      <c r="D41" s="2" t="inlineStr">
        <is>
          <t>Partit Laburista</t>
        </is>
      </c>
      <c r="E41" s="2" t="inlineStr">
        <is>
          <t>2022</t>
        </is>
      </c>
      <c r="F41" s="2" t="inlineStr">
        <is>
          <t>Party manifesto</t>
        </is>
      </c>
      <c r="G41" s="2" t="inlineStr">
        <is>
          <t>Original party document located as a PDF hosted by Talk.mt; verify pledge 305 text and page.</t>
        </is>
      </c>
      <c r="H41" s="5" t="inlineStr">
        <is>
          <t>https://talk.mt/wp-content/uploads/2022/03/MALTA-FLIMKIEN-MANIFEST-ELETTORALI-2022.pdf</t>
        </is>
      </c>
    </row>
    <row r="42">
      <c r="A42" s="2" t="inlineStr">
        <is>
          <t>88</t>
        </is>
      </c>
      <c r="B42" s="2" t="inlineStr">
        <is>
          <t>CC-010</t>
        </is>
      </c>
      <c r="C42" s="2" t="inlineStr">
        <is>
          <t>PL manifesto: new mechanism to replace COLA, raft of planning reforms, new green areas</t>
        </is>
      </c>
      <c r="D42" s="2" t="inlineStr">
        <is>
          <t>The Malta Independent</t>
        </is>
      </c>
      <c r="E42" s="2" t="inlineStr">
        <is>
          <t>2022-03-11</t>
        </is>
      </c>
      <c r="F42" s="2" t="inlineStr">
        <is>
          <t>News (secondary)</t>
        </is>
      </c>
      <c r="G42" s="2" t="inlineStr">
        <is>
          <t>Locates the 100,000 trees over five years pledge; not a substitute for manifesto wording.</t>
        </is>
      </c>
      <c r="H42" s="5" t="inlineStr">
        <is>
          <t>https://www.independent.com.mt/articles/2022-03-11/local-news/PL-manifesto-new-mechanism-to-replace-COLA-raft-of-planning-reforms-new-green-areas-6736241368</t>
        </is>
      </c>
    </row>
    <row r="43">
      <c r="A43" s="2" t="inlineStr">
        <is>
          <t>89</t>
        </is>
      </c>
      <c r="B43" s="2" t="inlineStr">
        <is>
          <t>CC-010</t>
        </is>
      </c>
      <c r="C43" s="2" t="inlineStr">
        <is>
          <t>Distribution of trees begins to the first beneficiaries of the tree-planting initiative</t>
        </is>
      </c>
      <c r="D43" s="2" t="inlineStr">
        <is>
          <t>Ministry for the Environment, Energy and Public Cleanliness</t>
        </is>
      </c>
      <c r="E43" s="2" t="inlineStr">
        <is>
          <t>2026-04-15</t>
        </is>
      </c>
      <c r="F43" s="2" t="inlineStr">
        <is>
          <t>Government press release</t>
        </is>
      </c>
      <c r="G43" s="2" t="inlineStr">
        <is>
          <t>Distinct private-land initiative; reports 13,000 tree vouchers issued, not 13,000 planted.</t>
        </is>
      </c>
      <c r="H43" s="5" t="inlineStr">
        <is>
          <t>https://www.gov.mt/en/Government/DOI/Press%20Releases/Pages/2026/04/15/PR260616en.aspx</t>
        </is>
      </c>
    </row>
    <row r="44">
      <c r="A44" s="2" t="inlineStr">
        <is>
          <t>90</t>
        </is>
      </c>
      <c r="B44" s="2" t="inlineStr">
        <is>
          <t>CC-010</t>
        </is>
      </c>
      <c r="C44" s="2" t="inlineStr">
        <is>
          <t>Ambjent Malta Annual Report 2024</t>
        </is>
      </c>
      <c r="D44" s="2" t="inlineStr">
        <is>
          <t>Ambjent Malta</t>
        </is>
      </c>
      <c r="E44" s="2" t="inlineStr">
        <is>
          <t>2025</t>
        </is>
      </c>
      <c r="F44" s="2" t="inlineStr">
        <is>
          <t>Primary annual report</t>
        </is>
      </c>
      <c r="G44" s="2" t="inlineStr">
        <is>
          <t>Reports 3,209 trees and shrubs in Natura 2000 sites; partial coverage and mixed category.</t>
        </is>
      </c>
      <c r="H44" s="5" t="inlineStr">
        <is>
          <t>https://parlament.mt/media/136607/06228.pdf</t>
        </is>
      </c>
    </row>
    <row r="45">
      <c r="A45" s="2" t="inlineStr">
        <is>
          <t>91</t>
        </is>
      </c>
      <c r="B45" s="2" t="inlineStr">
        <is>
          <t>CC-010</t>
        </is>
      </c>
      <c r="C45" s="2" t="inlineStr">
        <is>
          <t>Analysis: A look into Malta’s declared climate emergency nearly 7 years later</t>
        </is>
      </c>
      <c r="D45" s="2" t="inlineStr">
        <is>
          <t>The Malta Independent</t>
        </is>
      </c>
      <c r="E45" s="2" t="inlineStr">
        <is>
          <t>2026-07-19</t>
        </is>
      </c>
      <c r="F45" s="2" t="inlineStr">
        <is>
          <t>News (secondary)</t>
        </is>
      </c>
      <c r="G45" s="2" t="inlineStr">
        <is>
          <t>Reports a 60,000-tree government figure and a Ministry for Education response; direct official record still required.</t>
        </is>
      </c>
      <c r="H45" s="5" t="inlineStr">
        <is>
          <t>https://www.independent.com.mt/articles/2026-07-19/local-news/Analysis-A-look-into-Malta-s-declared-climate-emergency-nearly-7-years-later-6736291454</t>
        </is>
      </c>
    </row>
    <row r="46">
      <c r="A46" s="2" t="inlineStr">
        <is>
          <t>92</t>
        </is>
      </c>
      <c r="B46" s="2" t="inlineStr">
        <is>
          <t>CC-010</t>
        </is>
      </c>
      <c r="C46" s="2" t="inlineStr">
        <is>
          <t>Parliamentary Question 34270: Project Green expenditure on purchasing and planting trees and shrubs</t>
        </is>
      </c>
      <c r="D46" s="2" t="inlineStr">
        <is>
          <t>House of Representatives of Malta</t>
        </is>
      </c>
      <c r="E46" s="2" t="inlineStr">
        <is>
          <t>2026-02-18</t>
        </is>
      </c>
      <c r="F46" s="2" t="inlineStr">
        <is>
          <t>Primary parliamentary record</t>
        </is>
      </c>
      <c r="G46" s="2" t="inlineStr">
        <is>
          <t>Environment Minister states relevant government entities planted around 60,000 trees and over 100,000 shrubs through end-2025; no agency breakdown or survival data.</t>
        </is>
      </c>
      <c r="H46" s="5" t="inlineStr">
        <is>
          <t>https://www.parlament.mt/media/137706/20260218_435o_par.pdf</t>
        </is>
      </c>
    </row>
    <row r="47">
      <c r="A47" s="2" t="inlineStr">
        <is>
          <t>93</t>
        </is>
      </c>
      <c r="B47" s="2" t="inlineStr">
        <is>
          <t>CC-010</t>
        </is>
      </c>
      <c r="C47" s="2" t="inlineStr">
        <is>
          <t>Mesh-shelters provide more effective long-term protection than tube-shelters or mulching for restoration of Pinus halepensis in a Mediterranean arid ecosystem</t>
        </is>
      </c>
      <c r="D47" s="2" t="inlineStr">
        <is>
          <t>Frontiers in Forests and Global Change</t>
        </is>
      </c>
      <c r="E47" s="2" t="inlineStr">
        <is>
          <t>2023</t>
        </is>
      </c>
      <c r="F47" s="2" t="inlineStr">
        <is>
          <t>Peer-reviewed primary research</t>
        </is>
      </c>
      <c r="G47" s="2" t="inlineStr">
        <is>
          <t>20-year south-eastern Spain field experiment; survival differs by treatment; background context only, not a Malta survival estimate.</t>
        </is>
      </c>
      <c r="H47" s="5" t="inlineStr">
        <is>
          <t>https://doi.org/10.3389/ffgc.2022.1092703</t>
        </is>
      </c>
    </row>
    <row r="48">
      <c r="A48" s="2" t="inlineStr">
        <is>
          <t>94</t>
        </is>
      </c>
      <c r="B48" s="2" t="inlineStr">
        <is>
          <t>CC-010</t>
        </is>
      </c>
      <c r="C48" s="2" t="inlineStr">
        <is>
          <t>Community-level restoration profiles in Mediterranean vegetation: nurse-based vs. traditional reforestation</t>
        </is>
      </c>
      <c r="D48" s="2" t="inlineStr">
        <is>
          <t>Journal of Applied Ecology</t>
        </is>
      </c>
      <c r="E48" s="2" t="inlineStr">
        <is>
          <t>2009</t>
        </is>
      </c>
      <c r="F48" s="2" t="inlineStr">
        <is>
          <t>Peer-reviewed primary research</t>
        </is>
      </c>
      <c r="G48" s="2" t="inlineStr">
        <is>
          <t>Southern Spain study measured different seedling survival and community outcomes by method; not a Malta survival estimate.</t>
        </is>
      </c>
      <c r="H48" s="5" t="inlineStr">
        <is>
          <t>https://doi.org/10.1111/j.1365-2664.2009.01680.x</t>
        </is>
      </c>
    </row>
    <row r="49">
      <c r="A49" s="2" t="inlineStr">
        <is>
          <t>34</t>
        </is>
      </c>
      <c r="B49" s="2" t="inlineStr">
        <is>
          <t>CC-011</t>
        </is>
      </c>
      <c r="C49" s="2" t="inlineStr">
        <is>
          <t>Labour publishes its manifesto: here is a breakdown</t>
        </is>
      </c>
      <c r="D49" s="2" t="inlineStr">
        <is>
          <t>MaltaToday</t>
        </is>
      </c>
      <c r="E49" s="2" t="inlineStr">
        <is>
          <t>May 2026</t>
        </is>
      </c>
      <c r="F49" s="2" t="inlineStr">
        <is>
          <t>News</t>
        </is>
      </c>
      <c r="G49" s="2" t="inlineStr">
        <is>
          <t>Source of the 10-minute-walk pledge. Find the manifesto text.</t>
        </is>
      </c>
      <c r="H49" s="5" t="inlineStr">
        <is>
          <t>https://www.maltatoday.com.mt/news/election-2026/141840/labour_publishes_its_manifesto_here_is_a_breakdown</t>
        </is>
      </c>
    </row>
    <row r="50">
      <c r="A50" s="2" t="inlineStr">
        <is>
          <t>35</t>
        </is>
      </c>
      <c r="B50" s="2" t="inlineStr">
        <is>
          <t>CC-107</t>
        </is>
      </c>
      <c r="C50" s="2" t="inlineStr">
        <is>
          <t>PN approves its electoral manifesto</t>
        </is>
      </c>
      <c r="D50" s="2" t="inlineStr">
        <is>
          <t>MaltaToday</t>
        </is>
      </c>
      <c r="E50" s="2" t="inlineStr">
        <is>
          <t>May 2026</t>
        </is>
      </c>
      <c r="F50" s="2" t="inlineStr">
        <is>
          <t>News</t>
        </is>
      </c>
      <c r="G50" s="2" t="inlineStr">
        <is>
          <t>Source of the net-zero Gozo statement.</t>
        </is>
      </c>
      <c r="H50" s="5" t="inlineStr">
        <is>
          <t>https://www.maltatoday.com.mt/news/election-2026/141891/pn_approves_its_electoral_manifesto</t>
        </is>
      </c>
    </row>
    <row r="51">
      <c r="A51" s="2" t="inlineStr">
        <is>
          <t>36</t>
        </is>
      </c>
      <c r="B51" s="2" t="inlineStr">
        <is>
          <t>CC-107</t>
        </is>
      </c>
      <c r="C51" s="2" t="inlineStr">
        <is>
          <t>Clean energy for EU islands: Malta</t>
        </is>
      </c>
      <c r="D51" s="2" t="inlineStr">
        <is>
          <t>European Commission</t>
        </is>
      </c>
      <c r="E51" s="2" t="inlineStr">
        <is>
          <t>n/d</t>
        </is>
      </c>
      <c r="F51" s="2" t="inlineStr">
        <is>
          <t>EU portal</t>
        </is>
      </c>
      <c r="G51" s="2" t="inlineStr">
        <is>
          <t>Source of Gozo's 67 km2 area.</t>
        </is>
      </c>
      <c r="H51" s="5" t="inlineStr">
        <is>
          <t>https://clean-energy-islands.ec.europa.eu/countries/malta</t>
        </is>
      </c>
    </row>
    <row r="52">
      <c r="A52" s="2" t="inlineStr">
        <is>
          <t>37</t>
        </is>
      </c>
      <c r="B52" s="2" t="inlineStr">
        <is>
          <t>Context</t>
        </is>
      </c>
      <c r="C52" s="2" t="inlineStr">
        <is>
          <t>Fact-check Malta: misleading claims around PN's environmental bill</t>
        </is>
      </c>
      <c r="D52" s="2" t="inlineStr">
        <is>
          <t>MEDDMO</t>
        </is>
      </c>
      <c r="E52" s="2" t="inlineStr">
        <is>
          <t>Oct 2025</t>
        </is>
      </c>
      <c r="F52" s="2" t="inlineStr">
        <is>
          <t>Fact-checking hub</t>
        </is>
      </c>
      <c r="G52" s="2" t="inlineStr">
        <is>
          <t>Existing fact-checking effort; this series differs by being science-first.</t>
        </is>
      </c>
      <c r="H52" s="5" t="inlineStr">
        <is>
          <t>https://meddmo.eu/fact-checking-claims-around-pns-environmental-bill/</t>
        </is>
      </c>
    </row>
    <row r="53">
      <c r="A53" s="2" t="inlineStr">
        <is>
          <t>38</t>
        </is>
      </c>
      <c r="B53" s="2" t="inlineStr">
        <is>
          <t>CC-003</t>
        </is>
      </c>
      <c r="C53" s="2" t="inlineStr">
        <is>
          <t>Malta strengthens its contribution toward the EU's climate goals</t>
        </is>
      </c>
      <c r="D53" s="2" t="inlineStr">
        <is>
          <t>Climate Action Authority</t>
        </is>
      </c>
      <c r="E53" s="2" t="inlineStr">
        <is>
          <t>13 Nov 2025</t>
        </is>
      </c>
      <c r="F53" s="2" t="inlineStr">
        <is>
          <t>Government statement</t>
        </is>
      </c>
      <c r="G53" s="2" t="inlineStr">
        <is>
          <t>Primary: the claim's verbatim wording. Read from Wayback copy (15 Apr 2026).</t>
        </is>
      </c>
      <c r="H53" s="5" t="inlineStr">
        <is>
          <t>https://climateaction.gov.mt/press/malta-strengthens-its-contribution-toward-the-eus-climate-goals/</t>
        </is>
      </c>
    </row>
    <row r="54">
      <c r="A54" s="2" t="inlineStr">
        <is>
          <t>39</t>
        </is>
      </c>
      <c r="B54" s="2" t="inlineStr">
        <is>
          <t>CC-003; CC-094</t>
        </is>
      </c>
      <c r="C54" s="2" t="inlineStr">
        <is>
          <t>Climate Action Progress Report 2025, Commission Staff Working Document</t>
        </is>
      </c>
      <c r="D54" s="2" t="inlineStr">
        <is>
          <t>European Commission</t>
        </is>
      </c>
      <c r="E54" s="2" t="inlineStr">
        <is>
          <t>Nov 2025</t>
        </is>
      </c>
      <c r="F54" s="2" t="inlineStr">
        <is>
          <t>EU report</t>
        </is>
      </c>
      <c r="G54" s="2" t="inlineStr">
        <is>
          <t>Independent anchor: Malta ESR Table 25, pp. 114-115; AEA balance p. 125 (printed pages). Tables 25–26, printed pp. 111, 114–116, 125; typed into data/cc-003/capr2025_esr_malta.csv (v1.2).</t>
        </is>
      </c>
      <c r="H54" s="5" t="inlineStr">
        <is>
          <t>https://climate.ec.europa.eu/document/download/35f83a2d-f77d-4895-b616-d579069b23d3_en?filename=capr2025_swd_en.pdf</t>
        </is>
      </c>
    </row>
    <row r="55">
      <c r="A55" s="2" t="inlineStr">
        <is>
          <t>40</t>
        </is>
      </c>
      <c r="B55" s="2" t="inlineStr">
        <is>
          <t>CC-003</t>
        </is>
      </c>
      <c r="C55" s="2" t="inlineStr">
        <is>
          <t>EU Climate Action Progress Report 2025, Chapter 3: Effort sharing emissions</t>
        </is>
      </c>
      <c r="D55" s="2" t="inlineStr">
        <is>
          <t>European Commission</t>
        </is>
      </c>
      <c r="E55" s="2" t="inlineStr">
        <is>
          <t>2025</t>
        </is>
      </c>
      <c r="F55" s="2" t="inlineStr">
        <is>
          <t>EU report</t>
        </is>
      </c>
      <c r="G55" s="2" t="inlineStr">
        <is>
          <t>Names Germany, Ireland and Malta as largest projected 2030 gaps.</t>
        </is>
      </c>
      <c r="H55" s="5" t="inlineStr">
        <is>
          <t>https://climate.ec.europa.eu/eu-action/climate-strategies-targets/progress-climate-action/eu-climate-action-progress-report-2025/chapter-3-effort-sharing-emissions_en</t>
        </is>
      </c>
    </row>
    <row r="56">
      <c r="A56" s="2" t="inlineStr">
        <is>
          <t>41</t>
        </is>
      </c>
      <c r="B56" s="2" t="inlineStr">
        <is>
          <t>CC-003 / CC-109; CC-114</t>
        </is>
      </c>
      <c r="C56" s="2" t="inlineStr">
        <is>
          <t>Greenhouse gas emissions by source sector (env_air_gge)</t>
        </is>
      </c>
      <c r="D56" s="2" t="inlineStr">
        <is>
          <t>Eurostat</t>
        </is>
      </c>
      <c r="E56" s="2" t="inlineStr">
        <is>
          <t>retrieved 2 Oct 2026</t>
        </is>
      </c>
      <c r="F56" s="2" t="inlineStr">
        <is>
          <t>Official statistics</t>
        </is>
      </c>
      <c r="G56" s="2" t="inlineStr">
        <is>
          <t>Primary data; extract in data/cc-003/.</t>
        </is>
      </c>
      <c r="H56" s="5" t="inlineStr">
        <is>
          <t>https://ec.europa.eu/eurostat/databrowser/view/env_air_gge/default/table</t>
        </is>
      </c>
    </row>
    <row r="57">
      <c r="A57" s="2" t="inlineStr">
        <is>
          <t>42</t>
        </is>
      </c>
      <c r="B57" s="2" t="inlineStr">
        <is>
          <t>CC-004</t>
        </is>
      </c>
      <c r="C57" s="2" t="inlineStr">
        <is>
          <t>Municipal Waste: 2024 (NR 225/2025)</t>
        </is>
      </c>
      <c r="D57" s="2" t="inlineStr">
        <is>
          <t>NSO</t>
        </is>
      </c>
      <c r="E57" s="2" t="inlineStr">
        <is>
          <t>2 Dec 2025</t>
        </is>
      </c>
      <c r="F57" s="2" t="inlineStr">
        <is>
          <t>Official statistics</t>
        </is>
      </c>
      <c r="G57" s="2" t="inlineStr">
        <is>
          <t>79.2% of treated municipal waste landfilled; 58,156 t recycled.</t>
        </is>
      </c>
      <c r="H57" s="5" t="inlineStr">
        <is>
          <t>https://nso.gov.mt/municipal-waste-2024/</t>
        </is>
      </c>
    </row>
    <row r="58">
      <c r="A58" s="2" t="inlineStr">
        <is>
          <t>43</t>
        </is>
      </c>
      <c r="B58" s="2" t="inlineStr">
        <is>
          <t>CC-004</t>
        </is>
      </c>
      <c r="C58" s="2" t="inlineStr">
        <is>
          <t>Recycling rate of municipal waste (cei_wm011); env_wasmun; cei_wm020</t>
        </is>
      </c>
      <c r="D58" s="2" t="inlineStr">
        <is>
          <t>Eurostat</t>
        </is>
      </c>
      <c r="E58" s="2" t="inlineStr">
        <is>
          <t>retrieved 2 Oct 2026</t>
        </is>
      </c>
      <c r="F58" s="2" t="inlineStr">
        <is>
          <t>Official statistics</t>
        </is>
      </c>
      <c r="G58" s="2" t="inlineStr">
        <is>
          <t>Primary data for the recycling-rate test; extract in data/cc-004/.</t>
        </is>
      </c>
      <c r="H58" s="5" t="inlineStr">
        <is>
          <t>https://ec.europa.eu/eurostat/databrowser/view/cei_wm011/default/table</t>
        </is>
      </c>
    </row>
    <row r="59">
      <c r="A59" s="2" t="inlineStr">
        <is>
          <t>44</t>
        </is>
      </c>
      <c r="B59" s="2" t="inlineStr">
        <is>
          <t>CC-004</t>
        </is>
      </c>
      <c r="C59" s="2" t="inlineStr">
        <is>
          <t>Directive (EU) 2018/851 amending Directive 2008/98/EC on waste</t>
        </is>
      </c>
      <c r="D59" s="2" t="inlineStr">
        <is>
          <t>Official Journal of the EU</t>
        </is>
      </c>
      <c r="E59" s="2" t="inlineStr">
        <is>
          <t>14 Jun 2018</t>
        </is>
      </c>
      <c r="F59" s="2" t="inlineStr">
        <is>
          <t>EU law</t>
        </is>
      </c>
      <c r="G59" s="2" t="inlineStr">
        <is>
          <t>Art 11(2) targets; Art 11a calculation point (recycled = enters recycling after sorting).</t>
        </is>
      </c>
      <c r="H59" s="5" t="inlineStr">
        <is>
          <t>https://eur-lex.europa.eu/legal-content/EN/TXT/?uri=CELEX:32018L0851</t>
        </is>
      </c>
    </row>
    <row r="60">
      <c r="A60" s="2" t="inlineStr">
        <is>
          <t>45</t>
        </is>
      </c>
      <c r="B60" s="2" t="inlineStr">
        <is>
          <t>CC-004</t>
        </is>
      </c>
      <c r="C60" s="2" t="inlineStr">
        <is>
          <t>NSO data reveals positive trends in sustainability and resource recovery</t>
        </is>
      </c>
      <c r="D60" s="2" t="inlineStr">
        <is>
          <t>ERA</t>
        </is>
      </c>
      <c r="E60" s="2" t="inlineStr">
        <is>
          <t>19 Feb 2025</t>
        </is>
      </c>
      <c r="F60" s="2" t="inlineStr">
        <is>
          <t>Regulator statement</t>
        </is>
      </c>
      <c r="G60" s="2" t="inlineStr">
        <is>
          <t>Canonical URL of ref 16. States the 68% is construction and demolition waste.</t>
        </is>
      </c>
      <c r="H60" s="5" t="inlineStr">
        <is>
          <t>https://era.org.mt/press-releases/nso-data-reveals-positive-trends-in-sustainability-and-resource-recovery/</t>
        </is>
      </c>
    </row>
    <row r="61">
      <c r="A61" s="2" t="inlineStr">
        <is>
          <t>46</t>
        </is>
      </c>
      <c r="B61" s="2" t="inlineStr">
        <is>
          <t>CC-011; CC-010</t>
        </is>
      </c>
      <c r="C61" s="2" t="inlineStr">
        <is>
          <t>Int Malta: Manifest Elettorali 2026</t>
        </is>
      </c>
      <c r="D61" s="2" t="inlineStr">
        <is>
          <t>Partit Laburista</t>
        </is>
      </c>
      <c r="E61" s="2" t="inlineStr">
        <is>
          <t>2026</t>
        </is>
      </c>
      <c r="F61" s="2" t="inlineStr">
        <is>
          <t>Party manifesto</t>
        </is>
      </c>
      <c r="G61" s="2" t="inlineStr">
        <is>
          <t>Primary: priority 19 (p. 17) and indicator text (p. 21); priority 18 (40% cut by 2030). CC-010: item 43 (PDF p.170, printed p.168): more than 57,000 trees planted 2022-2025, the party's own count.</t>
        </is>
      </c>
      <c r="H61" s="5" t="inlineStr">
        <is>
          <t>https://partitlaburista.org/wp-content/uploads/2026/08/Manifest_Elettorali_INT_MALTA_2026.pdf</t>
        </is>
      </c>
    </row>
    <row r="62">
      <c r="A62" s="2" t="inlineStr">
        <is>
          <t>47</t>
        </is>
      </c>
      <c r="B62" s="2" t="inlineStr">
        <is>
          <t>CC-107</t>
        </is>
      </c>
      <c r="C62" s="2" t="inlineStr">
        <is>
          <t>Nifs Ġdid: Programm Elettorali, chapter Għawdex</t>
        </is>
      </c>
      <c r="D62" s="2" t="inlineStr">
        <is>
          <t>Partit Nazzjonalista</t>
        </is>
      </c>
      <c r="E62" s="2" t="inlineStr">
        <is>
          <t>2026</t>
        </is>
      </c>
      <c r="F62" s="2" t="inlineStr">
        <is>
          <t>Party programme</t>
        </is>
      </c>
      <c r="G62" s="2" t="inlineStr">
        <is>
          <t>Primary: Net-Zero Island by 2040; afforestation one of several measures.</t>
        </is>
      </c>
      <c r="H62" s="5" t="inlineStr">
        <is>
          <t>https://pn.org.mt/en/nifsgdid/ghawdex/</t>
        </is>
      </c>
    </row>
    <row r="63">
      <c r="A63" s="2" t="inlineStr">
        <is>
          <t>48</t>
        </is>
      </c>
      <c r="B63" s="2" t="inlineStr">
        <is>
          <t>CC-011</t>
        </is>
      </c>
      <c r="C63" s="2" t="inlineStr">
        <is>
          <t>Urban green spaces and health: a review of evidence</t>
        </is>
      </c>
      <c r="D63" s="2" t="inlineStr">
        <is>
          <t>WHO Regional Office for Europe</t>
        </is>
      </c>
      <c r="E63" s="2" t="inlineStr">
        <is>
          <t>2016</t>
        </is>
      </c>
      <c r="F63" s="2" t="inlineStr">
        <is>
          <t>Guidance</t>
        </is>
      </c>
      <c r="G63" s="2" t="inlineStr">
        <is>
          <t>300 m / 0.5 ha green-space access indicator.</t>
        </is>
      </c>
      <c r="H63" s="5" t="inlineStr">
        <is>
          <t>https://www.who.int/europe/publications/i/item/WHO-EURO-2016-3352-43111-60341</t>
        </is>
      </c>
    </row>
    <row r="64">
      <c r="A64" s="2" t="inlineStr">
        <is>
          <t>49</t>
        </is>
      </c>
      <c r="B64" s="2" t="inlineStr">
        <is>
          <t>CC-011</t>
        </is>
      </c>
      <c r="C64" s="2" t="inlineStr">
        <is>
          <t>Malta constrained population 2025, 100 m (R2025A v1)</t>
        </is>
      </c>
      <c r="D64" s="2" t="inlineStr">
        <is>
          <t>WorldPop</t>
        </is>
      </c>
      <c r="E64" s="2" t="inlineStr">
        <is>
          <t>2025</t>
        </is>
      </c>
      <c r="F64" s="2" t="inlineStr">
        <is>
          <t>Dataset (CC BY 4.0)</t>
        </is>
      </c>
      <c r="G64" s="2" t="inlineStr">
        <is>
          <t>Population grid for the access analysis.</t>
        </is>
      </c>
      <c r="H64" s="5" t="inlineStr">
        <is>
          <t>https://data.worldpop.org/GIS/Population/Global_2015_2030/R2025A/2025/MLT/v1/100m/constrained/</t>
        </is>
      </c>
    </row>
    <row r="65">
      <c r="A65" s="2" t="inlineStr">
        <is>
          <t>50</t>
        </is>
      </c>
      <c r="B65" s="2" t="inlineStr">
        <is>
          <t>CC-005</t>
        </is>
      </c>
      <c r="C65" s="2" t="inlineStr">
        <is>
          <t>Environmental Implementation Review 2025: Malta</t>
        </is>
      </c>
      <c r="D65" s="2" t="inlineStr">
        <is>
          <t>European Commission</t>
        </is>
      </c>
      <c r="E65" s="2" t="inlineStr">
        <is>
          <t>2025</t>
        </is>
      </c>
      <c r="F65" s="2" t="inlineStr">
        <is>
          <t>Primary claim wording</t>
        </is>
      </c>
      <c r="G65" s="2" t="inlineStr">
        <is>
          <t>Exact Commission statement; also states urban wastewater is not properly treated.</t>
        </is>
      </c>
      <c r="H65" s="5" t="inlineStr">
        <is>
          <t>https://op.europa.eu/webpub/env/eir-country-reports-summaries/en/malta.html</t>
        </is>
      </c>
    </row>
    <row r="66">
      <c r="A66" s="2" t="inlineStr">
        <is>
          <t>51</t>
        </is>
      </c>
      <c r="B66" s="2" t="inlineStr">
        <is>
          <t>CC-005</t>
        </is>
      </c>
      <c r="C66" s="2" t="inlineStr">
        <is>
          <t>Bathing water quality in the season of 2025: Malta</t>
        </is>
      </c>
      <c r="D66" s="2" t="inlineStr">
        <is>
          <t>European Environment Agency</t>
        </is>
      </c>
      <c r="E66" s="2" t="inlineStr">
        <is>
          <t>2026</t>
        </is>
      </c>
      <c r="F66" s="2" t="inlineStr">
        <is>
          <t>Official statistics</t>
        </is>
      </c>
      <c r="G66" s="2" t="inlineStr">
        <is>
          <t>77/87 excellent (88.5%); 2,100 samples; four-season assessment detail.</t>
        </is>
      </c>
      <c r="H66" s="5" t="inlineStr">
        <is>
          <t>https://www.eea.europa.eu/en/topics/in-depth/bathing-water/state-of-bathing-water/bathing-water-country-factsheets-2025/mt-bathing-water-country-factsheet-2025.pdf/@@download/file</t>
        </is>
      </c>
    </row>
    <row r="67">
      <c r="A67" s="2" t="inlineStr">
        <is>
          <t>52</t>
        </is>
      </c>
      <c r="B67" s="2" t="inlineStr">
        <is>
          <t>CC-005</t>
        </is>
      </c>
      <c r="C67" s="2" t="inlineStr">
        <is>
          <t>Bathing water quality in the season of 2024: Malta</t>
        </is>
      </c>
      <c r="D67" s="2" t="inlineStr">
        <is>
          <t>European Environment Agency</t>
        </is>
      </c>
      <c r="E67" s="2" t="inlineStr">
        <is>
          <t>2025</t>
        </is>
      </c>
      <c r="F67" s="2" t="inlineStr">
        <is>
          <t>Official statistics</t>
        </is>
      </c>
      <c r="G67" s="2" t="inlineStr">
        <is>
          <t>80/87 excellent (92%); 2,107 samples; two microbiological parameters.</t>
        </is>
      </c>
      <c r="H67" s="5" t="inlineStr">
        <is>
          <t>https://environmentalhealth.gov.mt/wp-content/uploads/2025/07/Malta_bathing_water_2024.pdf</t>
        </is>
      </c>
    </row>
    <row r="68">
      <c r="A68" s="2" t="inlineStr">
        <is>
          <t>53</t>
        </is>
      </c>
      <c r="B68" s="2" t="inlineStr">
        <is>
          <t>CC-005</t>
        </is>
      </c>
      <c r="C68" s="2" t="inlineStr">
        <is>
          <t>Report on the temporary closure at B08 and B09 Balluta Bay</t>
        </is>
      </c>
      <c r="D68" s="2" t="inlineStr">
        <is>
          <t>Environmental Health Directorate</t>
        </is>
      </c>
      <c r="E68" s="2" t="inlineStr">
        <is>
          <t>2024</t>
        </is>
      </c>
      <c r="F68" s="2" t="inlineStr">
        <is>
          <t>Official monitoring report</t>
        </is>
      </c>
      <c r="G68" s="2" t="inlineStr">
        <is>
          <t>Primary closure record; warning lifted on 12 August 2024.</t>
        </is>
      </c>
      <c r="H68" s="5" t="inlineStr">
        <is>
          <t>https://environmentalhealth.gov.mt/wp-content/uploads/2024/09/Report-for-Balluta-Bay-the-Bathing-Prohibition-Period-and-Short-Term-Pollution-Period.pdf</t>
        </is>
      </c>
    </row>
    <row r="69">
      <c r="A69" s="2" t="inlineStr">
        <is>
          <t>54</t>
        </is>
      </c>
      <c r="B69" s="2" t="inlineStr">
        <is>
          <t>CC-005</t>
        </is>
      </c>
      <c r="C69" s="2" t="inlineStr">
        <is>
          <t>Commission v Malta Case C-304/23 ECLI:EU:C:2024:906</t>
        </is>
      </c>
      <c r="D69" s="2" t="inlineStr">
        <is>
          <t>Court of Justice of the European Union</t>
        </is>
      </c>
      <c r="E69" s="2" t="inlineStr">
        <is>
          <t>17 Oct 2024</t>
        </is>
      </c>
      <c r="F69" s="2" t="inlineStr">
        <is>
          <t>Judgment</t>
        </is>
      </c>
      <c r="G69" s="2" t="inlineStr">
        <is>
          <t>Urban wastewater treatment obligations for named agglomerations.</t>
        </is>
      </c>
      <c r="H69" s="5" t="inlineStr">
        <is>
          <t>https://eur-lex.europa.eu/legal-content/EN/TXT/?uri=CELEX:62023CJ0304</t>
        </is>
      </c>
    </row>
    <row r="70">
      <c r="A70" s="2" t="inlineStr">
        <is>
          <t>55</t>
        </is>
      </c>
      <c r="B70" s="2" t="inlineStr">
        <is>
          <t>CC-006</t>
        </is>
      </c>
      <c r="C70" s="2" t="inlineStr">
        <is>
          <t>Government of Malta, LN 80/2026: Quail spring hunting season</t>
        </is>
      </c>
      <c r="D70" s="2" t="inlineStr">
        <is>
          <t>Legislation Malta</t>
        </is>
      </c>
      <c r="E70" s="2" t="inlineStr">
        <is>
          <t>2026-03-30</t>
        </is>
      </c>
      <c r="F70" s="2" t="inlineStr">
        <is>
          <t>Primary legislation</t>
        </is>
      </c>
      <c r="G70" s="2" t="inlineStr">
        <is>
          <t>Official legal-notice record. PDF text still needs direct archival/inspection.</t>
        </is>
      </c>
      <c r="H70" s="5" t="inlineStr">
        <is>
          <t>https://legislation.mt/eli/ln/2026/80/eng</t>
        </is>
      </c>
    </row>
    <row r="71">
      <c r="A71" s="2" t="inlineStr">
        <is>
          <t>56</t>
        </is>
      </c>
      <c r="B71" s="2" t="inlineStr">
        <is>
          <t>CC-006</t>
        </is>
      </c>
      <c r="C71" s="2" t="inlineStr">
        <is>
          <t>Government of Malta, LN 81/2026: Turtle-dove spring hunting season</t>
        </is>
      </c>
      <c r="D71" s="2" t="inlineStr">
        <is>
          <t>Legislation Malta</t>
        </is>
      </c>
      <c r="E71" s="2" t="inlineStr">
        <is>
          <t>2026-03-30</t>
        </is>
      </c>
      <c r="F71" s="2" t="inlineStr">
        <is>
          <t>Primary legislation</t>
        </is>
      </c>
      <c r="G71" s="2" t="inlineStr">
        <is>
          <t>Official legal-notice record. PDF text still needs direct archival/inspection.</t>
        </is>
      </c>
      <c r="H71" s="5" t="inlineStr">
        <is>
          <t>https://legislation.mt/eli/ln/2026/81/eng</t>
        </is>
      </c>
    </row>
    <row r="72">
      <c r="A72" s="2" t="inlineStr">
        <is>
          <t>57</t>
        </is>
      </c>
      <c r="B72" s="2" t="inlineStr">
        <is>
          <t>CC-006</t>
        </is>
      </c>
      <c r="C72" s="2" t="inlineStr">
        <is>
          <t>Government Notices published in Gazette 21,626, 17 April 2026</t>
        </is>
      </c>
      <c r="D72" s="2" t="inlineStr">
        <is>
          <t>Government of Malta</t>
        </is>
      </c>
      <c r="E72" s="2" t="inlineStr">
        <is>
          <t>2026-04-17</t>
        </is>
      </c>
      <c r="F72" s="2" t="inlineStr">
        <is>
          <t>Primary government notice</t>
        </is>
      </c>
      <c r="G72" s="2" t="inlineStr">
        <is>
          <t>Official notice confirms Ornis meeting dates and a separate turtle-dove research/capture derogation; do not conflate with hunting.</t>
        </is>
      </c>
      <c r="H72" s="5" t="inlineStr">
        <is>
          <t>https://www.gov.mt/en/Government/DOI/Government%20Gazette/Government%20Notices/Pages/2026/04/GovNotices1704extra.aspx</t>
        </is>
      </c>
    </row>
    <row r="73">
      <c r="A73" s="2" t="inlineStr">
        <is>
          <t>58</t>
        </is>
      </c>
      <c r="B73" s="2" t="inlineStr">
        <is>
          <t>CC-006</t>
        </is>
      </c>
      <c r="C73" s="2" t="inlineStr">
        <is>
          <t>Ornis Committee votes in favour of opening spring hunting season</t>
        </is>
      </c>
      <c r="D73" s="2" t="inlineStr">
        <is>
          <t>MaltaToday</t>
        </is>
      </c>
      <c r="E73" s="2" t="inlineStr">
        <is>
          <t>2026-03-30</t>
        </is>
      </c>
      <c r="F73" s="2" t="inlineStr">
        <is>
          <t>News</t>
        </is>
      </c>
      <c r="G73" s="2" t="inlineStr">
        <is>
          <t>Contemporaneous report for exact 2026 recommendation, dates and quotas; not a substitute for Ornis minutes.</t>
        </is>
      </c>
      <c r="H73" s="5" t="inlineStr">
        <is>
          <t>https://www.maltatoday.com.mt/news/national/140671/ornis_committee_votes_in_favour_of_opening_spring_hunting_season_</t>
        </is>
      </c>
    </row>
    <row r="74">
      <c r="A74" s="2" t="inlineStr">
        <is>
          <t>59</t>
        </is>
      </c>
      <c r="B74" s="2" t="inlineStr">
        <is>
          <t>CC-006</t>
        </is>
      </c>
      <c r="C74" s="2" t="inlineStr">
        <is>
          <t>Conservation Status of Common Quail and European Turtle-dove, March 2026</t>
        </is>
      </c>
      <c r="D74" s="2" t="inlineStr">
        <is>
          <t>Wild Birds Regulation Unit</t>
        </is>
      </c>
      <c r="E74" s="2" t="inlineStr">
        <is>
          <t>2026-03</t>
        </is>
      </c>
      <c r="F74" s="2" t="inlineStr">
        <is>
          <t>Government technical report</t>
        </is>
      </c>
      <c r="G74" s="2" t="inlineStr">
        <is>
          <t>Official status report. It states 2019-24 Article 12 submissions were provisional at the time of assessment.</t>
        </is>
      </c>
      <c r="H74" s="5" t="inlineStr">
        <is>
          <t>https://wbru.gov.mt/wp-content/uploads/2026/04/Conservation-Status-of-Common-Quail-and-Turtle-Dove-Mar-2026.pdf</t>
        </is>
      </c>
    </row>
    <row r="75">
      <c r="A75" s="2" t="inlineStr">
        <is>
          <t>60</t>
        </is>
      </c>
      <c r="B75" s="2" t="inlineStr">
        <is>
          <t>CC-006</t>
        </is>
      </c>
      <c r="C75" s="2" t="inlineStr">
        <is>
          <t>The importance of spring hunting in Malta on European Turtle-Dove and Common Quail populations</t>
        </is>
      </c>
      <c r="D75" s="2" t="inlineStr">
        <is>
          <t>Cambridge University Press / Bird Conservation International</t>
        </is>
      </c>
      <c r="E75" s="2" t="inlineStr">
        <is>
          <t>2016-03</t>
        </is>
      </c>
      <c r="F75" s="2" t="inlineStr">
        <is>
          <t>Peer-reviewed</t>
        </is>
      </c>
      <c r="G75" s="2" t="inlineStr">
        <is>
          <t>Publisher metadata and DOI verified. Historical independent harvest estimates; paper notes broad uncertainty and analyses 1980-1992 estimates.</t>
        </is>
      </c>
      <c r="H75" s="5" t="inlineStr">
        <is>
          <t>https://doi.org/10.1017/S0959270915000325</t>
        </is>
      </c>
    </row>
    <row r="76">
      <c r="A76" s="2" t="inlineStr">
        <is>
          <t>61</t>
        </is>
      </c>
      <c r="B76" s="2" t="inlineStr">
        <is>
          <t>CC-006</t>
        </is>
      </c>
      <c r="C76" s="2" t="inlineStr">
        <is>
          <t>Spring hunting season in the Maltese Islands 2026: FKNK will again carry out scientific studies</t>
        </is>
      </c>
      <c r="D76" s="2" t="inlineStr">
        <is>
          <t>FKNK / Hunting in Malta</t>
        </is>
      </c>
      <c r="E76" s="2" t="inlineStr">
        <is>
          <t>2026-04-07</t>
        </is>
      </c>
      <c r="F76" s="2" t="inlineStr">
        <is>
          <t>Primary stakeholder statement</t>
        </is>
      </c>
      <c r="G76" s="2" t="inlineStr">
        <is>
          <t>FKNK says hunting occurs in “limited circumstances”; does not substantiate the original broad attribution of “strictly supervised and very small”.</t>
        </is>
      </c>
      <c r="H76" s="5" t="inlineStr">
        <is>
          <t>https://www.huntinginmalta.org.mt/post/spring-hunting-season-in-the-maltese-islands-2026the-fknk-will-again-carry-out-scientific-studies</t>
        </is>
      </c>
    </row>
    <row r="77">
      <c r="A77" s="2" t="inlineStr">
        <is>
          <t>62</t>
        </is>
      </c>
      <c r="B77" s="2" t="inlineStr">
        <is>
          <t>CC-006</t>
        </is>
      </c>
      <c r="C77" s="2" t="inlineStr">
        <is>
          <t>Judgment in Commission v Malta, Case C-557/15</t>
        </is>
      </c>
      <c r="D77" s="2" t="inlineStr">
        <is>
          <t>Court of Justice of the European Union</t>
        </is>
      </c>
      <c r="E77" s="2" t="inlineStr">
        <is>
          <t>2018-06-21</t>
        </is>
      </c>
      <c r="F77" s="2" t="inlineStr">
        <is>
          <t>Primary judicial source</t>
        </is>
      </c>
      <c r="G77" s="2" t="inlineStr">
        <is>
          <t>Concerns Malta’s finch live-capturing derogation; not a ruling on the 2026 spring hunting season. Keep distinct.</t>
        </is>
      </c>
      <c r="H77" s="5" t="inlineStr">
        <is>
          <t>https://eur-lex.europa.eu/legal-content/EN/TXT/?uri=CELEX:62015CJ0557</t>
        </is>
      </c>
    </row>
    <row r="78">
      <c r="A78" s="2" t="inlineStr">
        <is>
          <t>63</t>
        </is>
      </c>
      <c r="B78" s="2" t="inlineStr">
        <is>
          <t>CC-006</t>
        </is>
      </c>
      <c r="C78" s="2" t="inlineStr">
        <is>
          <t>Judgment in Commission v Malta, Case C-23/23</t>
        </is>
      </c>
      <c r="D78" s="2" t="inlineStr">
        <is>
          <t>Court of Justice of the European Union</t>
        </is>
      </c>
      <c r="E78" s="2" t="inlineStr">
        <is>
          <t>2024-09-19</t>
        </is>
      </c>
      <c r="F78" s="2" t="inlineStr">
        <is>
          <t>Primary judicial source</t>
        </is>
      </c>
      <c r="G78" s="2" t="inlineStr">
        <is>
          <t>Concerns the live-capturing derogation for finches, not spring hunting. Keep distinct.</t>
        </is>
      </c>
      <c r="H78" s="5" t="inlineStr">
        <is>
          <t>https://eur-lex.europa.eu/legal-content/EN/ALL/?uri=CELEX:62023CJ0023</t>
        </is>
      </c>
    </row>
    <row r="79">
      <c r="A79" s="2" t="inlineStr">
        <is>
          <t>64</t>
        </is>
      </c>
      <c r="B79" s="2" t="inlineStr">
        <is>
          <t>CC-006</t>
        </is>
      </c>
      <c r="C79" s="2" t="inlineStr">
        <is>
          <t>Report on the Outcome of the 2025 Spring Hunting Season in Malta</t>
        </is>
      </c>
      <c r="D79" s="2" t="inlineStr">
        <is>
          <t>Wild Birds Regulation Unit</t>
        </is>
      </c>
      <c r="E79" s="2" t="inlineStr">
        <is>
          <t>2025-06</t>
        </is>
      </c>
      <c r="F79" s="2" t="inlineStr">
        <is>
          <t>Government technical report</t>
        </is>
      </c>
      <c r="G79" s="2" t="inlineStr">
        <is>
          <t>Latest season outcome report listed by WBRU when checked 2 Oct 2026; records 1,336 patrols, 909 spot-checks and 19 detected offences for 2025.</t>
        </is>
      </c>
      <c r="H79" s="5" t="inlineStr">
        <is>
          <t>https://wbru.gov.mt/wp-content/uploads/2026/04/2025-SH-Derogation-Report.pdf</t>
        </is>
      </c>
    </row>
    <row r="80">
      <c r="A80" s="2" t="inlineStr">
        <is>
          <t>65</t>
        </is>
      </c>
      <c r="B80" s="2" t="inlineStr">
        <is>
          <t>CC-006</t>
        </is>
      </c>
      <c r="C80" s="2" t="inlineStr">
        <is>
          <t>Majority of hunters illegally target Turtle-doves during first week of spring season</t>
        </is>
      </c>
      <c r="D80" s="2" t="inlineStr">
        <is>
          <t>BirdLife Malta</t>
        </is>
      </c>
      <c r="E80" s="2" t="inlineStr">
        <is>
          <t>2026-04-20</t>
        </is>
      </c>
      <c r="F80" s="2" t="inlineStr">
        <is>
          <t>NGO monitoring statement</t>
        </is>
      </c>
      <c r="G80" s="2" t="inlineStr">
        <is>
          <t>Advocacy source; reports systematic observation and alleged illegal targeting before the Turtle-dove season opened. Not a substitute for enforcement data.</t>
        </is>
      </c>
      <c r="H80" s="5" t="inlineStr">
        <is>
          <t>https://birdlifemalta.org/2026/04/majority-of-hunters-illegally-target-turtle-doves-during-first-week-of-spring-season/</t>
        </is>
      </c>
    </row>
    <row r="81">
      <c r="A81" s="2" t="inlineStr">
        <is>
          <t>66</t>
        </is>
      </c>
      <c r="B81" s="2" t="inlineStr">
        <is>
          <t>CC-006</t>
        </is>
      </c>
      <c r="C81" s="2" t="inlineStr">
        <is>
          <t>On the Frontlines: May 2026 Newsletter</t>
        </is>
      </c>
      <c r="D81" s="2" t="inlineStr">
        <is>
          <t>BirdLife Malta</t>
        </is>
      </c>
      <c r="E81" s="2" t="inlineStr">
        <is>
          <t>2026-05-13</t>
        </is>
      </c>
      <c r="F81" s="2" t="inlineStr">
        <is>
          <t>NGO monitoring statement</t>
        </is>
      </c>
      <c r="G81" s="2" t="inlineStr">
        <is>
          <t>Reports Spring Watch detections during 2026. Used as a stakeholder monitoring account, not an official enforcement total.</t>
        </is>
      </c>
      <c r="H81" s="5" t="inlineStr">
        <is>
          <t>https://birdlifemalta.org/2026/05/on-the-frontlines-may-2026-newsletter/</t>
        </is>
      </c>
    </row>
    <row r="82">
      <c r="A82" s="2" t="inlineStr">
        <is>
          <t>67</t>
        </is>
      </c>
      <c r="B82" s="2" t="inlineStr">
        <is>
          <t>CC-006</t>
        </is>
      </c>
      <c r="C82" s="2" t="inlineStr">
        <is>
          <t>Directive 2009/147/EC on the conservation of wild birds, Article 9(1)(c)</t>
        </is>
      </c>
      <c r="D82" s="2" t="inlineStr">
        <is>
          <t>European Parliament and Council</t>
        </is>
      </c>
      <c r="E82" s="2" t="inlineStr">
        <is>
          <t>2009-11-30</t>
        </is>
      </c>
      <c r="F82" s="2" t="inlineStr">
        <is>
          <t>Primary EU legislation</t>
        </is>
      </c>
      <c r="G82" s="2" t="inlineStr">
        <is>
          <t>Sets the strictly supervised, selective and small-numbers requirements for a derogation.</t>
        </is>
      </c>
      <c r="H82" s="5" t="inlineStr">
        <is>
          <t>https://eur-lex.europa.eu/legal-content/EN/TXT/?uri=CELEX:32009L0147</t>
        </is>
      </c>
    </row>
    <row r="83">
      <c r="A83" s="2" t="inlineStr">
        <is>
          <t>68</t>
        </is>
      </c>
      <c r="B83" s="2" t="inlineStr">
        <is>
          <t>CC-002</t>
        </is>
      </c>
      <c r="C83" s="2" t="inlineStr">
        <is>
          <t>Clarification on Comino</t>
        </is>
      </c>
      <c r="D83" s="2" t="inlineStr">
        <is>
          <t>Environment and Resources Authority</t>
        </is>
      </c>
      <c r="E83" s="2" t="inlineStr">
        <is>
          <t>7 Aug 2026</t>
        </is>
      </c>
      <c r="F83" s="2" t="inlineStr">
        <is>
          <t>Regulator statement</t>
        </is>
      </c>
      <c r="G83" s="2" t="inlineStr">
        <is>
          <t>Primary: says 678 specimens comprise 92% non-protected species; 348 transplants include all but seven protected trees; 10:1 failure replacement condition.</t>
        </is>
      </c>
      <c r="H83" s="5" t="inlineStr">
        <is>
          <t>https://era.org.mt/press-releases/clarification-on-comino/</t>
        </is>
      </c>
    </row>
    <row r="84">
      <c r="A84" s="2" t="inlineStr">
        <is>
          <t>69</t>
        </is>
      </c>
      <c r="B84" s="2" t="inlineStr">
        <is>
          <t>CC-002</t>
        </is>
      </c>
      <c r="C84" s="2" t="inlineStr">
        <is>
          <t>ERA clarifies environmental measures linked to the Comino Hotel project</t>
        </is>
      </c>
      <c r="D84" s="2" t="inlineStr">
        <is>
          <t>Environment and Resources Authority</t>
        </is>
      </c>
      <c r="E84" s="2" t="inlineStr">
        <is>
          <t>11 Aug 2026</t>
        </is>
      </c>
      <c r="F84" s="2" t="inlineStr">
        <is>
          <t>Regulator statement</t>
        </is>
      </c>
      <c r="G84" s="2" t="inlineStr">
        <is>
          <t>Primary wording source: 624 non-protected specimens, mostly planted oleanders; 54 protected removals; 540 new indigenous trees; 348 transplants.</t>
        </is>
      </c>
      <c r="H84" s="5" t="inlineStr">
        <is>
          <t>https://era.org.mt/press-releases/era-clarifies-environmental-measures-linked-to-the-comino-hotel-project/</t>
        </is>
      </c>
    </row>
    <row r="85">
      <c r="A85" s="2" t="inlineStr">
        <is>
          <t>70</t>
        </is>
      </c>
      <c r="B85" s="2" t="inlineStr">
        <is>
          <t>CC-002</t>
        </is>
      </c>
      <c r="C85" s="2" t="inlineStr">
        <is>
          <t>The vascular flora of the Comino archipelago (Maltese Islands)</t>
        </is>
      </c>
      <c r="D85" s="2" t="inlineStr">
        <is>
          <t>PhytoKeys</t>
        </is>
      </c>
      <c r="E85" s="2" t="inlineStr">
        <is>
          <t>8 Apr 2026</t>
        </is>
      </c>
      <c r="F85" s="2" t="inlineStr">
        <is>
          <t>Peer-reviewed research</t>
        </is>
      </c>
      <c r="G85" s="2" t="inlineStr">
        <is>
          <t>Local flora inventory based on literature and 26 field surveys from 2008-2025; 490 taxa, including protected and endemic plants. Full text read; CC BY 4.0.</t>
        </is>
      </c>
      <c r="H85" s="5" t="inlineStr">
        <is>
          <t>https://doi.org/10.3897/phytokeys.272.184198</t>
        </is>
      </c>
    </row>
    <row r="86">
      <c r="A86" s="2" t="inlineStr">
        <is>
          <t>71</t>
        </is>
      </c>
      <c r="B86" s="2" t="inlineStr">
        <is>
          <t>CC-002</t>
        </is>
      </c>
      <c r="C86" s="2" t="inlineStr">
        <is>
          <t>Best practices, errors, and perspectives of half a century of plant translocation in Italy</t>
        </is>
      </c>
      <c r="D86" s="2" t="inlineStr">
        <is>
          <t>Conservation Biology</t>
        </is>
      </c>
      <c r="E86" s="2" t="inlineStr">
        <is>
          <t>2024</t>
        </is>
      </c>
      <c r="F86" s="2" t="inlineStr">
        <is>
          <t>Peer-reviewed review</t>
        </is>
      </c>
      <c r="G86" s="2" t="inlineStr">
        <is>
          <t>Analysis of 178 plant-translocation cases; most monitored five years; not a mature-tree removal survival estimate.</t>
        </is>
      </c>
      <c r="H86" s="5" t="inlineStr">
        <is>
          <t>https://doi.org/10.1111/cobi.14233</t>
        </is>
      </c>
    </row>
    <row r="87">
      <c r="A87" s="2" t="inlineStr">
        <is>
          <t>72</t>
        </is>
      </c>
      <c r="B87" s="2" t="inlineStr">
        <is>
          <t>CC-002</t>
        </is>
      </c>
      <c r="C87" s="2" t="inlineStr">
        <is>
          <t>Physiological effects of mature tree transplanting characterize the roles of the soil-root interface in the field</t>
        </is>
      </c>
      <c r="D87" s="2" t="inlineStr">
        <is>
          <t>Agricultural and Forest Meteorology</t>
        </is>
      </c>
      <c r="E87" s="2" t="inlineStr">
        <is>
          <t>2020-12-15</t>
        </is>
      </c>
      <c r="F87" s="2" t="inlineStr">
        <is>
          <t>Peer-reviewed study</t>
        </is>
      </c>
      <c r="G87" s="2" t="inlineStr">
        <is>
          <t>Eight transplanted olive trees compared with eight same-site controls for two years; abstract read; not a Comino species trial.</t>
        </is>
      </c>
      <c r="H87" s="5" t="inlineStr">
        <is>
          <t>https://doi.org/10.1016/j.agrformet.2020.108192</t>
        </is>
      </c>
    </row>
    <row r="88">
      <c r="A88" s="2" t="inlineStr">
        <is>
          <t>73</t>
        </is>
      </c>
      <c r="B88" s="2" t="inlineStr">
        <is>
          <t>CC-002</t>
        </is>
      </c>
      <c r="C88" s="2" t="inlineStr">
        <is>
          <t>Evaluation of restoration effectiveness: community response to the removal of alien plants</t>
        </is>
      </c>
      <c r="D88" s="2" t="inlineStr">
        <is>
          <t>Ecological Applications</t>
        </is>
      </c>
      <c r="E88" s="2" t="inlineStr">
        <is>
          <t>2010-07</t>
        </is>
      </c>
      <c r="F88" s="2" t="inlineStr">
        <is>
          <t>Peer-reviewed study</t>
        </is>
      </c>
      <c r="G88" s="2" t="inlineStr">
        <is>
          <t>Controlled before-after and paired-plot study in the Azores; abstract/full publisher summary read; location and treatment differ from Comino.</t>
        </is>
      </c>
      <c r="H88" s="5" t="inlineStr">
        <is>
          <t>https://doi.org/10.1890/09-1384.1</t>
        </is>
      </c>
    </row>
    <row r="89">
      <c r="A89" s="2" t="inlineStr">
        <is>
          <t>74</t>
        </is>
      </c>
      <c r="B89" s="2" t="inlineStr">
        <is>
          <t>CC-002</t>
        </is>
      </c>
      <c r="C89" s="2" t="inlineStr">
        <is>
          <t>Fact-check: What the Comino hotel project means for the island's trees</t>
        </is>
      </c>
      <c r="D89" s="2" t="inlineStr">
        <is>
          <t>MaltaToday</t>
        </is>
      </c>
      <c r="E89" s="2" t="inlineStr">
        <is>
          <t>8 Aug 2026</t>
        </is>
      </c>
      <c r="F89" s="2" t="inlineStr">
        <is>
          <t>News (secondary)</t>
        </is>
      </c>
      <c r="G89" s="2" t="inlineStr">
        <is>
          <t>Quotes ERA case-officer report species breakdown; reports 468 oleanders while ERA's 11 Aug statement says 467. Secondary detail, discrepancy unresolved.</t>
        </is>
      </c>
      <c r="H89" s="5" t="inlineStr">
        <is>
          <t>https://www.maltatoday.com.mt/news/national/143679/factcheck_what_the_comino_hotel_project_means_for_the_islands_trees</t>
        </is>
      </c>
    </row>
    <row r="90">
      <c r="A90" s="2" t="inlineStr">
        <is>
          <t>75</t>
        </is>
      </c>
      <c r="B90" s="2" t="inlineStr">
        <is>
          <t>CC-002</t>
        </is>
      </c>
      <c r="C90" s="2" t="inlineStr">
        <is>
          <t>ERA approval paves way for uprooting of 800 trees for proposed Comino hotel</t>
        </is>
      </c>
      <c r="D90" s="2" t="inlineStr">
        <is>
          <t>MaltaToday</t>
        </is>
      </c>
      <c r="E90" s="2" t="inlineStr">
        <is>
          <t>7 Aug 2026</t>
        </is>
      </c>
      <c r="F90" s="2" t="inlineStr">
        <is>
          <t>News (secondary)</t>
        </is>
      </c>
      <c r="G90" s="2" t="inlineStr">
        <is>
          <t>Reports the NGO's rounded 800 count and developer response; not a species inventory or a scientific assessment.</t>
        </is>
      </c>
      <c r="H90" s="5" t="inlineStr">
        <is>
          <t>https://www.maltatoday.com.mt/environment/planning/143667/era_approves_preliminary_works_for_proposed_comino_hotel</t>
        </is>
      </c>
    </row>
    <row r="91">
      <c r="A91" s="2" t="inlineStr">
        <is>
          <t>76</t>
        </is>
      </c>
      <c r="B91" s="2" t="inlineStr">
        <is>
          <t>CC-002</t>
        </is>
      </c>
      <c r="C91" s="2" t="inlineStr">
        <is>
          <t>Comino</t>
        </is>
      </c>
      <c r="D91" s="2" t="inlineStr">
        <is>
          <t>HV Hospitality</t>
        </is>
      </c>
      <c r="E91" s="2" t="inlineStr">
        <is>
          <t>accessed 3 Oct 2026</t>
        </is>
      </c>
      <c r="F91" s="2" t="inlineStr">
        <is>
          <t>Developer project page</t>
        </is>
      </c>
      <c r="G91" s="2" t="inlineStr">
        <is>
          <t>Stakeholder account: states 341 protected trees to be transplanted and describes planned nursery and aftercare; not independent outcome data.</t>
        </is>
      </c>
      <c r="H91" s="5" t="inlineStr">
        <is>
          <t>https://hilihospitality.com/comino/</t>
        </is>
      </c>
    </row>
    <row r="92">
      <c r="A92" s="2" t="inlineStr">
        <is>
          <t>77</t>
        </is>
      </c>
      <c r="B92" s="2" t="inlineStr">
        <is>
          <t>CC-007</t>
        </is>
      </c>
      <c r="C92" s="2" t="inlineStr">
        <is>
          <t>Parliamentary Question 29696, oral question and tabled annex</t>
        </is>
      </c>
      <c r="D92" s="2" t="inlineStr">
        <is>
          <t>House of Representatives of Malta</t>
        </is>
      </c>
      <c r="E92" s="2" t="inlineStr">
        <is>
          <t>2025-07-16</t>
        </is>
      </c>
      <c r="F92" s="2" t="inlineStr">
        <is>
          <t>Primary parliamentary record</t>
        </is>
      </c>
      <c r="G92" s="2" t="inlineStr">
        <is>
          <t>Maintainer supplied original PDFs; exact Maltese question and procedural answer and all table values transcribed. PDFs are not redistributed.</t>
        </is>
      </c>
      <c r="H92" s="5" t="inlineStr">
        <is>
          <t>https://pqs.parlament.mt/?pqid=68a890cbcb302292bff56dce</t>
        </is>
      </c>
    </row>
    <row r="93">
      <c r="A93" s="2" t="inlineStr">
        <is>
          <t>78</t>
        </is>
      </c>
      <c r="B93" s="2" t="inlineStr">
        <is>
          <t>CC-007</t>
        </is>
      </c>
      <c r="C93" s="2" t="inlineStr">
        <is>
          <t>WHO Global Air Quality Guidelines (2021)</t>
        </is>
      </c>
      <c r="D93" s="2" t="inlineStr">
        <is>
          <t>World Health Organization</t>
        </is>
      </c>
      <c r="E93" s="2" t="inlineStr">
        <is>
          <t>2021</t>
        </is>
      </c>
      <c r="F93" s="2" t="inlineStr">
        <is>
          <t>Evidence-based guideline</t>
        </is>
      </c>
      <c r="G93" s="2" t="inlineStr">
        <is>
          <t>Annual PM2.5 air-quality guideline is 5 µg/m³.</t>
        </is>
      </c>
      <c r="H93" s="5" t="inlineStr">
        <is>
          <t>https://iris.who.int/bitstream/handle/10665/345329/9789240034228-eng.pdf</t>
        </is>
      </c>
    </row>
    <row r="94">
      <c r="A94" s="2" t="inlineStr">
        <is>
          <t>79</t>
        </is>
      </c>
      <c r="B94" s="2" t="inlineStr">
        <is>
          <t>CC-007</t>
        </is>
      </c>
      <c r="C94" s="2" t="inlineStr">
        <is>
          <t>Directive (EU) 2024/2881</t>
        </is>
      </c>
      <c r="D94" s="2" t="inlineStr">
        <is>
          <t>European Parliament and Council</t>
        </is>
      </c>
      <c r="E94" s="2" t="inlineStr">
        <is>
          <t>2024</t>
        </is>
      </c>
      <c r="F94" s="2" t="inlineStr">
        <is>
          <t>Primary EU legislation</t>
        </is>
      </c>
      <c r="G94" s="2" t="inlineStr">
        <is>
          <t>Annex I keeps the 25 µg/m³ annual limit through 11 December 2026 and sets the 10 µg/m³ value to be attained by 1 January 2030.</t>
        </is>
      </c>
      <c r="H94" s="5" t="inlineStr">
        <is>
          <t>https://eur-lex.europa.eu/eli/dir/2024/2881/oj/eng</t>
        </is>
      </c>
    </row>
    <row r="95">
      <c r="A95" s="2" t="inlineStr">
        <is>
          <t>80</t>
        </is>
      </c>
      <c r="B95" s="2" t="inlineStr">
        <is>
          <t>CC-007</t>
        </is>
      </c>
      <c r="C95" s="2" t="inlineStr">
        <is>
          <t>Air Quality Download Service: verified and up-to-date station measurements</t>
        </is>
      </c>
      <c r="D95" s="2" t="inlineStr">
        <is>
          <t>European Environment Agency</t>
        </is>
      </c>
      <c r="E95" s="2" t="inlineStr">
        <is>
          <t>Accessed 2026-10-03</t>
        </is>
      </c>
      <c r="F95" s="2" t="inlineStr">
        <is>
          <t>Validated station measurements</t>
        </is>
      </c>
      <c r="G95" s="2" t="inlineStr">
        <is>
          <t>E1a PM2.5 Parquet files; 11/25 station-years cross-checked, 10 matching the annex to 0.1 µg/m³; Attard 2024 discrepancy recorded.</t>
        </is>
      </c>
      <c r="H95" s="5" t="inlineStr">
        <is>
          <t>https://air.discomap.eea.europa.eu/arcgis/rest/services/AirQuality/AirQualityDownloadServiceEUMonitoringStations/MapServer/0</t>
        </is>
      </c>
    </row>
    <row r="96">
      <c r="A96" s="2" t="inlineStr">
        <is>
          <t>81</t>
        </is>
      </c>
      <c r="B96" s="2" t="inlineStr">
        <is>
          <t>CC-007</t>
        </is>
      </c>
      <c r="C96" s="2" t="inlineStr">
        <is>
          <t>Malta News Briefing – Saturday 19 July 2023</t>
        </is>
      </c>
      <c r="D96" s="2" t="inlineStr">
        <is>
          <t>CDE News</t>
        </is>
      </c>
      <c r="E96" s="2" t="inlineStr">
        <is>
          <t>2025-07-19</t>
        </is>
      </c>
      <c r="F96" s="2" t="inlineStr">
        <is>
          <t>Secondary news briefing</t>
        </is>
      </c>
      <c r="G96" s="2" t="inlineStr">
        <is>
          <t>Reproduces a Newsbook summary of the PM2.5 comparison and attributes it to Newsbook; used to check the secondary claim, not as measurement evidence. The headline says 2023 but the page was published on 19 July 2025 (page metadata, checked 5 Oct 2026); the year in the headline is the publisher's.</t>
        </is>
      </c>
      <c r="H96" s="5" t="inlineStr">
        <is>
          <t>https://cde.news/malta-news-briefing-saturday-19-july-2023/</t>
        </is>
      </c>
    </row>
    <row r="97">
      <c r="A97" s="2" t="inlineStr">
        <is>
          <t>82</t>
        </is>
      </c>
      <c r="B97" s="2" t="inlineStr">
        <is>
          <t>CC-009</t>
        </is>
      </c>
      <c r="C97" s="2" t="inlineStr">
        <is>
          <t>Water Services Corporation Annual Report 2025</t>
        </is>
      </c>
      <c r="D97" s="2" t="inlineStr">
        <is>
          <t>Water Services Corporation</t>
        </is>
      </c>
      <c r="E97" s="2" t="inlineStr">
        <is>
          <t>2026</t>
        </is>
      </c>
      <c r="F97" s="2" t="inlineStr">
        <is>
          <t>Primary annual report</t>
        </is>
      </c>
      <c r="G97" s="2" t="inlineStr">
        <is>
          <t>2025 potable production: 70.7% RO; groundwater 11.5m m3; 2022-2025 chart values transcribed to data/cc-009/wsc_production.csv.</t>
        </is>
      </c>
      <c r="H97" s="5" t="inlineStr">
        <is>
          <t>https://parlament.mt/media/139352/wsc-annual-report-2025.pdf</t>
        </is>
      </c>
    </row>
    <row r="98">
      <c r="A98" s="2" t="inlineStr">
        <is>
          <t>83</t>
        </is>
      </c>
      <c r="B98" s="2" t="inlineStr">
        <is>
          <t>CC-009</t>
        </is>
      </c>
      <c r="C98" s="2" t="inlineStr">
        <is>
          <t>WSC issues €35 million tender for new Għar Lapsi reverse osmosis plant</t>
        </is>
      </c>
      <c r="D98" s="2" t="inlineStr">
        <is>
          <t>Water Services Corporation</t>
        </is>
      </c>
      <c r="E98" s="2" t="inlineStr">
        <is>
          <t>2026-08-25</t>
        </is>
      </c>
      <c r="F98" s="2" t="inlineStr">
        <is>
          <t>Primary tender announcement</t>
        </is>
      </c>
      <c r="G98" s="2" t="inlineStr">
        <is>
          <t>Six-system Plant B; planned combined capacity 30,000 m3/day; not yet commissioned.</t>
        </is>
      </c>
      <c r="H98" s="5" t="inlineStr">
        <is>
          <t>https://www.wsc.com.mt/wsc-issues-e35-million-tender-for-new-ghar-lapsi-reverse-osmosis-plant/</t>
        </is>
      </c>
    </row>
    <row r="99">
      <c r="A99" s="2" t="inlineStr">
        <is>
          <t>84</t>
        </is>
      </c>
      <c r="B99" s="2" t="inlineStr">
        <is>
          <t>CC-009</t>
        </is>
      </c>
      <c r="C99" s="2" t="inlineStr">
        <is>
          <t>WSC/T/064/2026 – New Plant B at Għar Lapsi RO Plant</t>
        </is>
      </c>
      <c r="D99" s="2" t="inlineStr">
        <is>
          <t>Publications Office of the European Union</t>
        </is>
      </c>
      <c r="E99" s="2" t="inlineStr">
        <is>
          <t>2026-08-28</t>
        </is>
      </c>
      <c r="F99" s="2" t="inlineStr">
        <is>
          <t>Official procurement notice</t>
        </is>
      </c>
      <c r="G99" s="2" t="inlineStr">
        <is>
          <t>Tender deadline 30 October 2026; estimated value €35m excluding VAT.</t>
        </is>
      </c>
      <c r="H99" s="5" t="inlineStr">
        <is>
          <t>https://op.europa.eu/en/web/public-procurement/procurement-details/-/procurement/c70c57b4-61a5-4c26-a365-dc44067d6687</t>
        </is>
      </c>
    </row>
    <row r="100">
      <c r="A100" s="2" t="inlineStr">
        <is>
          <t>85</t>
        </is>
      </c>
      <c r="B100" s="2" t="inlineStr">
        <is>
          <t>CC-009</t>
        </is>
      </c>
      <c r="C100" s="2" t="inlineStr">
        <is>
          <t>3rd River Basin Management Plan for Malta, Chapter 6: Assessment of Status</t>
        </is>
      </c>
      <c r="D100" s="2" t="inlineStr">
        <is>
          <t>ERA and Energy &amp; Water Agency</t>
        </is>
      </c>
      <c r="E100" s="2" t="inlineStr">
        <is>
          <t>2024</t>
        </is>
      </c>
      <c r="F100" s="2" t="inlineStr">
        <is>
          <t>Primary environmental status assessment</t>
        </is>
      </c>
      <c r="G100" s="2" t="inlineStr">
        <is>
          <t>Our notes record the Malta and Gozo Mean Sea Level bodies as poor quantitatively and 14 bodies poor chemically; Malta's 3rd-cycle EU reporting (WISE) lists 4 and 15 (data/cc-009/wise_gwb_status.csv). Nitrate standard exceeded in 12 of 15 bodies.</t>
        </is>
      </c>
      <c r="H100" s="5" t="inlineStr">
        <is>
          <t>https://era.org.mt/wp-content/uploads/2023/09/3rd-River-Basin-Management-Plan-MALTA-Chapter-6-Assessment-of-Status-Final.pdf</t>
        </is>
      </c>
    </row>
    <row r="101">
      <c r="A101" s="2" t="inlineStr">
        <is>
          <t>86</t>
        </is>
      </c>
      <c r="B101" s="2" t="inlineStr">
        <is>
          <t>CC-009</t>
        </is>
      </c>
      <c r="C101" s="2" t="inlineStr">
        <is>
          <t>WSC Annual Report 2024</t>
        </is>
      </c>
      <c r="D101" s="2" t="inlineStr">
        <is>
          <t>Water Services Corporation</t>
        </is>
      </c>
      <c r="E101" s="2" t="inlineStr">
        <is>
          <t>2025</t>
        </is>
      </c>
      <c r="F101" s="2" t="inlineStr">
        <is>
          <t>Primary annual report</t>
        </is>
      </c>
      <c r="G101" s="2" t="inlineStr">
        <is>
          <t>Reports 13.1m m3 groundwater production in 2024 and says production remained fairly constant; contextual comparison.</t>
        </is>
      </c>
      <c r="H101" s="5" t="inlineStr">
        <is>
          <t>https://www.parlament.mt/media/134182/wsc-annual-report-2024.pdf</t>
        </is>
      </c>
    </row>
    <row r="102">
      <c r="A102" s="2" t="inlineStr">
        <is>
          <t>87</t>
        </is>
      </c>
      <c r="B102" s="2" t="inlineStr">
        <is>
          <t>CC-009</t>
        </is>
      </c>
      <c r="C102" s="2" t="inlineStr">
        <is>
          <t>WSC Annual Report 2022</t>
        </is>
      </c>
      <c r="D102" s="2" t="inlineStr">
        <is>
          <t>Water Services Corporation</t>
        </is>
      </c>
      <c r="E102" s="2" t="inlineStr">
        <is>
          <t>2023</t>
        </is>
      </c>
      <c r="F102" s="2" t="inlineStr">
        <is>
          <t>Primary annual report</t>
        </is>
      </c>
      <c r="G102" s="2" t="inlineStr">
        <is>
          <t>Original source of the 64% RO share and approximately 12.7m m3 groundwater figure for 2022.</t>
        </is>
      </c>
      <c r="H102" s="5" t="inlineStr">
        <is>
          <t>https://www.wsc.com.mt/wp-content/uploads/2023/06/WSC-Annual-Report-2022.pdf</t>
        </is>
      </c>
    </row>
    <row r="103">
      <c r="A103" s="2" t="inlineStr">
        <is>
          <t>88</t>
        </is>
      </c>
      <c r="B103" s="2" t="inlineStr">
        <is>
          <t>CC-006</t>
        </is>
      </c>
      <c r="C103" s="2" t="inlineStr">
        <is>
          <t>Spring Hunting Derogations</t>
        </is>
      </c>
      <c r="D103" s="2" t="inlineStr">
        <is>
          <t>Wild Birds Regulation Unit</t>
        </is>
      </c>
      <c r="E103" s="2" t="inlineStr">
        <is>
          <t>Accessed 2026-10-03</t>
        </is>
      </c>
      <c r="F103" s="2" t="inlineStr">
        <is>
          <t>Government reports index</t>
        </is>
      </c>
      <c r="G103" s="2" t="inlineStr">
        <is>
          <t>Checked 3 October 2026; latest listed season outcome report is for 2025; no 2026 outcome report is listed.</t>
        </is>
      </c>
      <c r="H103" s="5" t="inlineStr">
        <is>
          <t>https://wbru.gov.mt/en/resources/reports-and-statistics/sprin-hunting-derogations/</t>
        </is>
      </c>
    </row>
    <row r="104">
      <c r="A104" s="2" t="inlineStr">
        <is>
          <t>89</t>
        </is>
      </c>
      <c r="B104" s="2" t="inlineStr">
        <is>
          <t>CC-006</t>
        </is>
      </c>
      <c r="C104" s="2" t="inlineStr">
        <is>
          <t>Ornis Committee</t>
        </is>
      </c>
      <c r="D104" s="2" t="inlineStr">
        <is>
          <t>Wild Birds Regulation Unit</t>
        </is>
      </c>
      <c r="E104" s="2" t="inlineStr">
        <is>
          <t>Accessed 2026-10-03</t>
        </is>
      </c>
      <c r="F104" s="2" t="inlineStr">
        <is>
          <t>Government committee archive</t>
        </is>
      </c>
      <c r="G104" s="2" t="inlineStr">
        <is>
          <t>Minutes archive checked 3 October 2026; publicly listed minutes run through 2024, with no 2026 minutes shown.</t>
        </is>
      </c>
      <c r="H104" s="5" t="inlineStr">
        <is>
          <t>https://wbru.gov.mt/en/the-department/ornis-committee/</t>
        </is>
      </c>
    </row>
    <row r="105">
      <c r="A105" s="2" t="inlineStr">
        <is>
          <t>95</t>
        </is>
      </c>
      <c r="B105" s="2" t="inlineStr">
        <is>
          <t>CC-012</t>
        </is>
      </c>
      <c r="C105" s="2" t="inlineStr">
        <is>
          <t>PM contradicted over Ta' Qali concerts and green grass</t>
        </is>
      </c>
      <c r="D105" s="2" t="inlineStr">
        <is>
          <t>The Shift News</t>
        </is>
      </c>
      <c r="E105" s="2" t="inlineStr">
        <is>
          <t>15 Jan 2026</t>
        </is>
      </c>
      <c r="F105" s="2" t="inlineStr">
        <is>
          <t>News</t>
        </is>
      </c>
      <c r="G105" s="2" t="inlineStr">
        <is>
          <t>Reports the PM's words and ministry sources disputing the spring-concert timeline.</t>
        </is>
      </c>
      <c r="H105" s="5" t="inlineStr">
        <is>
          <t>https://theshiftnews.com/2026/01/15/pm-contradicted-over-ta-qali-concerts-and-green-grass/</t>
        </is>
      </c>
    </row>
    <row r="106">
      <c r="A106" s="2" t="inlineStr">
        <is>
          <t>96</t>
        </is>
      </c>
      <c r="B106" s="2" t="inlineStr">
        <is>
          <t>CC-012</t>
        </is>
      </c>
      <c r="C106" s="2" t="inlineStr">
        <is>
          <t>Ta' Qali gravel fiasco: more public money needed for grass to grow again, PN says</t>
        </is>
      </c>
      <c r="D106" s="2" t="inlineStr">
        <is>
          <t>The Malta Independent</t>
        </is>
      </c>
      <c r="E106" s="2" t="inlineStr">
        <is>
          <t>12 Jan 2026</t>
        </is>
      </c>
      <c r="F106" s="2" t="inlineStr">
        <is>
          <t>News</t>
        </is>
      </c>
      <c r="G106" s="2" t="inlineStr">
        <is>
          <t>Opposition position.</t>
        </is>
      </c>
      <c r="H106" s="5" t="inlineStr">
        <is>
          <t>https://www.independent.com.mt/articles/2026-01-12/local-news/Ta-Qali-gravel-fiasco-more-public-money-needed-for-grass-to-grow-again-PN-says-6736286279</t>
        </is>
      </c>
    </row>
    <row r="107">
      <c r="A107" s="2" t="inlineStr">
        <is>
          <t>97</t>
        </is>
      </c>
      <c r="B107" s="2" t="inlineStr">
        <is>
          <t>CC-012</t>
        </is>
      </c>
      <c r="C107" s="2" t="inlineStr">
        <is>
          <t>Gravel used to cover Ta' Qali suppressing grass growth, PN says</t>
        </is>
      </c>
      <c r="D107" s="2" t="inlineStr">
        <is>
          <t>The Malta Independent</t>
        </is>
      </c>
      <c r="E107" s="2" t="inlineStr">
        <is>
          <t>6 Feb 2026</t>
        </is>
      </c>
      <c r="F107" s="2" t="inlineStr">
        <is>
          <t>News</t>
        </is>
      </c>
      <c r="G107" s="2" t="inlineStr">
        <is>
          <t>PN statement citing the Momentum report; EUR 310,000 gravel cost.</t>
        </is>
      </c>
      <c r="H107" s="5" t="inlineStr">
        <is>
          <t>https://www.independent.com.mt/articles/2026-02-06/local-news/Gravel-used-to-cover-Ta-Qali-suppressing-grass-growth-PN-says-6736287029</t>
        </is>
      </c>
    </row>
    <row r="108">
      <c r="A108" s="2" t="inlineStr">
        <is>
          <t>98</t>
        </is>
      </c>
      <c r="B108" s="2" t="inlineStr">
        <is>
          <t>CC-012</t>
        </is>
      </c>
      <c r="C108" s="2" t="inlineStr">
        <is>
          <t>Abela's expert took just three days for 'solution' on Ta' Qali grass</t>
        </is>
      </c>
      <c r="D108" s="2" t="inlineStr">
        <is>
          <t>The Shift News</t>
        </is>
      </c>
      <c r="E108" s="2" t="inlineStr">
        <is>
          <t>3 Feb 2026</t>
        </is>
      </c>
      <c r="F108" s="2" t="inlineStr">
        <is>
          <t>News</t>
        </is>
      </c>
      <c r="G108" s="2" t="inlineStr">
        <is>
          <t>Consultancy dates and rate.</t>
        </is>
      </c>
      <c r="H108" s="5" t="inlineStr">
        <is>
          <t>https://theshiftnews.com/2026/02/03/abelas-expert-took-just-three-days-for-solution-on-ta-qali-grass/</t>
        </is>
      </c>
    </row>
    <row r="109">
      <c r="A109" s="2" t="inlineStr">
        <is>
          <t>99</t>
        </is>
      </c>
      <c r="B109" s="2" t="inlineStr">
        <is>
          <t>CC-013</t>
        </is>
      </c>
      <c r="C109" s="2" t="inlineStr">
        <is>
          <t>Johann Buttigieg: 'Issuing permits helps keep property prices in check'</t>
        </is>
      </c>
      <c r="D109" s="2" t="inlineStr">
        <is>
          <t>MaltaToday</t>
        </is>
      </c>
      <c r="E109" s="2" t="inlineStr">
        <is>
          <t>2 Mar 2025</t>
        </is>
      </c>
      <c r="F109" s="2" t="inlineStr">
        <is>
          <t>Interview</t>
        </is>
      </c>
      <c r="G109" s="2" t="inlineStr">
        <is>
          <t>Speaker's own words in an interview; confirm wording against the video.</t>
        </is>
      </c>
      <c r="H109" s="5" t="inlineStr">
        <is>
          <t>https://www.maltatoday.com.mt/news/interview/133858/johann_buttigieg_issuing_permits_helps_keep_property_prices_in_check_</t>
        </is>
      </c>
    </row>
    <row r="110">
      <c r="A110" s="2" t="inlineStr">
        <is>
          <t>100</t>
        </is>
      </c>
      <c r="B110" s="2" t="inlineStr">
        <is>
          <t>CC-014</t>
        </is>
      </c>
      <c r="C110" s="2" t="inlineStr">
        <is>
          <t>CEO will not say PA failed in enforcement duties, but admits it has struggled</t>
        </is>
      </c>
      <c r="D110" s="2" t="inlineStr">
        <is>
          <t>The Malta Independent</t>
        </is>
      </c>
      <c r="E110" s="2" t="inlineStr">
        <is>
          <t>7 Sep 2025</t>
        </is>
      </c>
      <c r="F110" s="2" t="inlineStr">
        <is>
          <t>Interview</t>
        </is>
      </c>
      <c r="G110" s="2" t="inlineStr">
        <is>
          <t>Source of the 1,000 vs 200 notices and 5,000 pending cases.</t>
        </is>
      </c>
      <c r="H110" s="5" t="inlineStr">
        <is>
          <t>https://www.independent.com.mt/articles/2025-09-07/local-news/CEO-will-not-say-PA-failed-in-enforcement-duties-but-admits-it-has-struggled-6736272936</t>
        </is>
      </c>
    </row>
    <row r="111">
      <c r="A111" s="2" t="inlineStr">
        <is>
          <t>101</t>
        </is>
      </c>
      <c r="B111" s="2" t="inlineStr">
        <is>
          <t>CC-015</t>
        </is>
      </c>
      <c r="C111" s="2" t="inlineStr">
        <is>
          <t>'Johann out'</t>
        </is>
      </c>
      <c r="D111" s="2" t="inlineStr">
        <is>
          <t>The Shift News</t>
        </is>
      </c>
      <c r="E111" s="2" t="inlineStr">
        <is>
          <t>26 Sep 2026</t>
        </is>
      </c>
      <c r="F111" s="2" t="inlineStr">
        <is>
          <t>News</t>
        </is>
      </c>
      <c r="G111" s="2" t="inlineStr">
        <is>
          <t>Reports the 'three weeks' statement and the campaigners' dates.</t>
        </is>
      </c>
      <c r="H111" s="5" t="inlineStr">
        <is>
          <t>https://theshiftnews.com/2026/09/26/johann-out/</t>
        </is>
      </c>
    </row>
    <row r="112">
      <c r="A112" s="2" t="inlineStr">
        <is>
          <t>102</t>
        </is>
      </c>
      <c r="B112" s="2" t="inlineStr">
        <is>
          <t>CC-015</t>
        </is>
      </c>
      <c r="C112" s="2" t="inlineStr">
        <is>
          <t>Kick Out the Corrupt: integrity in planning</t>
        </is>
      </c>
      <c r="D112" s="2" t="inlineStr">
        <is>
          <t>Moviment Graffitti</t>
        </is>
      </c>
      <c r="E112" s="2" t="inlineStr">
        <is>
          <t>26 Sep 2026</t>
        </is>
      </c>
      <c r="F112" s="2" t="inlineStr">
        <is>
          <t>Advocacy</t>
        </is>
      </c>
      <c r="G112" s="2" t="inlineStr">
        <is>
          <t>Campaign source; locates the claim, is not evidence.</t>
        </is>
      </c>
      <c r="H112" s="5" t="inlineStr">
        <is>
          <t>https://movimentgraffitti.org/2026/09/26/kick-out-the-corrupt-integrity-in-planning/</t>
        </is>
      </c>
    </row>
    <row r="113">
      <c r="A113" s="2" t="inlineStr">
        <is>
          <t>103</t>
        </is>
      </c>
      <c r="B113" s="2" t="inlineStr">
        <is>
          <t>CC-016</t>
        </is>
      </c>
      <c r="C113" s="2" t="inlineStr">
        <is>
          <t>Grand Harbour shore-to-ship project completed, to cut down emissions by 90%</t>
        </is>
      </c>
      <c r="D113" s="2" t="inlineStr">
        <is>
          <t>TVMnews</t>
        </is>
      </c>
      <c r="E113" s="2" t="inlineStr">
        <is>
          <t>n/d</t>
        </is>
      </c>
      <c r="F113" s="2" t="inlineStr">
        <is>
          <t>News</t>
        </is>
      </c>
      <c r="G113" s="2" t="inlineStr">
        <is>
          <t>Relays the 90% and 17,000-families figures; find the Infrastructure Malta release.</t>
        </is>
      </c>
      <c r="H113" s="5" t="inlineStr">
        <is>
          <t>https://tvmnews.mt/en/news/shore-to-ship-project-in-grand-harbour-completed-to-cut-down-emissions-by-90/</t>
        </is>
      </c>
    </row>
    <row r="114">
      <c r="A114" s="2" t="inlineStr">
        <is>
          <t>104</t>
        </is>
      </c>
      <c r="B114" s="2" t="inlineStr">
        <is>
          <t>CC-016</t>
        </is>
      </c>
      <c r="C114" s="2" t="inlineStr">
        <is>
          <t>Shore-to-Ship</t>
        </is>
      </c>
      <c r="D114" s="2" t="inlineStr">
        <is>
          <t>Infrastructure Malta</t>
        </is>
      </c>
      <c r="E114" s="2" t="inlineStr">
        <is>
          <t>n/d</t>
        </is>
      </c>
      <c r="F114" s="2" t="inlineStr">
        <is>
          <t>Government project page</t>
        </is>
      </c>
      <c r="G114" s="2" t="inlineStr">
        <is>
          <t>Primary project description.</t>
        </is>
      </c>
      <c r="H114" s="5" t="inlineStr">
        <is>
          <t>https://www.infrastructuremalta.com/projects/shore-ship</t>
        </is>
      </c>
    </row>
    <row r="115">
      <c r="A115" s="2" t="inlineStr">
        <is>
          <t>105</t>
        </is>
      </c>
      <c r="B115" s="2" t="inlineStr">
        <is>
          <t>CC-017</t>
        </is>
      </c>
      <c r="C115" s="2" t="inlineStr">
        <is>
          <t>Budget 2026: Large-scale land reclamation project to begin outside Freeport perimeter</t>
        </is>
      </c>
      <c r="D115" s="2" t="inlineStr">
        <is>
          <t>The Malta Independent</t>
        </is>
      </c>
      <c r="E115" s="2" t="inlineStr">
        <is>
          <t>27 Oct 2025</t>
        </is>
      </c>
      <c r="F115" s="2" t="inlineStr">
        <is>
          <t>News</t>
        </is>
      </c>
      <c r="G115" s="2" t="inlineStr">
        <is>
          <t>Find the budget speech text.</t>
        </is>
      </c>
      <c r="H115" s="5" t="inlineStr">
        <is>
          <t>https://www.independent.com.mt/articles/2025-10-27/local-news/Budget-2026-Large-scale-land-reclamation-project-to-begin-outside-Freeport-perimeter-6736284318</t>
        </is>
      </c>
    </row>
    <row r="116">
      <c r="A116" s="2" t="inlineStr">
        <is>
          <t>106</t>
        </is>
      </c>
      <c r="B116" s="2" t="inlineStr">
        <is>
          <t>CC-017</t>
        </is>
      </c>
      <c r="C116" s="2" t="inlineStr">
        <is>
          <t>Land reclamation decision informed by EUR 11 million seabed study</t>
        </is>
      </c>
      <c r="D116" s="2" t="inlineStr">
        <is>
          <t>MaltaToday</t>
        </is>
      </c>
      <c r="E116" s="2" t="inlineStr">
        <is>
          <t>n/d</t>
        </is>
      </c>
      <c r="F116" s="2" t="inlineStr">
        <is>
          <t>News</t>
        </is>
      </c>
      <c r="G116" s="2" t="inlineStr">
        <is>
          <t>Environment Minister Herrera: five or six sites 'possible and environmentally safe' (verbatim); 'least environmental damage' is the newspaper's paraphrase. Page returns 403 to scripts.</t>
        </is>
      </c>
      <c r="H116" s="5" t="inlineStr">
        <is>
          <t>https://www.maltatoday.com.mt/news/national/98630/land_reclamation_decision_informed_by_11_million_seabed_study</t>
        </is>
      </c>
    </row>
    <row r="117">
      <c r="A117" s="2" t="inlineStr">
        <is>
          <t>107</t>
        </is>
      </c>
      <c r="B117" s="2" t="inlineStr">
        <is>
          <t>CC-018</t>
        </is>
      </c>
      <c r="C117" s="2" t="inlineStr">
        <is>
          <t>Malta Development Association welcomes IMF assessment of housing market</t>
        </is>
      </c>
      <c r="D117" s="2" t="inlineStr">
        <is>
          <t>MaltaToday</t>
        </is>
      </c>
      <c r="E117" s="2" t="inlineStr">
        <is>
          <t>8 Feb 2026</t>
        </is>
      </c>
      <c r="F117" s="2" t="inlineStr">
        <is>
          <t>News</t>
        </is>
      </c>
      <c r="G117" s="2" t="inlineStr">
        <is>
          <t>Quotes the MDA; locate the MDA press release and the IMF report.</t>
        </is>
      </c>
      <c r="H117" s="5" t="inlineStr">
        <is>
          <t>https://www.maltatoday.com.mt/news/national/139634/malta_development_association_welcomes_imf_assessment_housing_market</t>
        </is>
      </c>
    </row>
    <row r="118">
      <c r="A118" s="2" t="inlineStr">
        <is>
          <t>108</t>
        </is>
      </c>
      <c r="B118" s="2" t="inlineStr">
        <is>
          <t>CC-019</t>
        </is>
      </c>
      <c r="C118" s="2" t="inlineStr">
        <is>
          <t>Green To Grey: Malta Lost Over 830,000 Square Metres Of Land To Development In Five Years</t>
        </is>
      </c>
      <c r="D118" s="2" t="inlineStr">
        <is>
          <t>Amphora Media</t>
        </is>
      </c>
      <c r="E118" s="2" t="inlineStr">
        <is>
          <t>Sep 2026</t>
        </is>
      </c>
      <c r="F118" s="2" t="inlineStr">
        <is>
          <t>Investigative journalism</t>
        </is>
      </c>
      <c r="G118" s="2" t="inlineStr">
        <is>
          <t>Media claim; locate its data source and method.</t>
        </is>
      </c>
      <c r="H118" s="5" t="inlineStr">
        <is>
          <t>https://www.amphora.media/2026/09/green-to-grey-malta-land-loss-development-construction</t>
        </is>
      </c>
    </row>
    <row r="119">
      <c r="A119" s="2" t="inlineStr">
        <is>
          <t>109</t>
        </is>
      </c>
      <c r="B119" s="2" t="inlineStr">
        <is>
          <t>CC-019</t>
        </is>
      </c>
      <c r="C119" s="2" t="inlineStr">
        <is>
          <t>Green to Grey: When Development Creeps Up On Agricultural Land</t>
        </is>
      </c>
      <c r="D119" s="2" t="inlineStr">
        <is>
          <t>Amphora Media</t>
        </is>
      </c>
      <c r="E119" s="2" t="inlineStr">
        <is>
          <t>Sep 2026</t>
        </is>
      </c>
      <c r="F119" s="2" t="inlineStr">
        <is>
          <t>Investigative journalism</t>
        </is>
      </c>
      <c r="G119" s="2" t="inlineStr">
        <is>
          <t>Companion piece.</t>
        </is>
      </c>
      <c r="H119" s="5" t="inlineStr">
        <is>
          <t>https://www.amphora.media/2026/09/green-to-grey-development-agricutlural-land</t>
        </is>
      </c>
    </row>
    <row r="120">
      <c r="A120" s="2" t="inlineStr">
        <is>
          <t>110</t>
        </is>
      </c>
      <c r="B120" s="2" t="inlineStr">
        <is>
          <t>CC-020</t>
        </is>
      </c>
      <c r="C120" s="2" t="inlineStr">
        <is>
          <t>Malta urged to address construction and entertainment noise</t>
        </is>
      </c>
      <c r="D120" s="2" t="inlineStr">
        <is>
          <t>MaltaToday</t>
        </is>
      </c>
      <c r="E120" s="2" t="inlineStr">
        <is>
          <t>2026</t>
        </is>
      </c>
      <c r="F120" s="2" t="inlineStr">
        <is>
          <t>News</t>
        </is>
      </c>
      <c r="G120" s="2" t="inlineStr">
        <is>
          <t>Reports the EP study; locate the study and any government statement of compliance.</t>
        </is>
      </c>
      <c r="H120" s="5" t="inlineStr">
        <is>
          <t>https://www.maltatoday.com.mt/news/national/139887/malta_urged_to_address_construction_and_entertainment_noise</t>
        </is>
      </c>
    </row>
    <row r="121">
      <c r="A121" s="2" t="inlineStr">
        <is>
          <t>111</t>
        </is>
      </c>
      <c r="B121" s="2" t="inlineStr">
        <is>
          <t>CC-020</t>
        </is>
      </c>
      <c r="C121" s="2" t="inlineStr">
        <is>
          <t>Malta noise fact sheet 2022</t>
        </is>
      </c>
      <c r="D121" s="2" t="inlineStr">
        <is>
          <t>European Environment Agency</t>
        </is>
      </c>
      <c r="E121" s="2" t="inlineStr">
        <is>
          <t>2022</t>
        </is>
      </c>
      <c r="F121" s="2" t="inlineStr">
        <is>
          <t>EU dataset</t>
        </is>
      </c>
      <c r="G121" s="2" t="inlineStr">
        <is>
          <t>Exposure figures under the Environmental Noise Directive.</t>
        </is>
      </c>
      <c r="H121" s="5" t="inlineStr">
        <is>
          <t>https://www.eea.europa.eu/en/analysis/maps-and-charts/malta-noise-fact-sheet-2022</t>
        </is>
      </c>
    </row>
    <row r="122">
      <c r="A122" s="2" t="inlineStr">
        <is>
          <t>112</t>
        </is>
      </c>
      <c r="B122" s="2" t="inlineStr">
        <is>
          <t>CC-021</t>
        </is>
      </c>
      <c r="C122" s="2" t="inlineStr">
        <is>
          <t>Malta-Gozo Tunnel</t>
        </is>
      </c>
      <c r="D122" s="2" t="inlineStr">
        <is>
          <t>Wikipedia</t>
        </is>
      </c>
      <c r="E122" s="2" t="inlineStr">
        <is>
          <t>n/d</t>
        </is>
      </c>
      <c r="F122" s="2" t="inlineStr">
        <is>
          <t>Encyclopaedia</t>
        </is>
      </c>
      <c r="G122" s="2" t="inlineStr">
        <is>
          <t>Lead only; find the primary studies and any current statement.</t>
        </is>
      </c>
      <c r="H122" s="5" t="inlineStr">
        <is>
          <t>https://en.wikipedia.org/wiki/Malta%E2%80%93Gozo_Tunnel</t>
        </is>
      </c>
    </row>
    <row r="123">
      <c r="A123" s="2" t="inlineStr">
        <is>
          <t>113</t>
        </is>
      </c>
      <c r="B123" s="2" t="inlineStr">
        <is>
          <t>CC-021</t>
        </is>
      </c>
      <c r="C123" s="2" t="inlineStr">
        <is>
          <t>Gozo tunnel must be submitted to SEA impact study, NGOs warn</t>
        </is>
      </c>
      <c r="D123" s="2" t="inlineStr">
        <is>
          <t>MaltaToday</t>
        </is>
      </c>
      <c r="E123" s="2" t="inlineStr">
        <is>
          <t>n/d</t>
        </is>
      </c>
      <c r="F123" s="2" t="inlineStr">
        <is>
          <t>News</t>
        </is>
      </c>
      <c r="G123" s="2" t="inlineStr">
        <is>
          <t>NGO position.</t>
        </is>
      </c>
      <c r="H123" s="5" t="inlineStr">
        <is>
          <t>https://www.maltatoday.com.mt/environment/environment/93504/gozo_tunnel_must_be_submitted_to_sea_impact_study_ngos_warn</t>
        </is>
      </c>
    </row>
    <row r="124">
      <c r="A124" s="2" t="inlineStr">
        <is>
          <t>114</t>
        </is>
      </c>
      <c r="B124" s="2" t="inlineStr">
        <is>
          <t>CC-014</t>
        </is>
      </c>
      <c r="C124" s="2" t="inlineStr">
        <is>
          <t>Buttigieg stops short of direct action against Carlo Stivala's new illegal structure</t>
        </is>
      </c>
      <c r="D124" s="2" t="inlineStr">
        <is>
          <t>The Shift News</t>
        </is>
      </c>
      <c r="E124" s="2" t="inlineStr">
        <is>
          <t>2 Oct 2026</t>
        </is>
      </c>
      <c r="F124" s="2" t="inlineStr">
        <is>
          <t>News</t>
        </is>
      </c>
      <c r="G124" s="2" t="inlineStr">
        <is>
          <t>Lead only: current enforcement context; not read in full.</t>
        </is>
      </c>
      <c r="H124" s="5" t="inlineStr">
        <is>
          <t>https://theshiftnews.com/2026/10/02/buttigieg-stops-short-of-direct-action-against-carlo-stivalas-new-illegal-structure/</t>
        </is>
      </c>
    </row>
    <row r="125">
      <c r="A125" s="2" t="inlineStr">
        <is>
          <t>115</t>
        </is>
      </c>
      <c r="B125" s="2" t="inlineStr">
        <is>
          <t>CC-012</t>
        </is>
      </c>
      <c r="C125" s="2" t="inlineStr">
        <is>
          <t>Momentum inspection on Ta' Qali gravel shows soil rendered unsuitable for natural vegetation</t>
        </is>
      </c>
      <c r="D125" s="2" t="inlineStr">
        <is>
          <t>The Malta Independent</t>
        </is>
      </c>
      <c r="E125" s="2" t="inlineStr">
        <is>
          <t>5 Feb 2026</t>
        </is>
      </c>
      <c r="F125" s="2" t="inlineStr">
        <is>
          <t>News</t>
        </is>
      </c>
      <c r="G125" s="2" t="inlineStr">
        <is>
          <t>Second-hand report of the Momentum-commissioned expert inspection (22,000 m2 picnic area; two layers, sand over compacted fine gravel). Lead to the Momentum report itself; read in full 3 Oct 2026.</t>
        </is>
      </c>
      <c r="H125" s="5" t="inlineStr">
        <is>
          <t>https://www.independent.com.mt/articles/2026-02-05/local-news/Momentum-inspection-on-Ta-Qali-gravel-shows-soil-rendered-unsuitable-for-natural-vegetation-6736286987</t>
        </is>
      </c>
    </row>
    <row r="126">
      <c r="A126" s="2" t="inlineStr">
        <is>
          <t>116</t>
        </is>
      </c>
      <c r="B126" s="2" t="inlineStr">
        <is>
          <t>CC-012</t>
        </is>
      </c>
      <c r="C126" s="2" t="inlineStr">
        <is>
          <t>Independent expert confirms Ta' Qali picnic area was 'deliberately ruined'</t>
        </is>
      </c>
      <c r="D126" s="2" t="inlineStr">
        <is>
          <t>Newsbook</t>
        </is>
      </c>
      <c r="E126" s="2" t="inlineStr">
        <is>
          <t>Feb 2026</t>
        </is>
      </c>
      <c r="F126" s="2" t="inlineStr">
        <is>
          <t>News</t>
        </is>
      </c>
      <c r="G126" s="2" t="inlineStr">
        <is>
          <t>Second-hand report of the Momentum expert findings. Not retrieved.</t>
        </is>
      </c>
      <c r="H126" s="5" t="inlineStr">
        <is>
          <t>https://newsbook.com.mt/en/independent-expert-confirms-malta-picnic-area-was-deliberately-ruined/</t>
        </is>
      </c>
    </row>
    <row r="127">
      <c r="A127" s="2" t="inlineStr">
        <is>
          <t>117</t>
        </is>
      </c>
      <c r="B127" s="2" t="inlineStr">
        <is>
          <t>CC-012</t>
        </is>
      </c>
      <c r="C127" s="2" t="inlineStr">
        <is>
          <t>Ta' Qali gravel 'blunder' was intentionally designed to squeeze money out of picnic area, parties claim</t>
        </is>
      </c>
      <c r="D127" s="2" t="inlineStr">
        <is>
          <t>MaltaToday</t>
        </is>
      </c>
      <c r="E127" s="2" t="inlineStr">
        <is>
          <t>Feb 2026</t>
        </is>
      </c>
      <c r="F127" s="2" t="inlineStr">
        <is>
          <t>News</t>
        </is>
      </c>
      <c r="G127" s="2" t="inlineStr">
        <is>
          <t>Reports Momentum and PN statements. Not retrieved.</t>
        </is>
      </c>
      <c r="H127" s="5" t="inlineStr">
        <is>
          <t>https://www.maltatoday.com.mt/news/national/139796/ta_qali_gravel_blunder_was_intentionally_designed_to_squeeze_money_out_of_picnic_area_parties_claim</t>
        </is>
      </c>
    </row>
    <row r="128">
      <c r="A128" s="2" t="inlineStr">
        <is>
          <t>118</t>
        </is>
      </c>
      <c r="B128" s="2" t="inlineStr">
        <is>
          <t>CC-012</t>
        </is>
      </c>
      <c r="C128" s="2" t="inlineStr">
        <is>
          <t>Ta' Qali gravel: Momentum says soil covered with construction-grade gravel</t>
        </is>
      </c>
      <c r="D128" s="2" t="inlineStr">
        <is>
          <t>MaltaToday</t>
        </is>
      </c>
      <c r="E128" s="2" t="inlineStr">
        <is>
          <t>2025-26</t>
        </is>
      </c>
      <c r="F128" s="2" t="inlineStr">
        <is>
          <t>News</t>
        </is>
      </c>
      <c r="G128" s="2" t="inlineStr">
        <is>
          <t>Earlier Momentum statement. Not retrieved.</t>
        </is>
      </c>
      <c r="H128" s="5" t="inlineStr">
        <is>
          <t>https://www.maltatoday.com.mt/news/national/139585/momentum_says_ta_qali_soil_covered_with_constructiongrade_gravel</t>
        </is>
      </c>
    </row>
    <row r="129">
      <c r="A129" s="2" t="inlineStr">
        <is>
          <t>119</t>
        </is>
      </c>
      <c r="B129" s="2" t="inlineStr">
        <is>
          <t>CC-012</t>
        </is>
      </c>
      <c r="C129" s="2" t="inlineStr">
        <is>
          <t>Grass consultant paid EUR 50 an hour to fix Ta' Qali gravel fiasco</t>
        </is>
      </c>
      <c r="D129" s="2" t="inlineStr">
        <is>
          <t>Newsbook</t>
        </is>
      </c>
      <c r="E129" s="2" t="inlineStr">
        <is>
          <t>Jan-Feb 2026</t>
        </is>
      </c>
      <c r="F129" s="2" t="inlineStr">
        <is>
          <t>News</t>
        </is>
      </c>
      <c r="G129" s="2" t="inlineStr">
        <is>
          <t>Consultant rate and timeline. Not retrieved.</t>
        </is>
      </c>
      <c r="H129" s="5" t="inlineStr">
        <is>
          <t>https://newsbook.com.mt/en/grass-consultant-paid-e50-an-hour-to-fix-ta-qali-gravel-fiasco/</t>
        </is>
      </c>
    </row>
    <row r="130">
      <c r="A130" s="2" t="inlineStr">
        <is>
          <t>120</t>
        </is>
      </c>
      <c r="B130" s="2" t="inlineStr">
        <is>
          <t>CC-012</t>
        </is>
      </c>
      <c r="C130" s="2" t="inlineStr">
        <is>
          <t>Abela wades into Ta' Qali row, endorsing gravel decision but criticising 'communication'</t>
        </is>
      </c>
      <c r="D130" s="2" t="inlineStr">
        <is>
          <t>Newsbook</t>
        </is>
      </c>
      <c r="E130" s="2" t="inlineStr">
        <is>
          <t>Jan 2026</t>
        </is>
      </c>
      <c r="F130" s="2" t="inlineStr">
        <is>
          <t>News</t>
        </is>
      </c>
      <c r="G130" s="2" t="inlineStr">
        <is>
          <t>Reports the PM's interview remarks. Not retrieved.</t>
        </is>
      </c>
      <c r="H130" s="5" t="inlineStr">
        <is>
          <t>https://newsbook.com.mt/en/momentum-backs-green-space-protest-as-ta-qali-chief-cries-fake-news/</t>
        </is>
      </c>
    </row>
    <row r="131">
      <c r="A131" s="2" t="inlineStr">
        <is>
          <t>121</t>
        </is>
      </c>
      <c r="B131" s="2" t="inlineStr">
        <is>
          <t>CC-014</t>
        </is>
      </c>
      <c r="C131" s="2" t="inlineStr">
        <is>
          <t>Planning Authority Annual Report 2024</t>
        </is>
      </c>
      <c r="D131" s="2" t="inlineStr">
        <is>
          <t>Planning Authority</t>
        </is>
      </c>
      <c r="E131" s="2" t="inlineStr">
        <is>
          <t>2025</t>
        </is>
      </c>
      <c r="F131" s="2" t="inlineStr">
        <is>
          <t>Annual report (full text read)</t>
        </is>
      </c>
      <c r="G131" s="2" t="inlineStr">
        <is>
          <t>Primary evidence: enforcement pp. 28-30.</t>
        </is>
      </c>
      <c r="H131" s="5" t="inlineStr">
        <is>
          <t>https://www.parlament.mt/media/134019/pa-annual-report-2024.pdf</t>
        </is>
      </c>
    </row>
    <row r="132">
      <c r="A132" s="2" t="inlineStr">
        <is>
          <t>122</t>
        </is>
      </c>
      <c r="B132" s="2" t="inlineStr">
        <is>
          <t>CC-014</t>
        </is>
      </c>
      <c r="C132" s="2" t="inlineStr">
        <is>
          <t>MEPA Annual Report and Accounts 2004</t>
        </is>
      </c>
      <c r="D132" s="2" t="inlineStr">
        <is>
          <t>MEPA</t>
        </is>
      </c>
      <c r="E132" s="2" t="inlineStr">
        <is>
          <t>2004</t>
        </is>
      </c>
      <c r="F132" s="2" t="inlineStr">
        <is>
          <t>Annual report (full text read)</t>
        </is>
      </c>
      <c r="G132" s="2" t="inlineStr">
        <is>
          <t>Notices issued 2001-2004.</t>
        </is>
      </c>
      <c r="H132" s="5" t="inlineStr">
        <is>
          <t>https://era.org.mt/wp-content/uploads/2019/05/MEPA-Annual-Report-2004.pdf</t>
        </is>
      </c>
    </row>
    <row r="133">
      <c r="A133" s="2" t="inlineStr">
        <is>
          <t>123</t>
        </is>
      </c>
      <c r="B133" s="2" t="inlineStr">
        <is>
          <t>CC-014</t>
        </is>
      </c>
      <c r="C133" s="2" t="inlineStr">
        <is>
          <t>MEPA Annual Report and Accounts 2005</t>
        </is>
      </c>
      <c r="D133" s="2" t="inlineStr">
        <is>
          <t>MEPA</t>
        </is>
      </c>
      <c r="E133" s="2" t="inlineStr">
        <is>
          <t>2005</t>
        </is>
      </c>
      <c r="F133" s="2" t="inlineStr">
        <is>
          <t>Annual report (full text read)</t>
        </is>
      </c>
      <c r="G133" s="2" t="inlineStr">
        <is>
          <t>Notices 2005; 3,705 complaints FY 2004/05.</t>
        </is>
      </c>
      <c r="H133" s="5" t="inlineStr">
        <is>
          <t>https://era.org.mt/wp-content/uploads/2019/05/Annual-Report-2005.pdf</t>
        </is>
      </c>
    </row>
    <row r="134">
      <c r="A134" s="2" t="inlineStr">
        <is>
          <t>124</t>
        </is>
      </c>
      <c r="B134" s="2" t="inlineStr">
        <is>
          <t>CC-014</t>
        </is>
      </c>
      <c r="C134" s="2" t="inlineStr">
        <is>
          <t>MEPA Annual Report and Accounts 2006</t>
        </is>
      </c>
      <c r="D134" s="2" t="inlineStr">
        <is>
          <t>MEPA</t>
        </is>
      </c>
      <c r="E134" s="2" t="inlineStr">
        <is>
          <t>2006</t>
        </is>
      </c>
      <c r="F134" s="2" t="inlineStr">
        <is>
          <t>Annual report (full text read)</t>
        </is>
      </c>
      <c r="G134" s="2" t="inlineStr">
        <is>
          <t>982 notices.</t>
        </is>
      </c>
      <c r="H134" s="5" t="inlineStr">
        <is>
          <t>https://era.org.mt/wp-content/uploads/2019/05/MEPA-_AnnualReport2006.pdf</t>
        </is>
      </c>
    </row>
    <row r="135">
      <c r="A135" s="2" t="inlineStr">
        <is>
          <t>125</t>
        </is>
      </c>
      <c r="B135" s="2" t="inlineStr">
        <is>
          <t>CC-014</t>
        </is>
      </c>
      <c r="C135" s="2" t="inlineStr">
        <is>
          <t>MEPA Annual Report 2007</t>
        </is>
      </c>
      <c r="D135" s="2" t="inlineStr">
        <is>
          <t>MEPA</t>
        </is>
      </c>
      <c r="E135" s="2" t="inlineStr">
        <is>
          <t>2007</t>
        </is>
      </c>
      <c r="F135" s="2" t="inlineStr">
        <is>
          <t>Annual report (full text read)</t>
        </is>
      </c>
      <c r="G135" s="2" t="inlineStr">
        <is>
          <t>865 notices.</t>
        </is>
      </c>
      <c r="H135" s="5" t="inlineStr">
        <is>
          <t>https://era.org.mt/wp-content/uploads/2019/05/MEPA-Annual-Report-2007.pdf</t>
        </is>
      </c>
    </row>
    <row r="136">
      <c r="A136" s="2" t="inlineStr">
        <is>
          <t>126</t>
        </is>
      </c>
      <c r="B136" s="2" t="inlineStr">
        <is>
          <t>CC-014</t>
        </is>
      </c>
      <c r="C136" s="2" t="inlineStr">
        <is>
          <t>MEPA Annual Report 2009</t>
        </is>
      </c>
      <c r="D136" s="2" t="inlineStr">
        <is>
          <t>MEPA</t>
        </is>
      </c>
      <c r="E136" s="2" t="inlineStr">
        <is>
          <t>2009</t>
        </is>
      </c>
      <c r="F136" s="2" t="inlineStr">
        <is>
          <t>Annual report (full text read)</t>
        </is>
      </c>
      <c r="G136" s="2" t="inlineStr">
        <is>
          <t>1,120 notices; 2,701 complaints (Malta + Gozo).</t>
        </is>
      </c>
      <c r="H136" s="5" t="inlineStr">
        <is>
          <t>https://era.org.mt/wp-content/uploads/2019/05/Annual-Report-2009.pdf</t>
        </is>
      </c>
    </row>
    <row r="137">
      <c r="A137" s="2" t="inlineStr">
        <is>
          <t>127</t>
        </is>
      </c>
      <c r="B137" s="2" t="inlineStr">
        <is>
          <t>CC-014</t>
        </is>
      </c>
      <c r="C137" s="2" t="inlineStr">
        <is>
          <t>MEPA Annual Report 2010</t>
        </is>
      </c>
      <c r="D137" s="2" t="inlineStr">
        <is>
          <t>MEPA</t>
        </is>
      </c>
      <c r="E137" s="2" t="inlineStr">
        <is>
          <t>2010</t>
        </is>
      </c>
      <c r="F137" s="2" t="inlineStr">
        <is>
          <t>Annual report (full text read)</t>
        </is>
      </c>
      <c r="G137" s="2" t="inlineStr">
        <is>
          <t>627 notices.</t>
        </is>
      </c>
      <c r="H137" s="5" t="inlineStr">
        <is>
          <t>https://era.org.mt/wp-content/uploads/2019/05/MEPA-AR2010a.pdf</t>
        </is>
      </c>
    </row>
    <row r="138">
      <c r="A138" s="2" t="inlineStr">
        <is>
          <t>128</t>
        </is>
      </c>
      <c r="B138" s="2" t="inlineStr">
        <is>
          <t>CC-014</t>
        </is>
      </c>
      <c r="C138" s="2" t="inlineStr">
        <is>
          <t>MEPA Annual Report 2011</t>
        </is>
      </c>
      <c r="D138" s="2" t="inlineStr">
        <is>
          <t>MEPA</t>
        </is>
      </c>
      <c r="E138" s="2" t="inlineStr">
        <is>
          <t>2011</t>
        </is>
      </c>
      <c r="F138" s="2" t="inlineStr">
        <is>
          <t>Annual report (full text read)</t>
        </is>
      </c>
      <c r="G138" s="2" t="inlineStr">
        <is>
          <t>618 notices; 2,105 complaints.</t>
        </is>
      </c>
      <c r="H138" s="5" t="inlineStr">
        <is>
          <t>https://era.org.mt/wp-content/uploads/2019/05/Annual-Report-2011-Final.pdf</t>
        </is>
      </c>
    </row>
    <row r="139">
      <c r="A139" s="2" t="inlineStr">
        <is>
          <t>129</t>
        </is>
      </c>
      <c r="B139" s="2" t="inlineStr">
        <is>
          <t>CC-014</t>
        </is>
      </c>
      <c r="C139" s="2" t="inlineStr">
        <is>
          <t>Planning Authority received 9 reports on illegalities each day in 2020</t>
        </is>
      </c>
      <c r="D139" s="2" t="inlineStr">
        <is>
          <t>MaltaToday</t>
        </is>
      </c>
      <c r="E139" s="2" t="inlineStr">
        <is>
          <t>2021</t>
        </is>
      </c>
      <c r="F139" s="2" t="inlineStr">
        <is>
          <t>News (report of PA AR 2020)</t>
        </is>
      </c>
      <c r="G139" s="2" t="inlineStr">
        <is>
          <t>Second-hand: 3,313 complaints, 169 notices. Superseded by the PA annual report 2020 (same values)</t>
        </is>
      </c>
      <c r="H139" s="5" t="inlineStr">
        <is>
          <t>https://www.maltatoday.com.mt/environment/environment/109955/planning_authority_received_9_reports_on_illegalities_each_day_in_2020</t>
        </is>
      </c>
    </row>
    <row r="140">
      <c r="A140" s="2" t="inlineStr">
        <is>
          <t>130</t>
        </is>
      </c>
      <c r="B140" s="2" t="inlineStr">
        <is>
          <t>CC-014</t>
        </is>
      </c>
      <c r="C140" s="2" t="inlineStr">
        <is>
          <t>Planning Authority says there are over 5,000 pending enforcement notices</t>
        </is>
      </c>
      <c r="D140" s="2" t="inlineStr">
        <is>
          <t>The Malta Independent</t>
        </is>
      </c>
      <c r="E140" s="2" t="inlineStr">
        <is>
          <t>31 Jan 2022</t>
        </is>
      </c>
      <c r="F140" s="2" t="inlineStr">
        <is>
          <t>News (PA data)</t>
        </is>
      </c>
      <c r="G140" s="2" t="inlineStr">
        <is>
          <t>Second-hand: 5,382 pending; 164 notices in 2021.</t>
        </is>
      </c>
      <c r="H140" s="5" t="inlineStr">
        <is>
          <t>https://www.independent.com.mt/articles/2022-01-31/local-news/Planning-Authority-says-there-are-over-5-000-pending-enforcement-notices-6736240240</t>
        </is>
      </c>
    </row>
    <row r="141">
      <c r="A141" s="2" t="inlineStr">
        <is>
          <t>131</t>
        </is>
      </c>
      <c r="B141" s="2" t="inlineStr">
        <is>
          <t>CC-014</t>
        </is>
      </c>
      <c r="C141" s="2" t="inlineStr">
        <is>
          <t>Planning Authority yet to collect EUR 674,740 from pending enforcement notices</t>
        </is>
      </c>
      <c r="D141" s="2" t="inlineStr">
        <is>
          <t>MaltaToday</t>
        </is>
      </c>
      <c r="E141" s="2" t="inlineStr">
        <is>
          <t>2024</t>
        </is>
      </c>
      <c r="F141" s="2" t="inlineStr">
        <is>
          <t>News (PQ answer)</t>
        </is>
      </c>
      <c r="G141" s="2" t="inlineStr">
        <is>
          <t>Second-hand: 180 notices 2022, 233 in 2023. Superseded by the PA annual reports 2022 and 2023 (same values)</t>
        </is>
      </c>
      <c r="H141" s="5" t="inlineStr">
        <is>
          <t>https://www.maltatoday.com.mt/news/national/127957/planning_authority_yet_to_collect_674740_from_pending_enforcement_notices</t>
        </is>
      </c>
    </row>
    <row r="142">
      <c r="A142" s="2" t="inlineStr">
        <is>
          <t>132</t>
        </is>
      </c>
      <c r="B142" s="2" t="inlineStr">
        <is>
          <t>CC-014</t>
        </is>
      </c>
      <c r="C142" s="2" t="inlineStr">
        <is>
          <t>2,400 reports of suspected illegal works in 2024</t>
        </is>
      </c>
      <c r="D142" s="2" t="inlineStr">
        <is>
          <t>MaltaToday</t>
        </is>
      </c>
      <c r="E142" s="2" t="inlineStr">
        <is>
          <t>2025</t>
        </is>
      </c>
      <c r="F142" s="2" t="inlineStr">
        <is>
          <t>News (report of PA AR 2024)</t>
        </is>
      </c>
      <c r="G142" s="2" t="inlineStr">
        <is>
          <t>2,456 complaints in 2023; anonymous reports stopped 2024. 2,456 is complaints closed per PA AR 2023 (2,463 received)</t>
        </is>
      </c>
      <c r="H142" s="5" t="inlineStr">
        <is>
          <t>https://maltatoday.com.mt/environment/townscapes/134952/2400_reports_of_suspected_illegal_works_in_2024</t>
        </is>
      </c>
    </row>
    <row r="143">
      <c r="A143" s="2" t="inlineStr">
        <is>
          <t>133</t>
        </is>
      </c>
      <c r="B143" s="2" t="inlineStr">
        <is>
          <t>CC-013</t>
        </is>
      </c>
      <c r="C143" s="2" t="inlineStr">
        <is>
          <t>Approved Dwelling Units for 2007-2025</t>
        </is>
      </c>
      <c r="D143" s="2" t="inlineStr">
        <is>
          <t>Planning Authority</t>
        </is>
      </c>
      <c r="E143" s="2" t="inlineStr">
        <is>
          <t>2026</t>
        </is>
      </c>
      <c r="F143" s="2" t="inlineStr">
        <is>
          <t>Statistics (full text read)</t>
        </is>
      </c>
      <c r="G143" s="2" t="inlineStr">
        <is>
          <t>87,814 units approved 2015-2024.</t>
        </is>
      </c>
      <c r="H143" s="5" t="inlineStr">
        <is>
          <t>https://www.pa.org.mt/file.aspx?f=37489</t>
        </is>
      </c>
    </row>
    <row r="144">
      <c r="A144" s="2" t="inlineStr">
        <is>
          <t>134</t>
        </is>
      </c>
      <c r="B144" s="2" t="inlineStr">
        <is>
          <t>CC-013</t>
        </is>
      </c>
      <c r="C144" s="2" t="inlineStr">
        <is>
          <t>Census of Population and Housing 2021: Final Report vol. 2</t>
        </is>
      </c>
      <c r="D144" s="2" t="inlineStr">
        <is>
          <t>NSO</t>
        </is>
      </c>
      <c r="E144" s="2" t="inlineStr">
        <is>
          <t>2023</t>
        </is>
      </c>
      <c r="F144" s="2" t="inlineStr">
        <is>
          <t>Official statistics (read)</t>
        </is>
      </c>
      <c r="G144" s="2" t="inlineStr">
        <is>
          <t>27.5% of dwellings not a main residence.</t>
        </is>
      </c>
      <c r="H144" s="5" t="inlineStr">
        <is>
          <t>https://nso.gov.mt/wp-content/uploads/Census-2021-Volume-2.pdf</t>
        </is>
      </c>
    </row>
    <row r="145">
      <c r="A145" s="2" t="inlineStr">
        <is>
          <t>135</t>
        </is>
      </c>
      <c r="B145" s="2" t="inlineStr">
        <is>
          <t>CC-013</t>
        </is>
      </c>
      <c r="C145" s="2" t="inlineStr">
        <is>
          <t>House price indices, population, overburden, overcrowding</t>
        </is>
      </c>
      <c r="D145" s="2" t="inlineStr">
        <is>
          <t>Eurostat</t>
        </is>
      </c>
      <c r="E145" s="2" t="inlineStr">
        <is>
          <t>2026</t>
        </is>
      </c>
      <c r="F145" s="2" t="inlineStr">
        <is>
          <t>Dataset (API)</t>
        </is>
      </c>
      <c r="G145" s="2" t="inlineStr">
        <is>
          <t>Retrieved 3 Oct 2026; data/cc-013/.</t>
        </is>
      </c>
      <c r="H145" s="5" t="inlineStr">
        <is>
          <t>https://ec.europa.eu/eurostat/databrowser/</t>
        </is>
      </c>
    </row>
    <row r="146">
      <c r="A146" s="2" t="inlineStr">
        <is>
          <t>136</t>
        </is>
      </c>
      <c r="B146" s="2" t="inlineStr">
        <is>
          <t>CC-012</t>
        </is>
      </c>
      <c r="C146" s="2" t="inlineStr">
        <is>
          <t>Use of gravel at Ta' Qali 'sterilises' soil, expert says (with Public Works Ministry statement)</t>
        </is>
      </c>
      <c r="D146" s="2" t="inlineStr">
        <is>
          <t>MaltaToday</t>
        </is>
      </c>
      <c r="E146" s="2" t="inlineStr">
        <is>
          <t>Sep 2025</t>
        </is>
      </c>
      <c r="F146" s="2" t="inlineStr">
        <is>
          <t>News (full text read)</t>
        </is>
      </c>
      <c r="G146" s="2" t="inlineStr">
        <is>
          <t>Ministry statement relayed; arborist comment.</t>
        </is>
      </c>
      <c r="H146" s="5" t="inlineStr">
        <is>
          <t>https://www.maltatoday.com.mt/news/national/136863/use_of_gravel_at_ta_qali_sterilises_soil_expert_says_</t>
        </is>
      </c>
    </row>
    <row r="147">
      <c r="A147" s="2" t="inlineStr">
        <is>
          <t>137</t>
        </is>
      </c>
      <c r="B147" s="2" t="inlineStr">
        <is>
          <t>CC-012</t>
        </is>
      </c>
      <c r="C147" s="2" t="inlineStr">
        <is>
          <t>Ta' Qali gravel under scrutiny again</t>
        </is>
      </c>
      <c r="D147" s="2" t="inlineStr">
        <is>
          <t>MaltaToday</t>
        </is>
      </c>
      <c r="E147" s="2" t="inlineStr">
        <is>
          <t>Nov 2025</t>
        </is>
      </c>
      <c r="F147" s="2" t="inlineStr">
        <is>
          <t>News (full text read)</t>
        </is>
      </c>
      <c r="G147" s="2" t="inlineStr">
        <is>
          <t>No regrowth in autumn 2025.</t>
        </is>
      </c>
      <c r="H147" s="5" t="inlineStr">
        <is>
          <t>https://www.maltatoday.com.mt/environment/nature/137956/ta_qali_gravel_under_scrutiny_again_</t>
        </is>
      </c>
    </row>
    <row r="148">
      <c r="A148" s="2" t="inlineStr">
        <is>
          <t>138</t>
        </is>
      </c>
      <c r="B148" s="2" t="inlineStr">
        <is>
          <t>CC-012</t>
        </is>
      </c>
      <c r="C148" s="2" t="inlineStr">
        <is>
          <t>Sentinel-2 L2A, tile 33SVV, 2023-2026</t>
        </is>
      </c>
      <c r="D148" s="2" t="inlineStr">
        <is>
          <t>Copernicus / Microsoft Planetary Computer</t>
        </is>
      </c>
      <c r="E148" s="2" t="inlineStr">
        <is>
          <t>2026</t>
        </is>
      </c>
      <c r="F148" s="2" t="inlineStr">
        <is>
          <t>Satellite data</t>
        </is>
      </c>
      <c r="G148" s="2" t="inlineStr">
        <is>
          <t>Primary evidence; data/cc-012/. Re-fetched 5 Oct 2026 with BOA_ADD_OFFSET applied per scene (v1.1).</t>
        </is>
      </c>
      <c r="H148" s="5" t="inlineStr">
        <is>
          <t>https://planetarycomputer.microsoft.com/dataset/sentinel-2-l2a</t>
        </is>
      </c>
    </row>
    <row r="149">
      <c r="A149" s="2" t="inlineStr">
        <is>
          <t>139</t>
        </is>
      </c>
      <c r="B149" s="2" t="inlineStr">
        <is>
          <t>CC-016</t>
        </is>
      </c>
      <c r="C149" s="2" t="inlineStr">
        <is>
          <t>Cruise Ships Plugged in Grand Harbour Onshore Power Supply Only 9% of Time in First Year</t>
        </is>
      </c>
      <c r="D149" s="2" t="inlineStr">
        <is>
          <t>Amphora Media</t>
        </is>
      </c>
      <c r="E149" s="2" t="inlineStr">
        <is>
          <t>17 Oct 2025</t>
        </is>
      </c>
      <c r="F149" s="2" t="inlineStr">
        <is>
          <t>Investigative news (full text read)</t>
        </is>
      </c>
      <c r="G149" s="2" t="inlineStr">
        <is>
          <t>Transport Malta FOI connection records, second-hand; primary evidence for uptake.</t>
        </is>
      </c>
      <c r="H149" s="5" t="inlineStr">
        <is>
          <t>https://www.amphora.media/2025/10/cruise-ships-shore-to-ship-power-malta</t>
        </is>
      </c>
    </row>
    <row r="150">
      <c r="A150" s="2" t="inlineStr">
        <is>
          <t>140</t>
        </is>
      </c>
      <c r="B150" s="2" t="inlineStr">
        <is>
          <t>CC-016</t>
        </is>
      </c>
      <c r="C150" s="2" t="inlineStr">
        <is>
          <t>Grand Harbour's shore-to-ship project launched</t>
        </is>
      </c>
      <c r="D150" s="2" t="inlineStr">
        <is>
          <t>MaltaToday</t>
        </is>
      </c>
      <c r="E150" s="2" t="inlineStr">
        <is>
          <t>10 Jul 2024</t>
        </is>
      </c>
      <c r="F150" s="2" t="inlineStr">
        <is>
          <t>News</t>
        </is>
      </c>
      <c r="G150" s="2" t="inlineStr">
        <is>
          <t>90% stated for five liners connected at once.</t>
        </is>
      </c>
      <c r="H150" s="5" t="inlineStr">
        <is>
          <t>https://www.maltatoday.com.mt/news/national/130180/grand_harbours_shoretoship_project_launched</t>
        </is>
      </c>
    </row>
    <row r="151">
      <c r="A151" s="2" t="inlineStr">
        <is>
          <t>141</t>
        </is>
      </c>
      <c r="B151" s="2" t="inlineStr">
        <is>
          <t>CC-016</t>
        </is>
      </c>
      <c r="C151" s="2" t="inlineStr">
        <is>
          <t>Valletta Cruise Port closes 2025 with strong growth and nearly one million passenger movements</t>
        </is>
      </c>
      <c r="D151" s="2" t="inlineStr">
        <is>
          <t>Valletta Cruise Port</t>
        </is>
      </c>
      <c r="E151" s="2" t="inlineStr">
        <is>
          <t>Jan 2026</t>
        </is>
      </c>
      <c r="F151" s="2" t="inlineStr">
        <is>
          <t>Operator release</t>
        </is>
      </c>
      <c r="G151" s="2" t="inlineStr">
        <is>
          <t>385 calls 2025, 357 in 2024.</t>
        </is>
      </c>
      <c r="H151" s="5" t="inlineStr">
        <is>
          <t>https://www.vallettacruiseport.com/news-media/valletta-cruise-port-closes-2025-with-strong-growth-and-nearly-one-million-passenger-movements</t>
        </is>
      </c>
    </row>
    <row r="152">
      <c r="A152" s="2" t="inlineStr">
        <is>
          <t>142</t>
        </is>
      </c>
      <c r="B152" s="2" t="inlineStr">
        <is>
          <t>CC-016</t>
        </is>
      </c>
      <c r="C152" s="2" t="inlineStr">
        <is>
          <t>Regulation (EU) 2023/1805 (FuelEU Maritime), Article 6</t>
        </is>
      </c>
      <c r="D152" s="2" t="inlineStr">
        <is>
          <t>EUR-Lex</t>
        </is>
      </c>
      <c r="E152" s="2" t="inlineStr">
        <is>
          <t>22 Sep 2023</t>
        </is>
      </c>
      <c r="F152" s="2" t="inlineStr">
        <is>
          <t>EU law</t>
        </is>
      </c>
      <c r="G152" s="2" t="inlineStr">
        <is>
          <t>OPS compulsory at berth from 1 Jan 2030.</t>
        </is>
      </c>
      <c r="H152" s="5" t="inlineStr">
        <is>
          <t>https://eur-lex.europa.eu/eli/reg/2023/1805/oj</t>
        </is>
      </c>
    </row>
    <row r="153">
      <c r="A153" s="2" t="inlineStr">
        <is>
          <t>143</t>
        </is>
      </c>
      <c r="B153" s="2" t="inlineStr">
        <is>
          <t>CC-016</t>
        </is>
      </c>
      <c r="C153" s="2" t="inlineStr">
        <is>
          <t>Emission Inventory of Cruise Ship Exhaust Emissions at Istanbul Galataport (2024)</t>
        </is>
      </c>
      <c r="D153" s="2" t="inlineStr">
        <is>
          <t>Atmosphere 17(4):360</t>
        </is>
      </c>
      <c r="E153" s="2" t="inlineStr">
        <is>
          <t>2026</t>
        </is>
      </c>
      <c r="F153" s="2" t="inlineStr">
        <is>
          <t>Peer-reviewed (abstract)</t>
        </is>
      </c>
      <c r="G153" s="2" t="inlineStr">
        <is>
          <t>doi:10.3390/atmos17040360; hotelling &gt;90% of CO2.</t>
        </is>
      </c>
      <c r="H153" s="5" t="inlineStr">
        <is>
          <t>https://doi.org/10.3390/atmos17040360</t>
        </is>
      </c>
    </row>
    <row r="154">
      <c r="A154" s="2" t="inlineStr">
        <is>
          <t>144</t>
        </is>
      </c>
      <c r="B154" s="2" t="inlineStr">
        <is>
          <t>CC-017</t>
        </is>
      </c>
      <c r="C154" s="2" t="inlineStr">
        <is>
          <t>Budget Speech 2026</t>
        </is>
      </c>
      <c r="D154" s="2" t="inlineStr">
        <is>
          <t>Ministry for Finance</t>
        </is>
      </c>
      <c r="E154" s="2" t="inlineStr">
        <is>
          <t>27 Oct 2025</t>
        </is>
      </c>
      <c r="F154" s="2" t="inlineStr">
        <is>
          <t>Primary (speech text)</t>
        </is>
      </c>
      <c r="G154" s="2" t="inlineStr">
        <is>
          <t>The claim, pp. 52-53. Blocks automated download.</t>
        </is>
      </c>
      <c r="H154" s="5" t="inlineStr">
        <is>
          <t>https://finance.gov.mt/wp-content/uploads/2025/11/Budget-Speech-2026.pdf</t>
        </is>
      </c>
    </row>
    <row r="155">
      <c r="A155" s="2" t="inlineStr">
        <is>
          <t>145</t>
        </is>
      </c>
      <c r="B155" s="2" t="inlineStr">
        <is>
          <t>CC-017</t>
        </is>
      </c>
      <c r="C155" s="2" t="inlineStr">
        <is>
          <t>[ANALYSIS] The land reclamation saga: A never-ending story</t>
        </is>
      </c>
      <c r="D155" s="2" t="inlineStr">
        <is>
          <t>MaltaToday</t>
        </is>
      </c>
      <c r="E155" s="2" t="inlineStr">
        <is>
          <t>15 Apr 2025</t>
        </is>
      </c>
      <c r="F155" s="2" t="inlineStr">
        <is>
          <t>News analysis</t>
        </is>
      </c>
      <c r="G155" s="2" t="inlineStr">
        <is>
          <t>Timeline and budget allocations; second-hand.</t>
        </is>
      </c>
      <c r="H155" s="5" t="inlineStr">
        <is>
          <t>https://www.maltatoday.com.mt/news/national/134510/analysis__the_land_reclamation_saga_a_neverending_story</t>
        </is>
      </c>
    </row>
    <row r="156">
      <c r="A156" s="2" t="inlineStr">
        <is>
          <t>146</t>
        </is>
      </c>
      <c r="B156" s="2" t="inlineStr">
        <is>
          <t>CC-017</t>
        </is>
      </c>
      <c r="C156" s="2" t="inlineStr">
        <is>
          <t>Squaring-off project: visit by the Prime Minister and Cabinet ministers</t>
        </is>
      </c>
      <c r="D156" s="2" t="inlineStr">
        <is>
          <t>Malta Freeport Corporation</t>
        </is>
      </c>
      <c r="E156" s="2" t="inlineStr">
        <is>
          <t>2026</t>
        </is>
      </c>
      <c r="F156" s="2" t="inlineStr">
        <is>
          <t>Operator statement</t>
        </is>
      </c>
      <c r="G156" s="2" t="inlineStr">
        <is>
          <t>Terminal 2 reclamation ~30,000 m2, ~1 Mt inert fill.</t>
        </is>
      </c>
      <c r="H156" s="5" t="inlineStr">
        <is>
          <t>https://maltafreeport.gov.mt/uncategorized/squaring-off-project-visit-by-the-prime-minister-and-cabinet-ministers/News</t>
        </is>
      </c>
    </row>
    <row r="157">
      <c r="A157" s="2" t="inlineStr">
        <is>
          <t>147</t>
        </is>
      </c>
      <c r="B157" s="2" t="inlineStr">
        <is>
          <t>CC-017</t>
        </is>
      </c>
      <c r="C157" s="2" t="inlineStr">
        <is>
          <t>Natura 2000 sites (2024 release)</t>
        </is>
      </c>
      <c r="D157" s="2" t="inlineStr">
        <is>
          <t>European Environment Agency</t>
        </is>
      </c>
      <c r="E157" s="2" t="inlineStr">
        <is>
          <t>2025</t>
        </is>
      </c>
      <c r="F157" s="2" t="inlineStr">
        <is>
          <t>Dataset</t>
        </is>
      </c>
      <c r="G157" s="2" t="inlineStr">
        <is>
          <t>data/cc-017/natura2000_near_freeport.csv. Distances in data/cc-017/natura2000_distances.csv (queried 5 Oct 2026, MS='MT', full boundaries).</t>
        </is>
      </c>
      <c r="H157" s="5" t="inlineStr">
        <is>
          <t>https://bio.discomap.eea.europa.eu/arcgis/rest/services/ProtectedSites/Natura2000Sites/MapServer</t>
        </is>
      </c>
    </row>
    <row r="158">
      <c r="A158" s="2" t="inlineStr">
        <is>
          <t>148</t>
        </is>
      </c>
      <c r="B158" s="2" t="inlineStr">
        <is>
          <t>CC-017</t>
        </is>
      </c>
      <c r="C158" s="2" t="inlineStr">
        <is>
          <t>Sentinel-2 L2A, Freeport Terminal 2, 2017-2026</t>
        </is>
      </c>
      <c r="D158" s="2" t="inlineStr">
        <is>
          <t>Copernicus / Microsoft Planetary Computer</t>
        </is>
      </c>
      <c r="E158" s="2" t="inlineStr">
        <is>
          <t>2026</t>
        </is>
      </c>
      <c r="F158" s="2" t="inlineStr">
        <is>
          <t>Satellite data</t>
        </is>
      </c>
      <c r="G158" s="2" t="inlineStr">
        <is>
          <t>Primary evidence; data/cc-017/.</t>
        </is>
      </c>
      <c r="H158" s="5" t="inlineStr">
        <is>
          <t>https://planetarycomputer.microsoft.com/dataset/sentinel-2-l2a</t>
        </is>
      </c>
    </row>
    <row r="159">
      <c r="A159" s="2" t="inlineStr">
        <is>
          <t>149</t>
        </is>
      </c>
      <c r="B159" s="2" t="inlineStr">
        <is>
          <t>CC-017</t>
        </is>
      </c>
      <c r="C159" s="2" t="inlineStr">
        <is>
          <t>Seagrass meadows (Posidonia oceanica) distribution and trajectories of change</t>
        </is>
      </c>
      <c r="D159" s="2" t="inlineStr">
        <is>
          <t>Scientific Reports 5:12505</t>
        </is>
      </c>
      <c r="E159" s="2" t="inlineStr">
        <is>
          <t>2015</t>
        </is>
      </c>
      <c r="F159" s="2" t="inlineStr">
        <is>
          <t>Peer-reviewed (abstract)</t>
        </is>
      </c>
      <c r="G159" s="2" t="inlineStr">
        <is>
          <t>doi:10.1038/srep12505</t>
        </is>
      </c>
      <c r="H159" s="5" t="inlineStr">
        <is>
          <t>https://doi.org/10.1038/srep12505</t>
        </is>
      </c>
    </row>
    <row r="160">
      <c r="A160" s="2" t="inlineStr">
        <is>
          <t>150</t>
        </is>
      </c>
      <c r="B160" s="2" t="inlineStr">
        <is>
          <t>CC-018</t>
        </is>
      </c>
      <c r="C160" s="2" t="inlineStr">
        <is>
          <t>Malta: 2025 Article IV Consultation (IMF Country Report No. 26/29)</t>
        </is>
      </c>
      <c r="D160" s="2" t="inlineStr">
        <is>
          <t>International Monetary Fund</t>
        </is>
      </c>
      <c r="E160" s="2" t="inlineStr">
        <is>
          <t>Feb 2026</t>
        </is>
      </c>
      <c r="F160" s="2" t="inlineStr">
        <is>
          <t>Official assessment (full text read)</t>
        </is>
      </c>
      <c r="G160" s="2" t="inlineStr">
        <is>
          <t>Housing findings pp. 3-20; local PDF not committed.</t>
        </is>
      </c>
      <c r="H160" s="5" t="inlineStr">
        <is>
          <t>https://www.imf.org/-/media/files/publications/cr/2026/english/1mltea2026001-source-pdf.pdf</t>
        </is>
      </c>
    </row>
    <row r="161">
      <c r="A161" s="2" t="inlineStr">
        <is>
          <t>151</t>
        </is>
      </c>
      <c r="B161" s="2" t="inlineStr">
        <is>
          <t>CC-018</t>
        </is>
      </c>
      <c r="C161" s="2" t="inlineStr">
        <is>
          <t>tipsho60: Standardised house price-to-income ratio</t>
        </is>
      </c>
      <c r="D161" s="2" t="inlineStr">
        <is>
          <t>Eurostat</t>
        </is>
      </c>
      <c r="E161" s="2" t="inlineStr">
        <is>
          <t>2026</t>
        </is>
      </c>
      <c r="F161" s="2" t="inlineStr">
        <is>
          <t>Dataset</t>
        </is>
      </c>
      <c r="G161" s="2" t="inlineStr">
        <is>
          <t>data/cc-018/eurostat_tipsho60.csv</t>
        </is>
      </c>
      <c r="H161" s="5" t="inlineStr">
        <is>
          <t>https://ec.europa.eu/eurostat/databrowser/view/tipsho60/default/table</t>
        </is>
      </c>
    </row>
    <row r="162">
      <c r="A162" s="2" t="inlineStr">
        <is>
          <t>152</t>
        </is>
      </c>
      <c r="B162" s="2" t="inlineStr">
        <is>
          <t>CC-019</t>
        </is>
      </c>
      <c r="C162" s="2" t="inlineStr">
        <is>
          <t>10 m Annual Land Use Land Cover (9-class) V2, 2017-2023</t>
        </is>
      </c>
      <c r="D162" s="2" t="inlineStr">
        <is>
          <t>Impact Observatory / Esri via Microsoft Planetary Computer</t>
        </is>
      </c>
      <c r="E162" s="2" t="inlineStr">
        <is>
          <t>2024</t>
        </is>
      </c>
      <c r="F162" s="2" t="inlineStr">
        <is>
          <t>Satellite land cover</t>
        </is>
      </c>
      <c r="G162" s="2" t="inlineStr">
        <is>
          <t>Independent estimate; data/cc-019/.</t>
        </is>
      </c>
      <c r="H162" s="5" t="inlineStr">
        <is>
          <t>https://planetarycomputer.microsoft.com/dataset/io-lulc-annual-v02</t>
        </is>
      </c>
    </row>
    <row r="163">
      <c r="A163" s="2" t="inlineStr">
        <is>
          <t>153</t>
        </is>
      </c>
      <c r="B163" s="2" t="inlineStr">
        <is>
          <t>CC-019</t>
        </is>
      </c>
      <c r="C163" s="2" t="inlineStr">
        <is>
          <t>Dynamic World, Near real-time global 10 m land use land cover mapping</t>
        </is>
      </c>
      <c r="D163" s="2" t="inlineStr">
        <is>
          <t>Scientific Data 9:251</t>
        </is>
      </c>
      <c r="E163" s="2" t="inlineStr">
        <is>
          <t>2022</t>
        </is>
      </c>
      <c r="F163" s="2" t="inlineStr">
        <is>
          <t>Peer-reviewed (method)</t>
        </is>
      </c>
      <c r="G163" s="2" t="inlineStr">
        <is>
          <t>doi:10.1038/s41597-022-01307-4; dataset Amphora used. Table 1 class definitions read via Europe PMC PMC9184477, 5 Oct 2026</t>
        </is>
      </c>
      <c r="H163" s="5" t="inlineStr">
        <is>
          <t>https://doi.org/10.1038/s41597-022-01307-4</t>
        </is>
      </c>
    </row>
    <row r="164">
      <c r="A164" s="2" t="inlineStr">
        <is>
          <t>154</t>
        </is>
      </c>
      <c r="B164" s="2" t="inlineStr">
        <is>
          <t>CC-022</t>
        </is>
      </c>
      <c r="C164" s="2" t="inlineStr">
        <is>
          <t>Electricity prices in the EU: Maltese households with lowest burden</t>
        </is>
      </c>
      <c r="D164" s="2" t="inlineStr">
        <is>
          <t>Government of Malta (DOI)</t>
        </is>
      </c>
      <c r="E164" s="2" t="inlineStr">
        <is>
          <t>6 May 2025</t>
        </is>
      </c>
      <c r="F164" s="2" t="inlineStr">
        <is>
          <t>Primary statement</t>
        </is>
      </c>
      <c r="G164" s="2" t="inlineStr">
        <is>
          <t>Primary press release.</t>
        </is>
      </c>
      <c r="H164" s="5" t="inlineStr">
        <is>
          <t>https://www.gov.mt/en/Government/DOI/Press%20Releases/Pages/2025/05/06/pr250746en.aspx</t>
        </is>
      </c>
    </row>
    <row r="165">
      <c r="A165" s="2" t="inlineStr">
        <is>
          <t>155</t>
        </is>
      </c>
      <c r="B165" s="2" t="inlineStr">
        <is>
          <t>CC-023</t>
        </is>
      </c>
      <c r="C165" s="2" t="inlineStr">
        <is>
          <t>Second interconnector to help Malta achieve renewable energy goals</t>
        </is>
      </c>
      <c r="D165" s="2" t="inlineStr">
        <is>
          <t>Newsbook</t>
        </is>
      </c>
      <c r="E165" s="2" t="inlineStr">
        <is>
          <t>n/d</t>
        </is>
      </c>
      <c r="F165" s="2" t="inlineStr">
        <is>
          <t>News / locator</t>
        </is>
      </c>
      <c r="G165" s="2" t="inlineStr">
        <is>
          <t>Locates the claim.</t>
        </is>
      </c>
      <c r="H165" s="5" t="inlineStr">
        <is>
          <t>https://newsbook.com.mt/en/second-interconnector-to-help-malta-achieve-renewable-energy-goals/</t>
        </is>
      </c>
    </row>
    <row r="166">
      <c r="A166" s="2" t="inlineStr">
        <is>
          <t>156</t>
        </is>
      </c>
      <c r="B166" s="2" t="inlineStr">
        <is>
          <t>CC-024</t>
        </is>
      </c>
      <c r="C166" s="2" t="inlineStr">
        <is>
          <t>Malta's National Energy and Climate Plan (updated, December 2024)</t>
        </is>
      </c>
      <c r="D166" s="2" t="inlineStr">
        <is>
          <t>Energy and Water Agency</t>
        </is>
      </c>
      <c r="E166" s="2" t="inlineStr">
        <is>
          <t>Dec 2024</t>
        </is>
      </c>
      <c r="F166" s="2" t="inlineStr">
        <is>
          <t>Primary statement</t>
        </is>
      </c>
      <c r="G166" s="2" t="inlineStr">
        <is>
          <t>Primary plan. Behind an sgcaptcha wall for scripts; use the Commission's copy (same plan).</t>
        </is>
      </c>
      <c r="H166" s="5" t="inlineStr">
        <is>
          <t>https://energywateragency.gov.mt/wp-content/uploads/2025/01/MT-%E2%80%93-FINAL-UPDATED-NECP-2021-2030-English.pdf</t>
        </is>
      </c>
    </row>
    <row r="167">
      <c r="A167" s="2" t="inlineStr">
        <is>
          <t>157</t>
        </is>
      </c>
      <c r="B167" s="2" t="inlineStr">
        <is>
          <t>CC-025</t>
        </is>
      </c>
      <c r="C167" s="2" t="inlineStr">
        <is>
          <t>Statement of Malta, COP30 High-Level Segment</t>
        </is>
      </c>
      <c r="D167" s="2" t="inlineStr">
        <is>
          <t>UNFCCC</t>
        </is>
      </c>
      <c r="E167" s="2" t="inlineStr">
        <is>
          <t>Nov 2025</t>
        </is>
      </c>
      <c r="F167" s="2" t="inlineStr">
        <is>
          <t>Primary statement</t>
        </is>
      </c>
      <c r="G167" s="2" t="inlineStr">
        <is>
          <t>Primary statement, delivered on the Minister's behalf. Readable 5 Oct 2026 (a Word file behind the .pdf address); wording in literature/CC-025/primary-source.md.</t>
        </is>
      </c>
      <c r="H167" s="5" t="inlineStr">
        <is>
          <t>https://unfccc.int/sites/default/files/resource/MALTA_cop30cmp20cma7_HLS_ENG.pdf</t>
        </is>
      </c>
    </row>
    <row r="168">
      <c r="A168" s="2" t="inlineStr">
        <is>
          <t>158</t>
        </is>
      </c>
      <c r="B168" s="2" t="inlineStr">
        <is>
          <t>CC-026</t>
        </is>
      </c>
      <c r="C168" s="2" t="inlineStr">
        <is>
          <t>Malta records EU's largest rise in greenhouse gas emissions</t>
        </is>
      </c>
      <c r="D168" s="2" t="inlineStr">
        <is>
          <t>Newsbook</t>
        </is>
      </c>
      <c r="E168" s="2" t="inlineStr">
        <is>
          <t>n/d</t>
        </is>
      </c>
      <c r="F168" s="2" t="inlineStr">
        <is>
          <t>News / locator</t>
        </is>
      </c>
      <c r="G168" s="2" t="inlineStr">
        <is>
          <t>Media claim.</t>
        </is>
      </c>
      <c r="H168" s="5" t="inlineStr">
        <is>
          <t>https://newsbook.com.mt/en/malta-records-eus-largest-rise-in-greenhouse-gas-emissions/</t>
        </is>
      </c>
    </row>
    <row r="169">
      <c r="A169" s="2" t="inlineStr">
        <is>
          <t>159</t>
        </is>
      </c>
      <c r="B169" s="2" t="inlineStr">
        <is>
          <t>CC-027</t>
        </is>
      </c>
      <c r="C169" s="2" t="inlineStr">
        <is>
          <t>Extreme Heat And Record Electricity Demand Behind Malta's Power Cuts Says Miriam Dalli</t>
        </is>
      </c>
      <c r="D169" s="2" t="inlineStr">
        <is>
          <t>Lovin Malta</t>
        </is>
      </c>
      <c r="E169" s="2" t="inlineStr">
        <is>
          <t>21 Jul 2026</t>
        </is>
      </c>
      <c r="F169" s="2" t="inlineStr">
        <is>
          <t>News / locator</t>
        </is>
      </c>
      <c r="G169" s="2" t="inlineStr">
        <is>
          <t>Locates the claim.</t>
        </is>
      </c>
      <c r="H169" s="5" t="inlineStr">
        <is>
          <t>https://lovinmalta.com/news/local/extreme-heat-and-record-electricity-demand-behind-maltas-power-cuts-says-miriam-dalli/</t>
        </is>
      </c>
    </row>
    <row r="170">
      <c r="A170" s="2" t="inlineStr">
        <is>
          <t>160</t>
        </is>
      </c>
      <c r="B170" s="2" t="inlineStr">
        <is>
          <t>CC-028</t>
        </is>
      </c>
      <c r="C170" s="2" t="inlineStr">
        <is>
          <t>Enemalta hails 76% drop in network downtime days after outages left thousands in the dark</t>
        </is>
      </c>
      <c r="D170" s="2" t="inlineStr">
        <is>
          <t>Newsbook</t>
        </is>
      </c>
      <c r="E170" s="2" t="inlineStr">
        <is>
          <t>n/d</t>
        </is>
      </c>
      <c r="F170" s="2" t="inlineStr">
        <is>
          <t>News / locator</t>
        </is>
      </c>
      <c r="G170" s="2" t="inlineStr">
        <is>
          <t>Locates the claim.</t>
        </is>
      </c>
      <c r="H170" s="5" t="inlineStr">
        <is>
          <t>https://newsbook.com.mt/en/enemalta-hails-76-drop-in-network-downtime-days-after-outages-left-thousands-in-the-dark/</t>
        </is>
      </c>
    </row>
    <row r="171">
      <c r="A171" s="2" t="inlineStr">
        <is>
          <t>161</t>
        </is>
      </c>
      <c r="B171" s="2" t="inlineStr">
        <is>
          <t>CC-029</t>
        </is>
      </c>
      <c r="C171" s="2" t="inlineStr">
        <is>
          <t>Three Applications Submitted in Malta's First Offshore Wind Tender</t>
        </is>
      </c>
      <c r="D171" s="2" t="inlineStr">
        <is>
          <t>offshoreWIND.biz</t>
        </is>
      </c>
      <c r="E171" s="2" t="inlineStr">
        <is>
          <t>23 Jul 2025</t>
        </is>
      </c>
      <c r="F171" s="2" t="inlineStr">
        <is>
          <t>News / locator</t>
        </is>
      </c>
      <c r="G171" s="2" t="inlineStr">
        <is>
          <t>Locates the timeline.</t>
        </is>
      </c>
      <c r="H171" s="5" t="inlineStr">
        <is>
          <t>https://www.offshorewind.biz/2025/07/23/three-applications-submitted-in-maltas-first-offshore-wind-tender</t>
        </is>
      </c>
    </row>
    <row r="172">
      <c r="A172" s="2" t="inlineStr">
        <is>
          <t>292</t>
        </is>
      </c>
      <c r="B172" s="2" t="inlineStr">
        <is>
          <t>CC-030</t>
        </is>
      </c>
      <c r="C172" s="2" t="inlineStr">
        <is>
          <t>Airfield electrification at MIA set to avoid 1,000 tonnes of carbon dioxide emissions every year</t>
        </is>
      </c>
      <c r="D172" s="2" t="inlineStr">
        <is>
          <t>The Malta Independent</t>
        </is>
      </c>
      <c r="E172" s="2" t="inlineStr">
        <is>
          <t>25 May 2026</t>
        </is>
      </c>
      <c r="F172" s="2" t="inlineStr">
        <is>
          <t>News / locator</t>
        </is>
      </c>
      <c r="G172" s="2" t="inlineStr">
        <is>
          <t>Locates the claim.</t>
        </is>
      </c>
      <c r="H172" s="5" t="inlineStr">
        <is>
          <t>https://www.independent.com.mt/articles/2026-05-25/local-news/Airfield-electrification-at-MIA-set-to-avoid-1-000-tonnes-of-carbon-dioxide-emissions-every-year-6736289990</t>
        </is>
      </c>
    </row>
    <row r="173">
      <c r="A173" s="2" t="inlineStr">
        <is>
          <t>163</t>
        </is>
      </c>
      <c r="B173" s="2" t="inlineStr">
        <is>
          <t>CC-031</t>
        </is>
      </c>
      <c r="C173" s="2" t="inlineStr">
        <is>
          <t>Gozo climate neutrality plan enters implementation phase</t>
        </is>
      </c>
      <c r="D173" s="2" t="inlineStr">
        <is>
          <t>Gozo Today</t>
        </is>
      </c>
      <c r="E173" s="2" t="inlineStr">
        <is>
          <t>25 Sep 2026</t>
        </is>
      </c>
      <c r="F173" s="2" t="inlineStr">
        <is>
          <t>News / locator</t>
        </is>
      </c>
      <c r="G173" s="2" t="inlineStr">
        <is>
          <t>Quotes Camilleri on the 'vision'; the fully electric fleet is the outlet's paraphrase. Read 5 Oct 2026; wording in literature/CC-031/primary-source.md.</t>
        </is>
      </c>
      <c r="H173" s="5" t="inlineStr">
        <is>
          <t>https://gozotoday.com.mt/2026/09/25/gozo-climate-neutrality-plan-enters-implementation-phase/</t>
        </is>
      </c>
    </row>
    <row r="174">
      <c r="A174" s="2" t="inlineStr">
        <is>
          <t>164</t>
        </is>
      </c>
      <c r="B174" s="2" t="inlineStr">
        <is>
          <t>CC-032</t>
        </is>
      </c>
      <c r="C174" s="2" t="inlineStr">
        <is>
          <t>Innovative solar flowers installed at Gozo's Multi-Modal Hub</t>
        </is>
      </c>
      <c r="D174" s="2" t="inlineStr">
        <is>
          <t>MaltaToday</t>
        </is>
      </c>
      <c r="E174" s="2" t="inlineStr">
        <is>
          <t>n/d</t>
        </is>
      </c>
      <c r="F174" s="2" t="inlineStr">
        <is>
          <t>News / locator</t>
        </is>
      </c>
      <c r="G174" s="2" t="inlineStr">
        <is>
          <t>Locates the claim. 403 to scripts; not read.</t>
        </is>
      </c>
      <c r="H174" s="5" t="inlineStr">
        <is>
          <t>https://www.maltatoday.com.mt/news/national/137696/innovative_solar_flowers_installed_at_gozo_multimodal_hub_</t>
        </is>
      </c>
    </row>
    <row r="175">
      <c r="A175" s="2" t="inlineStr">
        <is>
          <t>165</t>
        </is>
      </c>
      <c r="B175" s="2" t="inlineStr">
        <is>
          <t>CC-033</t>
        </is>
      </c>
      <c r="C175" s="2" t="inlineStr">
        <is>
          <t>Cleaner air with reduction in emissions from Delimara plant - Chinese D3PG company</t>
        </is>
      </c>
      <c r="D175" s="2" t="inlineStr">
        <is>
          <t>TVM</t>
        </is>
      </c>
      <c r="E175" s="2" t="inlineStr">
        <is>
          <t>n/d</t>
        </is>
      </c>
      <c r="F175" s="2" t="inlineStr">
        <is>
          <t>News / locator</t>
        </is>
      </c>
      <c r="G175" s="2" t="inlineStr">
        <is>
          <t>Company data as reported.</t>
        </is>
      </c>
      <c r="H175" s="5" t="inlineStr">
        <is>
          <t>https://www.tvm.com.mt/en/news/cleaner-air-with-reduction-in-emissions-from-delimara-plant-chinese-d3pg-company/</t>
        </is>
      </c>
    </row>
    <row r="176">
      <c r="A176" s="2" t="inlineStr">
        <is>
          <t>166</t>
        </is>
      </c>
      <c r="B176" s="2" t="inlineStr">
        <is>
          <t>CC-034</t>
        </is>
      </c>
      <c r="C176" s="2" t="inlineStr">
        <is>
          <t>Air Quality Plan for Malta 2025</t>
        </is>
      </c>
      <c r="D176" s="2" t="inlineStr">
        <is>
          <t>ERA</t>
        </is>
      </c>
      <c r="E176" s="2" t="inlineStr">
        <is>
          <t>2025</t>
        </is>
      </c>
      <c r="F176" s="2" t="inlineStr">
        <is>
          <t>Primary statement</t>
        </is>
      </c>
      <c r="G176" s="2" t="inlineStr">
        <is>
          <t>Primary plan page; 403 to scripts. Page metadata dates it 12 Mar 2025 (datePublished). Read via the Wayback capture (Ref 377).</t>
        </is>
      </c>
      <c r="H176" s="5" t="inlineStr">
        <is>
          <t>https://era.org.mt/air-quality-plan-for-malta-2024/</t>
        </is>
      </c>
    </row>
    <row r="177">
      <c r="A177" s="2" t="inlineStr">
        <is>
          <t>167</t>
        </is>
      </c>
      <c r="B177" s="2" t="inlineStr">
        <is>
          <t>CC-035</t>
        </is>
      </c>
      <c r="C177" s="2" t="inlineStr">
        <is>
          <t>Health impacts of air pollution: Malta (Europe's environment 2025)</t>
        </is>
      </c>
      <c r="D177" s="2" t="inlineStr">
        <is>
          <t>European Environment Agency</t>
        </is>
      </c>
      <c r="E177" s="2" t="inlineStr">
        <is>
          <t>2025</t>
        </is>
      </c>
      <c r="F177" s="2" t="inlineStr">
        <is>
          <t>Official statistics (chart)</t>
        </is>
      </c>
      <c r="G177" s="2" t="inlineStr">
        <is>
          <t>Earlier EEA country page; the figures are in a JavaScript chart covering 2005-2022 (previous release). Context, not the statement checked; the claim is in Ref 350. Read 6 Oct 2026.</t>
        </is>
      </c>
      <c r="H177" s="5" t="inlineStr">
        <is>
          <t>https://www.eea.europa.eu/en/europe-environment-2025/countries/malta/health-impacts-of-air-pollution</t>
        </is>
      </c>
    </row>
    <row r="178">
      <c r="A178" s="2" t="inlineStr">
        <is>
          <t>168</t>
        </is>
      </c>
      <c r="B178" s="2" t="inlineStr">
        <is>
          <t>CC-036</t>
        </is>
      </c>
      <c r="C178" s="2" t="inlineStr">
        <is>
          <t>State of the Environment Report 2018, Chapter 2: Ambient Air</t>
        </is>
      </c>
      <c r="D178" s="2" t="inlineStr">
        <is>
          <t>ERA</t>
        </is>
      </c>
      <c r="E178" s="2" t="inlineStr">
        <is>
          <t>2018</t>
        </is>
      </c>
      <c r="F178" s="2" t="inlineStr">
        <is>
          <t>Primary statement</t>
        </is>
      </c>
      <c r="G178" s="2" t="inlineStr">
        <is>
          <t>Primary report.</t>
        </is>
      </c>
      <c r="H178" s="5" t="inlineStr">
        <is>
          <t>https://era.org.mt/wp-content/uploads/2019/05/3_Chapter2_AmbientAir_9Aug18.pdf</t>
        </is>
      </c>
    </row>
    <row r="179">
      <c r="A179" s="2" t="inlineStr">
        <is>
          <t>169</t>
        </is>
      </c>
      <c r="B179" s="2" t="inlineStr">
        <is>
          <t>CC-037</t>
        </is>
      </c>
      <c r="C179" s="2" t="inlineStr">
        <is>
          <t>2026 Election Guidebook: The Environment</t>
        </is>
      </c>
      <c r="D179" s="2" t="inlineStr">
        <is>
          <t>Amphora Media</t>
        </is>
      </c>
      <c r="E179" s="2" t="inlineStr">
        <is>
          <t>May 2026</t>
        </is>
      </c>
      <c r="F179" s="2" t="inlineStr">
        <is>
          <t>News (full text read)</t>
        </is>
      </c>
      <c r="G179" s="2" t="inlineStr">
        <is>
          <t>The claim, read in full 5 Oct 2026.</t>
        </is>
      </c>
      <c r="H179" s="5" t="inlineStr">
        <is>
          <t>https://www.amphora.media/2026/05/2026-election-guidebook-the-environment</t>
        </is>
      </c>
    </row>
    <row r="180">
      <c r="A180" s="2" t="inlineStr">
        <is>
          <t>170</t>
        </is>
      </c>
      <c r="B180" s="2" t="inlineStr">
        <is>
          <t>CC-038</t>
        </is>
      </c>
      <c r="C180" s="2" t="inlineStr">
        <is>
          <t>Saharan dust takes over Malta's skies, producing dangerous air quality</t>
        </is>
      </c>
      <c r="D180" s="2" t="inlineStr">
        <is>
          <t>MaltaToday</t>
        </is>
      </c>
      <c r="E180" s="2" t="inlineStr">
        <is>
          <t>n/d</t>
        </is>
      </c>
      <c r="F180" s="2" t="inlineStr">
        <is>
          <t>News / locator</t>
        </is>
      </c>
      <c r="G180" s="2" t="inlineStr">
        <is>
          <t>Locates the claim.</t>
        </is>
      </c>
      <c r="H180" s="5" t="inlineStr">
        <is>
          <t>https://www.maltatoday.com.mt/news/national/140947/saharan_dust_takes_over_maltas_skies_producing_dangerous_air_quality_</t>
        </is>
      </c>
    </row>
    <row r="181">
      <c r="A181" s="2" t="inlineStr">
        <is>
          <t>171</t>
        </is>
      </c>
      <c r="B181" s="2" t="inlineStr">
        <is>
          <t>CC-039</t>
        </is>
      </c>
      <c r="C181" s="2" t="inlineStr">
        <is>
          <t>Towards a Net Zero-Impact Utility</t>
        </is>
      </c>
      <c r="D181" s="2" t="inlineStr">
        <is>
          <t>Water Services Corporation</t>
        </is>
      </c>
      <c r="E181" s="2" t="inlineStr">
        <is>
          <t>n/d</t>
        </is>
      </c>
      <c r="F181" s="2" t="inlineStr">
        <is>
          <t>Primary statement</t>
        </is>
      </c>
      <c r="G181" s="2" t="inlineStr">
        <is>
          <t>Primary page.</t>
        </is>
      </c>
      <c r="H181" s="5" t="inlineStr">
        <is>
          <t>https://www.wsc.com.mt/towards-a-net-zero-impact-utility-new-e100-million-eu-funded-project-set-to-improve-water-quality-to-all-new-highs/</t>
        </is>
      </c>
    </row>
    <row r="182">
      <c r="A182" s="2" t="inlineStr">
        <is>
          <t>172</t>
        </is>
      </c>
      <c r="B182" s="2" t="inlineStr">
        <is>
          <t>CC-040</t>
        </is>
      </c>
      <c r="C182" s="2" t="inlineStr">
        <is>
          <t>Water Management in the Maltese Islands (IWRA keynote)</t>
        </is>
      </c>
      <c r="D182" s="2" t="inlineStr">
        <is>
          <t>Energy and Water Agency</t>
        </is>
      </c>
      <c r="E182" s="2" t="inlineStr">
        <is>
          <t>2024</t>
        </is>
      </c>
      <c r="F182" s="2" t="inlineStr">
        <is>
          <t>Primary statement</t>
        </is>
      </c>
      <c r="G182" s="2" t="inlineStr">
        <is>
          <t>Primary presentation.</t>
        </is>
      </c>
      <c r="H182" s="5" t="inlineStr">
        <is>
          <t>https://www.iwra.org/proceedings/congress/resource/IWRA2024_1stIslandWC_0609_HLP_EuroInbo_MSapiano_Keynote.pdf</t>
        </is>
      </c>
    </row>
    <row r="183">
      <c r="A183" s="2" t="inlineStr">
        <is>
          <t>173</t>
        </is>
      </c>
      <c r="B183" s="2" t="inlineStr">
        <is>
          <t>CC-041</t>
        </is>
      </c>
      <c r="C183" s="2" t="inlineStr">
        <is>
          <t>Malta Is Violating EU Sewage Rules, European Court Finds</t>
        </is>
      </c>
      <c r="D183" s="2" t="inlineStr">
        <is>
          <t>Lovin Malta</t>
        </is>
      </c>
      <c r="E183" s="2" t="inlineStr">
        <is>
          <t>2024</t>
        </is>
      </c>
      <c r="F183" s="2" t="inlineStr">
        <is>
          <t>News / locator</t>
        </is>
      </c>
      <c r="G183" s="2" t="inlineStr">
        <is>
          <t>Locates the ruling and timeline.</t>
        </is>
      </c>
      <c r="H183" s="5" t="inlineStr">
        <is>
          <t>https://lovinmalta.com/lifestyle/environment/malta-is-violating-eu-sewage-rules-european-court-finds/</t>
        </is>
      </c>
    </row>
    <row r="184">
      <c r="A184" s="2" t="inlineStr">
        <is>
          <t>174</t>
        </is>
      </c>
      <c r="B184" s="2" t="inlineStr">
        <is>
          <t>CC-042</t>
        </is>
      </c>
      <c r="C184" s="2" t="inlineStr">
        <is>
          <t>'From Blue Flag to Red Alert': PN slams government over beach closures</t>
        </is>
      </c>
      <c r="D184" s="2" t="inlineStr">
        <is>
          <t>MaltaToday</t>
        </is>
      </c>
      <c r="E184" s="2" t="inlineStr">
        <is>
          <t>n/d</t>
        </is>
      </c>
      <c r="F184" s="2" t="inlineStr">
        <is>
          <t>News / locator</t>
        </is>
      </c>
      <c r="G184" s="2" t="inlineStr">
        <is>
          <t>Opposition claim.</t>
        </is>
      </c>
      <c r="H184" s="5" t="inlineStr">
        <is>
          <t>https://www.maltatoday.com.mt/news/national/135722/from_blue_flag_to_red_alert_pn_slams_government_over_beach_closures</t>
        </is>
      </c>
    </row>
    <row r="185">
      <c r="A185" s="2" t="inlineStr">
        <is>
          <t>175</t>
        </is>
      </c>
      <c r="B185" s="2" t="inlineStr">
        <is>
          <t>CC-043</t>
        </is>
      </c>
      <c r="C185" s="2" t="inlineStr">
        <is>
          <t>Malta beset in a contamination controversy over beaches safety</t>
        </is>
      </c>
      <c r="D185" s="2" t="inlineStr">
        <is>
          <t>TravelMole</t>
        </is>
      </c>
      <c r="E185" s="2" t="inlineStr">
        <is>
          <t>2026</t>
        </is>
      </c>
      <c r="F185" s="2" t="inlineStr">
        <is>
          <t>News / locator</t>
        </is>
      </c>
      <c r="G185" s="2" t="inlineStr">
        <is>
          <t>Locates the award and the Fajtata closure.</t>
        </is>
      </c>
      <c r="H185" s="5" t="inlineStr">
        <is>
          <t>https://www.travelmole.com/news/malta-beaches-waters/</t>
        </is>
      </c>
    </row>
    <row r="186">
      <c r="A186" s="2" t="inlineStr">
        <is>
          <t>176</t>
        </is>
      </c>
      <c r="B186" s="2" t="inlineStr">
        <is>
          <t>CC-044</t>
        </is>
      </c>
      <c r="C186" s="2" t="inlineStr">
        <is>
          <t>Over 2,400 tonnes of waste collected annually from 16 kilometres of Stormwater Tunnels</t>
        </is>
      </c>
      <c r="D186" s="2" t="inlineStr">
        <is>
          <t>Government of Malta (DOI)</t>
        </is>
      </c>
      <c r="E186" s="2" t="inlineStr">
        <is>
          <t>4 Jul 2025</t>
        </is>
      </c>
      <c r="F186" s="2" t="inlineStr">
        <is>
          <t>Primary statement</t>
        </is>
      </c>
      <c r="G186" s="2" t="inlineStr">
        <is>
          <t>Primary press release.</t>
        </is>
      </c>
      <c r="H186" s="5" t="inlineStr">
        <is>
          <t>https://www.gov.mt/en/Government/DOI/Press%20Releases/Pages/2025/07/04/pr251213en.aspx</t>
        </is>
      </c>
    </row>
    <row r="187">
      <c r="A187" s="2" t="inlineStr">
        <is>
          <t>177</t>
        </is>
      </c>
      <c r="B187" s="2" t="inlineStr">
        <is>
          <t>CC-045</t>
        </is>
      </c>
      <c r="C187" s="2" t="inlineStr">
        <is>
          <t>20 kilometres of underground tunnel helped Malta manage its flooding problems</t>
        </is>
      </c>
      <c r="D187" s="2" t="inlineStr">
        <is>
          <t>MaltaToday</t>
        </is>
      </c>
      <c r="E187" s="2" t="inlineStr">
        <is>
          <t>n/d</t>
        </is>
      </c>
      <c r="F187" s="2" t="inlineStr">
        <is>
          <t>News / locator</t>
        </is>
      </c>
      <c r="G187" s="2" t="inlineStr">
        <is>
          <t>Locates the claim.</t>
        </is>
      </c>
      <c r="H187" s="5" t="inlineStr">
        <is>
          <t>https://www.maltatoday.com.mt/environment/nature/107804/20_kilometres_of_underground_tunnel_helped_malta_manage_its_flooding_problems</t>
        </is>
      </c>
    </row>
    <row r="188">
      <c r="A188" s="2" t="inlineStr">
        <is>
          <t>178</t>
        </is>
      </c>
      <c r="B188" s="2" t="inlineStr">
        <is>
          <t>CC-046</t>
        </is>
      </c>
      <c r="C188" s="2" t="inlineStr">
        <is>
          <t>Maltese island achieves water autonomy with SWRO innovation</t>
        </is>
      </c>
      <c r="D188" s="2" t="inlineStr">
        <is>
          <t>Smart Water Magazine</t>
        </is>
      </c>
      <c r="E188" s="2" t="inlineStr">
        <is>
          <t>n/d</t>
        </is>
      </c>
      <c r="F188" s="2" t="inlineStr">
        <is>
          <t>News / locator</t>
        </is>
      </c>
      <c r="G188" s="2" t="inlineStr">
        <is>
          <t>Locates the claim.</t>
        </is>
      </c>
      <c r="H188" s="5" t="inlineStr">
        <is>
          <t>https://smartwatermagazine.com/news/wfi-group/maltese-island-achieves-water-autonomy-swro-innovation</t>
        </is>
      </c>
    </row>
    <row r="189">
      <c r="A189" s="2" t="inlineStr">
        <is>
          <t>179</t>
        </is>
      </c>
      <c r="B189" s="2" t="inlineStr">
        <is>
          <t>CC-047</t>
        </is>
      </c>
      <c r="C189" s="2" t="inlineStr">
        <is>
          <t>Potatoes and intensive farming: A slow-moving threat to Malta's groundwater</t>
        </is>
      </c>
      <c r="D189" s="2" t="inlineStr">
        <is>
          <t>MaltaToday</t>
        </is>
      </c>
      <c r="E189" s="2" t="inlineStr">
        <is>
          <t>n/d</t>
        </is>
      </c>
      <c r="F189" s="2" t="inlineStr">
        <is>
          <t>News / locator</t>
        </is>
      </c>
      <c r="G189" s="2" t="inlineStr">
        <is>
          <t>Media claim.</t>
        </is>
      </c>
      <c r="H189" s="5" t="inlineStr">
        <is>
          <t>https://www.maltatoday.com.mt/news/national/139611/potatoes_and_intensive_farming_a_slowmoving_threat_to_maltas_groundwater</t>
        </is>
      </c>
    </row>
    <row r="190">
      <c r="A190" s="2" t="inlineStr">
        <is>
          <t>180</t>
        </is>
      </c>
      <c r="B190" s="2" t="inlineStr">
        <is>
          <t>CC-048</t>
        </is>
      </c>
      <c r="C190" s="2" t="inlineStr">
        <is>
          <t>Moratorium on sea urchin collection extended</t>
        </is>
      </c>
      <c r="D190" s="2" t="inlineStr">
        <is>
          <t>Government of Malta (DOI)</t>
        </is>
      </c>
      <c r="E190" s="2" t="inlineStr">
        <is>
          <t>9 Jul 2025</t>
        </is>
      </c>
      <c r="F190" s="2" t="inlineStr">
        <is>
          <t>Primary statement</t>
        </is>
      </c>
      <c r="G190" s="2" t="inlineStr">
        <is>
          <t>Primary press release.</t>
        </is>
      </c>
      <c r="H190" s="5" t="inlineStr">
        <is>
          <t>https://www.gov.mt/en/Government/DOI/Press%20Releases/Pages/2025/07/09/pr251246en.aspx</t>
        </is>
      </c>
    </row>
    <row r="191">
      <c r="A191" s="2" t="inlineStr">
        <is>
          <t>181</t>
        </is>
      </c>
      <c r="B191" s="2" t="inlineStr">
        <is>
          <t>CC-049</t>
        </is>
      </c>
      <c r="C191" s="2" t="inlineStr">
        <is>
          <t>On the frontlines (September 2025 newsletter)</t>
        </is>
      </c>
      <c r="D191" s="2" t="inlineStr">
        <is>
          <t>BirdLife Malta</t>
        </is>
      </c>
      <c r="E191" s="2" t="inlineStr">
        <is>
          <t>Sep 2025</t>
        </is>
      </c>
      <c r="F191" s="2" t="inlineStr">
        <is>
          <t>Primary statement</t>
        </is>
      </c>
      <c r="G191" s="2" t="inlineStr">
        <is>
          <t>NGO claim.</t>
        </is>
      </c>
      <c r="H191" s="5" t="inlineStr">
        <is>
          <t>https://birdlifemalta.org/2025/09/on-the-frontlines-september-2025-newsletter/</t>
        </is>
      </c>
    </row>
    <row r="192">
      <c r="A192" s="2" t="inlineStr">
        <is>
          <t>182</t>
        </is>
      </c>
      <c r="B192" s="2" t="inlineStr">
        <is>
          <t>CC-050</t>
        </is>
      </c>
      <c r="C192" s="2" t="inlineStr">
        <is>
          <t>BirdLife Malta accuses Labour, PN of 'dangerous race' to weaken hunting laws ahead of election</t>
        </is>
      </c>
      <c r="D192" s="2" t="inlineStr">
        <is>
          <t>Newsbook</t>
        </is>
      </c>
      <c r="E192" s="2" t="inlineStr">
        <is>
          <t>2026</t>
        </is>
      </c>
      <c r="F192" s="2" t="inlineStr">
        <is>
          <t>News / locator</t>
        </is>
      </c>
      <c r="G192" s="2" t="inlineStr">
        <is>
          <t>NGO claim about both parties.</t>
        </is>
      </c>
      <c r="H192" s="5" t="inlineStr">
        <is>
          <t>https://newsbook.com.mt/en/birdlife-malta-accuses-labour-pn-of-dangerous-race-to-weaken-hunting-laws-ahead-of-election/</t>
        </is>
      </c>
    </row>
    <row r="193">
      <c r="A193" s="2" t="inlineStr">
        <is>
          <t>183</t>
        </is>
      </c>
      <c r="B193" s="2" t="inlineStr">
        <is>
          <t>CC-051</t>
        </is>
      </c>
      <c r="C193" s="2" t="inlineStr">
        <is>
          <t>FATTI: Does Malta protect about one-third of its seas?</t>
        </is>
      </c>
      <c r="D193" s="2" t="inlineStr">
        <is>
          <t>Amphora Media</t>
        </is>
      </c>
      <c r="E193" s="2" t="inlineStr">
        <is>
          <t>Aug 2025</t>
        </is>
      </c>
      <c r="F193" s="2" t="inlineStr">
        <is>
          <t>News / locator</t>
        </is>
      </c>
      <c r="G193" s="2" t="inlineStr">
        <is>
          <t>Prior media fact-check; locates both statements.</t>
        </is>
      </c>
      <c r="H193" s="5" t="inlineStr">
        <is>
          <t>https://www.amphora.media/2025/08/fatti-malta-protect-sea-marine-environment</t>
        </is>
      </c>
    </row>
    <row r="194">
      <c r="A194" s="2" t="inlineStr">
        <is>
          <t>184</t>
        </is>
      </c>
      <c r="B194" s="2" t="inlineStr">
        <is>
          <t>CC-052</t>
        </is>
      </c>
      <c r="C194" s="2" t="inlineStr">
        <is>
          <t>Maltese Environmental Watchdog Pushes Bluefin Farms To Clean Up Slime</t>
        </is>
      </c>
      <c r="D194" s="2" t="inlineStr">
        <is>
          <t>Atuna</t>
        </is>
      </c>
      <c r="E194" s="2" t="inlineStr">
        <is>
          <t>Aug 2025</t>
        </is>
      </c>
      <c r="F194" s="2" t="inlineStr">
        <is>
          <t>News / locator</t>
        </is>
      </c>
      <c r="G194" s="2" t="inlineStr">
        <is>
          <t>Locates the claim.</t>
        </is>
      </c>
      <c r="H194" s="5" t="inlineStr">
        <is>
          <t>https://www.atuna.com/news/maltese-environmental-watchdog-pushes-bluefin-farms-to-clean-up-slime/</t>
        </is>
      </c>
    </row>
    <row r="195">
      <c r="A195" s="2" t="inlineStr">
        <is>
          <t>185</t>
        </is>
      </c>
      <c r="B195" s="2" t="inlineStr">
        <is>
          <t>CC-053</t>
        </is>
      </c>
      <c r="C195" s="2" t="inlineStr">
        <is>
          <t>Milky Way only visible from 13% of Malta</t>
        </is>
      </c>
      <c r="D195" s="2" t="inlineStr">
        <is>
          <t>MaltaToday</t>
        </is>
      </c>
      <c r="E195" s="2" t="inlineStr">
        <is>
          <t>n/d</t>
        </is>
      </c>
      <c r="F195" s="2" t="inlineStr">
        <is>
          <t>News / locator</t>
        </is>
      </c>
      <c r="G195" s="2" t="inlineStr">
        <is>
          <t>Locates the study.</t>
        </is>
      </c>
      <c r="H195" s="5" t="inlineStr">
        <is>
          <t>https://www.maltatoday.com.mt/news/national/100416/milky_way_only_visible_from_13_of_malta</t>
        </is>
      </c>
    </row>
    <row r="196">
      <c r="A196" s="2" t="inlineStr">
        <is>
          <t>186</t>
        </is>
      </c>
      <c r="B196" s="2" t="inlineStr">
        <is>
          <t>CC-054</t>
        </is>
      </c>
      <c r="C196" s="2" t="inlineStr">
        <is>
          <t>Project Green opens thousands of square metres of new public spaces across Malta</t>
        </is>
      </c>
      <c r="D196" s="2" t="inlineStr">
        <is>
          <t>TVM</t>
        </is>
      </c>
      <c r="E196" s="2" t="inlineStr">
        <is>
          <t>n/d</t>
        </is>
      </c>
      <c r="F196" s="2" t="inlineStr">
        <is>
          <t>News / locator</t>
        </is>
      </c>
      <c r="G196" s="2" t="inlineStr">
        <is>
          <t>Locates the claim.</t>
        </is>
      </c>
      <c r="H196" s="5" t="inlineStr">
        <is>
          <t>https://tvmnews.mt/en/news/project-green-opens-thousands-of-square-metres-of-new-public-spaces-across-malta/</t>
        </is>
      </c>
    </row>
    <row r="197">
      <c r="A197" s="2" t="inlineStr">
        <is>
          <t>187</t>
        </is>
      </c>
      <c r="B197" s="2" t="inlineStr">
        <is>
          <t>CC-055</t>
        </is>
      </c>
      <c r="C197" s="2" t="inlineStr">
        <is>
          <t>Manoel Island officially returned as public land</t>
        </is>
      </c>
      <c r="D197" s="2" t="inlineStr">
        <is>
          <t>MaltaToday</t>
        </is>
      </c>
      <c r="E197" s="2" t="inlineStr">
        <is>
          <t>2026</t>
        </is>
      </c>
      <c r="F197" s="2" t="inlineStr">
        <is>
          <t>News / locator</t>
        </is>
      </c>
      <c r="G197" s="2" t="inlineStr">
        <is>
          <t>Locates the claim.</t>
        </is>
      </c>
      <c r="H197" s="5" t="inlineStr">
        <is>
          <t>https://www.maltatoday.com.mt/news/national/141742/manoel_island_officially_returned_as_public_land</t>
        </is>
      </c>
    </row>
    <row r="198">
      <c r="A198" s="2" t="inlineStr">
        <is>
          <t>188</t>
        </is>
      </c>
      <c r="B198" s="2" t="inlineStr">
        <is>
          <t>CC-056</t>
        </is>
      </c>
      <c r="C198" s="2" t="inlineStr">
        <is>
          <t>Major Malta Central Link Pledge: 'Only 254 Trees Will Be Destroyed, All Replacements Will Be Mature'</t>
        </is>
      </c>
      <c r="D198" s="2" t="inlineStr">
        <is>
          <t>Lovin Malta</t>
        </is>
      </c>
      <c r="E198" s="2" t="inlineStr">
        <is>
          <t>2019</t>
        </is>
      </c>
      <c r="F198" s="2" t="inlineStr">
        <is>
          <t>News / locator</t>
        </is>
      </c>
      <c r="G198" s="2" t="inlineStr">
        <is>
          <t>Locates the pledge.</t>
        </is>
      </c>
      <c r="H198" s="5" t="inlineStr">
        <is>
          <t>https://lovinmalta.com/news/major-central-link-pledge-only-254-trees-will-be-destroyed-all-replacements-will-be-mature/</t>
        </is>
      </c>
    </row>
    <row r="199">
      <c r="A199" s="2" t="inlineStr">
        <is>
          <t>189</t>
        </is>
      </c>
      <c r="B199" s="2" t="inlineStr">
        <is>
          <t>CC-057</t>
        </is>
      </c>
      <c r="C199" s="2" t="inlineStr">
        <is>
          <t>As 549 Maltese Trees Face The Axe, Environment Authority Promises A Silver Lining</t>
        </is>
      </c>
      <c r="D199" s="2" t="inlineStr">
        <is>
          <t>Lovin Malta</t>
        </is>
      </c>
      <c r="E199" s="2" t="inlineStr">
        <is>
          <t>2019</t>
        </is>
      </c>
      <c r="F199" s="2" t="inlineStr">
        <is>
          <t>News / locator</t>
        </is>
      </c>
      <c r="G199" s="2" t="inlineStr">
        <is>
          <t>Locates the condition.</t>
        </is>
      </c>
      <c r="H199" s="5" t="inlineStr">
        <is>
          <t>https://lovinmalta.com/news/as-549-maltese-trees-face-the-axe-environment-authority-promises-a-silver-lining/</t>
        </is>
      </c>
    </row>
    <row r="200">
      <c r="A200" s="2" t="inlineStr">
        <is>
          <t>190</t>
        </is>
      </c>
      <c r="B200" s="2" t="inlineStr">
        <is>
          <t>CC-058</t>
        </is>
      </c>
      <c r="C200" s="2" t="inlineStr">
        <is>
          <t>Over 96% Of Malta's Agricultural Land Is Used For Farming</t>
        </is>
      </c>
      <c r="D200" s="2" t="inlineStr">
        <is>
          <t>Lovin Malta</t>
        </is>
      </c>
      <c r="E200" s="2" t="inlineStr">
        <is>
          <t>n/d</t>
        </is>
      </c>
      <c r="F200" s="2" t="inlineStr">
        <is>
          <t>News / locator</t>
        </is>
      </c>
      <c r="G200" s="2" t="inlineStr">
        <is>
          <t>Media summary of statistics.</t>
        </is>
      </c>
      <c r="H200" s="5" t="inlineStr">
        <is>
          <t>https://lovinmalta.com/news/over-96-of-maltas-agricultural-land-is-used-for-farming/</t>
        </is>
      </c>
    </row>
    <row r="201">
      <c r="A201" s="2" t="inlineStr">
        <is>
          <t>191</t>
        </is>
      </c>
      <c r="B201" s="2" t="inlineStr">
        <is>
          <t>CC-059</t>
        </is>
      </c>
      <c r="C201" s="2" t="inlineStr">
        <is>
          <t>State and EU subsidies reach 20% of Malta's agricultural output</t>
        </is>
      </c>
      <c r="D201" s="2" t="inlineStr">
        <is>
          <t>Newsbook</t>
        </is>
      </c>
      <c r="E201" s="2" t="inlineStr">
        <is>
          <t>n/d</t>
        </is>
      </c>
      <c r="F201" s="2" t="inlineStr">
        <is>
          <t>News / locator</t>
        </is>
      </c>
      <c r="G201" s="2" t="inlineStr">
        <is>
          <t>Media claim.</t>
        </is>
      </c>
      <c r="H201" s="5" t="inlineStr">
        <is>
          <t>https://newsbook.com.mt/en/state-and-eu-subsidies-reach-20-of-maltas-agricultural-output</t>
        </is>
      </c>
    </row>
    <row r="202">
      <c r="A202" s="2" t="inlineStr">
        <is>
          <t>192</t>
        </is>
      </c>
      <c r="B202" s="2" t="inlineStr">
        <is>
          <t>CC-060</t>
        </is>
      </c>
      <c r="C202" s="2" t="inlineStr">
        <is>
          <t>First-Time Buyer Scheme</t>
        </is>
      </c>
      <c r="D202" s="2" t="inlineStr">
        <is>
          <t>Housing Authority</t>
        </is>
      </c>
      <c r="E202" s="2" t="inlineStr">
        <is>
          <t>n/d</t>
        </is>
      </c>
      <c r="F202" s="2" t="inlineStr">
        <is>
          <t>Primary statement</t>
        </is>
      </c>
      <c r="G202" s="2" t="inlineStr">
        <is>
          <t>Primary scheme page.</t>
        </is>
      </c>
      <c r="H202" s="5" t="inlineStr">
        <is>
          <t>https://housingauthority.gov.mt/scheme/first-time-buyer-scheme/</t>
        </is>
      </c>
    </row>
    <row r="203">
      <c r="A203" s="2" t="inlineStr">
        <is>
          <t>193</t>
        </is>
      </c>
      <c r="B203" s="2" t="inlineStr">
        <is>
          <t>CC-061</t>
        </is>
      </c>
      <c r="C203" s="2" t="inlineStr">
        <is>
          <t>Malta Budget 2026: Key Housing &amp; Property Updates</t>
        </is>
      </c>
      <c r="D203" s="2" t="inlineStr">
        <is>
          <t>Zanzi Homes</t>
        </is>
      </c>
      <c r="E203" s="2" t="inlineStr">
        <is>
          <t>Oct 2025</t>
        </is>
      </c>
      <c r="F203" s="2" t="inlineStr">
        <is>
          <t>News / locator</t>
        </is>
      </c>
      <c r="G203" s="2" t="inlineStr">
        <is>
          <t>Locator; confirm in the Budget Speech (literature/CC-017).</t>
        </is>
      </c>
      <c r="H203" s="5" t="inlineStr">
        <is>
          <t>https://www.zanzihomes.com/blog/409/malta-budget-2026-key-housing-property-updates</t>
        </is>
      </c>
    </row>
    <row r="204">
      <c r="A204" s="2" t="inlineStr">
        <is>
          <t>195</t>
        </is>
      </c>
      <c r="B204" s="2" t="inlineStr">
        <is>
          <t>CC-063</t>
        </is>
      </c>
      <c r="C204" s="2" t="inlineStr">
        <is>
          <t>Developers again call for enduring solution to dumping of construction waste</t>
        </is>
      </c>
      <c r="D204" s="2" t="inlineStr">
        <is>
          <t>MaltaToday</t>
        </is>
      </c>
      <c r="E204" s="2" t="inlineStr">
        <is>
          <t>n/d</t>
        </is>
      </c>
      <c r="F204" s="2" t="inlineStr">
        <is>
          <t>News / locator</t>
        </is>
      </c>
      <c r="G204" s="2" t="inlineStr">
        <is>
          <t>Locates the claim.</t>
        </is>
      </c>
      <c r="H204" s="5" t="inlineStr">
        <is>
          <t>https://www.maltatoday.com.mt/news/national/110023/developers_again_call_for_enduring_solution_to_dumping_of_construction_waste</t>
        </is>
      </c>
    </row>
    <row r="205">
      <c r="A205" s="2" t="inlineStr">
        <is>
          <t>196</t>
        </is>
      </c>
      <c r="B205" s="2" t="inlineStr">
        <is>
          <t>CC-064</t>
        </is>
      </c>
      <c r="C205" s="2" t="inlineStr">
        <is>
          <t>Long-term regeneration of Grand Harbour announced in four-phase project</t>
        </is>
      </c>
      <c r="D205" s="2" t="inlineStr">
        <is>
          <t>MaltaToday</t>
        </is>
      </c>
      <c r="E205" s="2" t="inlineStr">
        <is>
          <t>Feb 2026</t>
        </is>
      </c>
      <c r="F205" s="2" t="inlineStr">
        <is>
          <t>News / locator</t>
        </is>
      </c>
      <c r="G205" s="2" t="inlineStr">
        <is>
          <t>Locates the claim.</t>
        </is>
      </c>
      <c r="H205" s="5" t="inlineStr">
        <is>
          <t>https://www.maltatoday.com.mt/news/national/139575/longterm_regeneration_of_grand_harbour_announced_in_fourphase_project</t>
        </is>
      </c>
    </row>
    <row r="206">
      <c r="A206" s="2" t="inlineStr">
        <is>
          <t>197</t>
        </is>
      </c>
      <c r="B206" s="2" t="inlineStr">
        <is>
          <t>CC-065</t>
        </is>
      </c>
      <c r="C206" s="2" t="inlineStr">
        <is>
          <t>ADPD slams planning decisions that endanger Malta's heritage</t>
        </is>
      </c>
      <c r="D206" s="2" t="inlineStr">
        <is>
          <t>MaltaToday</t>
        </is>
      </c>
      <c r="E206" s="2" t="inlineStr">
        <is>
          <t>May 2026</t>
        </is>
      </c>
      <c r="F206" s="2" t="inlineStr">
        <is>
          <t>News / locator</t>
        </is>
      </c>
      <c r="G206" s="2" t="inlineStr">
        <is>
          <t>Opposition claim.</t>
        </is>
      </c>
      <c r="H206" s="5" t="inlineStr">
        <is>
          <t>https://www.maltatoday.com.mt/news/national/141429/adpd_slams_planning_decisions_that_endanger_maltas_heritage</t>
        </is>
      </c>
    </row>
    <row r="207">
      <c r="A207" s="2" t="inlineStr">
        <is>
          <t>198</t>
        </is>
      </c>
      <c r="B207" s="2" t="inlineStr">
        <is>
          <t>CC-066</t>
        </is>
      </c>
      <c r="C207" s="2" t="inlineStr">
        <is>
          <t>NGO calls for 'immediate' resignation of heritage chief after approval of Fort Chambray barracks demolition</t>
        </is>
      </c>
      <c r="D207" s="2" t="inlineStr">
        <is>
          <t>The Shift News</t>
        </is>
      </c>
      <c r="E207" s="2" t="inlineStr">
        <is>
          <t>1 May 2026</t>
        </is>
      </c>
      <c r="F207" s="2" t="inlineStr">
        <is>
          <t>News / locator</t>
        </is>
      </c>
      <c r="G207" s="2" t="inlineStr">
        <is>
          <t>Locates both sides.</t>
        </is>
      </c>
      <c r="H207" s="5" t="inlineStr">
        <is>
          <t>https://theshiftnews.com/2026/05/01/ngo-calls-for-immediate-resignation-of-heritage-chief-after-approval-of-fort-chambray-barracks-demolition/</t>
        </is>
      </c>
    </row>
    <row r="208">
      <c r="A208" s="2" t="inlineStr">
        <is>
          <t>199</t>
        </is>
      </c>
      <c r="B208" s="2" t="inlineStr">
        <is>
          <t>CC-067</t>
        </is>
      </c>
      <c r="C208" s="2" t="inlineStr">
        <is>
          <t>Momentum firmly opposes high-rise development in Gozo</t>
        </is>
      </c>
      <c r="D208" s="2" t="inlineStr">
        <is>
          <t>The Malta Independent</t>
        </is>
      </c>
      <c r="E208" s="2" t="inlineStr">
        <is>
          <t>9 Jan 2026</t>
        </is>
      </c>
      <c r="F208" s="2" t="inlineStr">
        <is>
          <t>News / locator</t>
        </is>
      </c>
      <c r="G208" s="2" t="inlineStr">
        <is>
          <t>Opposition claim.</t>
        </is>
      </c>
      <c r="H208" s="5" t="inlineStr">
        <is>
          <t>https://www.independent.com.mt/articles/2026-01-09/local-news/Momentum-firmly-opposes-high-rise-development-in-Gozo-6736286225</t>
        </is>
      </c>
    </row>
    <row r="209">
      <c r="A209" s="2" t="inlineStr">
        <is>
          <t>200</t>
        </is>
      </c>
      <c r="B209" s="2" t="inlineStr">
        <is>
          <t>CC-068</t>
        </is>
      </c>
      <c r="C209" s="2" t="inlineStr">
        <is>
          <t>Marsaskala yacht marina: Grech vows to repeal current plans, presses on proper consultation</t>
        </is>
      </c>
      <c r="D209" s="2" t="inlineStr">
        <is>
          <t>MaltaToday</t>
        </is>
      </c>
      <c r="E209" s="2" t="inlineStr">
        <is>
          <t>2021</t>
        </is>
      </c>
      <c r="F209" s="2" t="inlineStr">
        <is>
          <t>News / locator</t>
        </is>
      </c>
      <c r="G209" s="2" t="inlineStr">
        <is>
          <t>Background; locate the 2024 withdrawal notice.</t>
        </is>
      </c>
      <c r="H209" s="5" t="inlineStr">
        <is>
          <t>https://www.maltatoday.com.mt/news/national/111714/marsaskala_yacht_marina_grech_abela_noncommital_on_project_1</t>
        </is>
      </c>
    </row>
    <row r="210">
      <c r="A210" s="2" t="inlineStr">
        <is>
          <t>201</t>
        </is>
      </c>
      <c r="B210" s="2" t="inlineStr">
        <is>
          <t>CC-069</t>
        </is>
      </c>
      <c r="C210" s="2" t="inlineStr">
        <is>
          <t>Malta's free transport in doubt despite record-breaking numbers</t>
        </is>
      </c>
      <c r="D210" s="2" t="inlineStr">
        <is>
          <t>Cities Today</t>
        </is>
      </c>
      <c r="E210" s="2" t="inlineStr">
        <is>
          <t>2026</t>
        </is>
      </c>
      <c r="F210" s="2" t="inlineStr">
        <is>
          <t>News / locator</t>
        </is>
      </c>
      <c r="G210" s="2" t="inlineStr">
        <is>
          <t>Locates the figures.</t>
        </is>
      </c>
      <c r="H210" s="5" t="inlineStr">
        <is>
          <t>https://cities-today.com/maltas-free-transport-in-doubt-despite-record-breaking-numbers/</t>
        </is>
      </c>
    </row>
    <row r="211">
      <c r="A211" s="2" t="inlineStr">
        <is>
          <t>202</t>
        </is>
      </c>
      <c r="B211" s="2" t="inlineStr">
        <is>
          <t>CC-070</t>
        </is>
      </c>
      <c r="C211" s="2" t="inlineStr">
        <is>
          <t>Packed like sardines: Why Transport Malta's 'one overcrowded bus claim' doesn't add up</t>
        </is>
      </c>
      <c r="D211" s="2" t="inlineStr">
        <is>
          <t>The Malta Independent</t>
        </is>
      </c>
      <c r="E211" s="2" t="inlineStr">
        <is>
          <t>15 Jul 2026</t>
        </is>
      </c>
      <c r="F211" s="2" t="inlineStr">
        <is>
          <t>News / locator</t>
        </is>
      </c>
      <c r="G211" s="2" t="inlineStr">
        <is>
          <t>Locates the claim and a challenge.</t>
        </is>
      </c>
      <c r="H211" s="5" t="inlineStr">
        <is>
          <t>https://www.independent.com.mt/articles/2026-07-15/local-news/Packed-like-sardines-Why-Transport-Malta-s-one-overcrowded-bus-claim-doesn-t-add-up-6736291358</t>
        </is>
      </c>
    </row>
    <row r="212">
      <c r="A212" s="2" t="inlineStr">
        <is>
          <t>203</t>
        </is>
      </c>
      <c r="B212" s="2" t="inlineStr">
        <is>
          <t>CC-071</t>
        </is>
      </c>
      <c r="C212" s="2" t="inlineStr">
        <is>
          <t>'Free' public transport reaches EUR 100 million a year in subsidies as traffic gridlock worsens</t>
        </is>
      </c>
      <c r="D212" s="2" t="inlineStr">
        <is>
          <t>The Shift News</t>
        </is>
      </c>
      <c r="E212" s="2" t="inlineStr">
        <is>
          <t>26 Feb 2026</t>
        </is>
      </c>
      <c r="F212" s="2" t="inlineStr">
        <is>
          <t>News / locator</t>
        </is>
      </c>
      <c r="G212" s="2" t="inlineStr">
        <is>
          <t>Media claim.</t>
        </is>
      </c>
      <c r="H212" s="5" t="inlineStr">
        <is>
          <t>https://theshiftnews.com/2026/02/26/free-public-transport-reaches-e100-million-a-year-in-subsidies-as-traffic-gridlock-worsens/</t>
        </is>
      </c>
    </row>
    <row r="213">
      <c r="A213" s="2" t="inlineStr">
        <is>
          <t>204</t>
        </is>
      </c>
      <c r="B213" s="2" t="inlineStr">
        <is>
          <t>CC-072</t>
        </is>
      </c>
      <c r="C213" s="2" t="inlineStr">
        <is>
          <t>EUR 15 million traffic plan deemed ineffective within two months</t>
        </is>
      </c>
      <c r="D213" s="2" t="inlineStr">
        <is>
          <t>The Shift News</t>
        </is>
      </c>
      <c r="E213" s="2" t="inlineStr">
        <is>
          <t>21 Apr 2025</t>
        </is>
      </c>
      <c r="F213" s="2" t="inlineStr">
        <is>
          <t>News / locator</t>
        </is>
      </c>
      <c r="G213" s="2" t="inlineStr">
        <is>
          <t>Locates the scheme and a critique.</t>
        </is>
      </c>
      <c r="H213" s="5" t="inlineStr">
        <is>
          <t>https://theshiftnews.com/2025/04/21/e15-million-traffic-plan-deemed-ineffective-within-two-months/</t>
        </is>
      </c>
    </row>
    <row r="214">
      <c r="A214" s="2" t="inlineStr">
        <is>
          <t>205</t>
        </is>
      </c>
      <c r="B214" s="2" t="inlineStr">
        <is>
          <t>CC-073</t>
        </is>
      </c>
      <c r="C214" s="2" t="inlineStr">
        <is>
          <t>Cab trips surge by 68% as alternative transport demand rises, says Transport Minister</t>
        </is>
      </c>
      <c r="D214" s="2" t="inlineStr">
        <is>
          <t>Newsbook</t>
        </is>
      </c>
      <c r="E214" s="2" t="inlineStr">
        <is>
          <t>n/d</t>
        </is>
      </c>
      <c r="F214" s="2" t="inlineStr">
        <is>
          <t>News / locator</t>
        </is>
      </c>
      <c r="G214" s="2" t="inlineStr">
        <is>
          <t>Locates the claim.</t>
        </is>
      </c>
      <c r="H214" s="5" t="inlineStr">
        <is>
          <t>https://newsbook.com.mt/en/cab-trips-surge-by-68-as-alternative-transport-demand-rises-says-transport-minister/</t>
        </is>
      </c>
    </row>
    <row r="215">
      <c r="A215" s="2" t="inlineStr">
        <is>
          <t>206</t>
        </is>
      </c>
      <c r="B215" s="2" t="inlineStr">
        <is>
          <t>CC-074</t>
        </is>
      </c>
      <c r="C215" s="2" t="inlineStr">
        <is>
          <t>2025 Scheme for New Electric Vehicles and Pedelecs</t>
        </is>
      </c>
      <c r="D215" s="2" t="inlineStr">
        <is>
          <t>Transport Malta</t>
        </is>
      </c>
      <c r="E215" s="2" t="inlineStr">
        <is>
          <t>2025</t>
        </is>
      </c>
      <c r="F215" s="2" t="inlineStr">
        <is>
          <t>Primary statement</t>
        </is>
      </c>
      <c r="G215" s="2" t="inlineStr">
        <is>
          <t>Primary scheme page.</t>
        </is>
      </c>
      <c r="H215" s="5" t="inlineStr">
        <is>
          <t>https://www.transport.gov.mt/land/sustainable-transport/grant-schemes-on-new-electric-vehicles-and-pedelecs/2025-scheme-for-new-electric-vehicles-and-pedelecs-7136</t>
        </is>
      </c>
    </row>
    <row r="216">
      <c r="A216" s="2" t="inlineStr">
        <is>
          <t>207</t>
        </is>
      </c>
      <c r="B216" s="2" t="inlineStr">
        <is>
          <t>CC-075</t>
        </is>
      </c>
      <c r="C216" s="2" t="inlineStr">
        <is>
          <t>Malta Ranked Number Seven On Eurostat's 'Passenger Cars Per 1,000 Inhabitants' Dataset</t>
        </is>
      </c>
      <c r="D216" s="2" t="inlineStr">
        <is>
          <t>Lovin Malta</t>
        </is>
      </c>
      <c r="E216" s="2" t="inlineStr">
        <is>
          <t>21 Sep 2024</t>
        </is>
      </c>
      <c r="F216" s="2" t="inlineStr">
        <is>
          <t>News (full text read)</t>
        </is>
      </c>
      <c r="G216" s="2" t="inlineStr">
        <is>
          <t>The claim, in the outlet's own words (J. Darmanin). Read in full 6 Oct 2026 (page and WordPress API). Names Eurostat and a graphic 'up to the year 2022'; no year for the 585; presents the 2022 rank as current.</t>
        </is>
      </c>
      <c r="H216" s="5" t="inlineStr">
        <is>
          <t>https://lovinmalta.com/malta/malta-ranked-number-seven-on-eurostats-passenger-cars-per-1000-inhabitants-dataset/</t>
        </is>
      </c>
    </row>
    <row r="217">
      <c r="A217" s="2" t="inlineStr">
        <is>
          <t>208</t>
        </is>
      </c>
      <c r="B217" s="2" t="inlineStr">
        <is>
          <t>CC-076</t>
        </is>
      </c>
      <c r="C217" s="2" t="inlineStr">
        <is>
          <t>Malta's roads grow more congested as vehicle fleet tops 454,000</t>
        </is>
      </c>
      <c r="D217" s="2" t="inlineStr">
        <is>
          <t>Newsbook</t>
        </is>
      </c>
      <c r="E217" s="2" t="inlineStr">
        <is>
          <t>n/d</t>
        </is>
      </c>
      <c r="F217" s="2" t="inlineStr">
        <is>
          <t>News / locator</t>
        </is>
      </c>
      <c r="G217" s="2" t="inlineStr">
        <is>
          <t>Locates the NSO figures.</t>
        </is>
      </c>
      <c r="H217" s="5" t="inlineStr">
        <is>
          <t>https://newsbook.com.mt/en/maltas-roads-grow-more-congested-as-vehicle-fleet-tops-454000/</t>
        </is>
      </c>
    </row>
    <row r="218">
      <c r="A218" s="2" t="inlineStr">
        <is>
          <t>209</t>
        </is>
      </c>
      <c r="B218" s="2" t="inlineStr">
        <is>
          <t>CC-077</t>
        </is>
      </c>
      <c r="C218" s="2" t="inlineStr">
        <is>
          <t>First section of La Vallette line to be operational in early 2030s, Transport Minister says</t>
        </is>
      </c>
      <c r="D218" s="2" t="inlineStr">
        <is>
          <t>The Malta Independent</t>
        </is>
      </c>
      <c r="E218" s="2" t="inlineStr">
        <is>
          <t>23 Apr 2026</t>
        </is>
      </c>
      <c r="F218" s="2" t="inlineStr">
        <is>
          <t>News / locator</t>
        </is>
      </c>
      <c r="G218" s="2" t="inlineStr">
        <is>
          <t>Locates the claim.</t>
        </is>
      </c>
      <c r="H218" s="5" t="inlineStr">
        <is>
          <t>https://www.independent.com.mt/articles/2026-04-23/local-news/First-section-of-La-Vallette-line-to-be-operational-in-early-2030s-Transport-Minister-says-6736289100</t>
        </is>
      </c>
    </row>
    <row r="219">
      <c r="A219" s="2" t="inlineStr">
        <is>
          <t>210</t>
        </is>
      </c>
      <c r="B219" s="2" t="inlineStr">
        <is>
          <t>CC-078</t>
        </is>
      </c>
      <c r="C219" s="2" t="inlineStr">
        <is>
          <t>EUR 130 Million Investment to Strengthen Malta-Gozo Transport</t>
        </is>
      </c>
      <c r="D219" s="2" t="inlineStr">
        <is>
          <t>Invest Gozo</t>
        </is>
      </c>
      <c r="E219" s="2" t="inlineStr">
        <is>
          <t>2026</t>
        </is>
      </c>
      <c r="F219" s="2" t="inlineStr">
        <is>
          <t>News / locator</t>
        </is>
      </c>
      <c r="G219" s="2" t="inlineStr">
        <is>
          <t>Primary page.</t>
        </is>
      </c>
      <c r="H219" s="5" t="inlineStr">
        <is>
          <t>https://investgozo.gov.mt/investment-malta-gozo-sea-transport/</t>
        </is>
      </c>
    </row>
    <row r="220">
      <c r="A220" s="2" t="inlineStr">
        <is>
          <t>211</t>
        </is>
      </c>
      <c r="B220" s="2" t="inlineStr">
        <is>
          <t>CC-079</t>
        </is>
      </c>
      <c r="C220" s="2" t="inlineStr">
        <is>
          <t>Analysis: Is Burning Waste At Magħtab The Only Way Out Of Malta's Waste Crisis?</t>
        </is>
      </c>
      <c r="D220" s="2" t="inlineStr">
        <is>
          <t>Amphora Media</t>
        </is>
      </c>
      <c r="E220" s="2" t="inlineStr">
        <is>
          <t>Jun 2025</t>
        </is>
      </c>
      <c r="F220" s="2" t="inlineStr">
        <is>
          <t>News / locator</t>
        </is>
      </c>
      <c r="G220" s="2" t="inlineStr">
        <is>
          <t>Locates the figures.</t>
        </is>
      </c>
      <c r="H220" s="5" t="inlineStr">
        <is>
          <t>https://www.amphora.media/2025/06/waste-energy-maghtab-recycling-sustainable</t>
        </is>
      </c>
    </row>
    <row r="221">
      <c r="A221" s="2" t="inlineStr">
        <is>
          <t>212</t>
        </is>
      </c>
      <c r="B221" s="2" t="inlineStr">
        <is>
          <t>CC-080</t>
        </is>
      </c>
      <c r="C221" s="2" t="inlineStr">
        <is>
          <t>WasteServ announces EUR 75 million organic waste plant</t>
        </is>
      </c>
      <c r="D221" s="2" t="inlineStr">
        <is>
          <t>Newsbook</t>
        </is>
      </c>
      <c r="E221" s="2" t="inlineStr">
        <is>
          <t>Apr 2026</t>
        </is>
      </c>
      <c r="F221" s="2" t="inlineStr">
        <is>
          <t>News / locator</t>
        </is>
      </c>
      <c r="G221" s="2" t="inlineStr">
        <is>
          <t>Locates the claim.</t>
        </is>
      </c>
      <c r="H221" s="5" t="inlineStr">
        <is>
          <t>https://newsbook.com.mt/en/wasteserv-announces-e75-million-organic-waste-plant/</t>
        </is>
      </c>
    </row>
    <row r="222">
      <c r="A222" s="2" t="inlineStr">
        <is>
          <t>213</t>
        </is>
      </c>
      <c r="B222" s="2" t="inlineStr">
        <is>
          <t>CC-081</t>
        </is>
      </c>
      <c r="C222" s="2" t="inlineStr">
        <is>
          <t>Malta's waste management is going in reverse</t>
        </is>
      </c>
      <c r="D222" s="2" t="inlineStr">
        <is>
          <t>The Shift News</t>
        </is>
      </c>
      <c r="E222" s="2" t="inlineStr">
        <is>
          <t>19 Feb 2026</t>
        </is>
      </c>
      <c r="F222" s="2" t="inlineStr">
        <is>
          <t>News / locator</t>
        </is>
      </c>
      <c r="G222" s="2" t="inlineStr">
        <is>
          <t>Media claim.</t>
        </is>
      </c>
      <c r="H222" s="5" t="inlineStr">
        <is>
          <t>https://theshiftnews.com/2026/02/19/maltas-waste-management-is-going-in-reverse/</t>
        </is>
      </c>
    </row>
    <row r="223">
      <c r="A223" s="2" t="inlineStr">
        <is>
          <t>214</t>
        </is>
      </c>
      <c r="B223" s="2" t="inlineStr">
        <is>
          <t>CC-082</t>
        </is>
      </c>
      <c r="C223" s="2" t="inlineStr">
        <is>
          <t>35 quarries licensed to receive construction waste</t>
        </is>
      </c>
      <c r="D223" s="2" t="inlineStr">
        <is>
          <t>Newsbook</t>
        </is>
      </c>
      <c r="E223" s="2" t="inlineStr">
        <is>
          <t>n/d</t>
        </is>
      </c>
      <c r="F223" s="2" t="inlineStr">
        <is>
          <t>News / locator</t>
        </is>
      </c>
      <c r="G223" s="2" t="inlineStr">
        <is>
          <t>Locates the claim.</t>
        </is>
      </c>
      <c r="H223" s="5" t="inlineStr">
        <is>
          <t>https://newsbook.com.mt/en/35-quarries-licensed-to-receive-construction-waste/</t>
        </is>
      </c>
    </row>
    <row r="224">
      <c r="A224" s="2" t="inlineStr">
        <is>
          <t>215</t>
        </is>
      </c>
      <c r="B224" s="2" t="inlineStr">
        <is>
          <t>CC-083</t>
        </is>
      </c>
      <c r="C224" s="2" t="inlineStr">
        <is>
          <t>2025 tourism results intensify our efforts to future-proof this crucial industry</t>
        </is>
      </c>
      <c r="D224" s="2" t="inlineStr">
        <is>
          <t>Government of Malta (DOI)</t>
        </is>
      </c>
      <c r="E224" s="2" t="inlineStr">
        <is>
          <t>12 Feb 2026</t>
        </is>
      </c>
      <c r="F224" s="2" t="inlineStr">
        <is>
          <t>Primary statement</t>
        </is>
      </c>
      <c r="G224" s="2" t="inlineStr">
        <is>
          <t>Primary press release.</t>
        </is>
      </c>
      <c r="H224" s="5" t="inlineStr">
        <is>
          <t>https://www.gov.mt/en/Government/DOI/Press%20Releases/Pages/2026/02/12/pr260230en.aspx</t>
        </is>
      </c>
    </row>
    <row r="225">
      <c r="A225" s="2" t="inlineStr">
        <is>
          <t>216</t>
        </is>
      </c>
      <c r="B225" s="2" t="inlineStr">
        <is>
          <t>CC-084</t>
        </is>
      </c>
      <c r="C225" s="2" t="inlineStr">
        <is>
          <t>ADPD Says Malta's Localities 'Are Not For Sale' Amid Overdevelopment Concerns</t>
        </is>
      </c>
      <c r="D225" s="2" t="inlineStr">
        <is>
          <t>Lovin Malta</t>
        </is>
      </c>
      <c r="E225" s="2" t="inlineStr">
        <is>
          <t>2026</t>
        </is>
      </c>
      <c r="F225" s="2" t="inlineStr">
        <is>
          <t>News / locator</t>
        </is>
      </c>
      <c r="G225" s="2" t="inlineStr">
        <is>
          <t>Opposition claim.</t>
        </is>
      </c>
      <c r="H225" s="5" t="inlineStr">
        <is>
          <t>https://lovinmalta.com/news/general-election-2026/adpd-marsaskala-jerma-overdevelopment/</t>
        </is>
      </c>
    </row>
    <row r="226">
      <c r="A226" s="2" t="inlineStr">
        <is>
          <t>217</t>
        </is>
      </c>
      <c r="B226" s="2" t="inlineStr">
        <is>
          <t>CC-085</t>
        </is>
      </c>
      <c r="C226" s="2" t="inlineStr">
        <is>
          <t>Malta would need 4.7m tourists a year if planned hotels are built</t>
        </is>
      </c>
      <c r="D226" s="2" t="inlineStr">
        <is>
          <t>Newsbook</t>
        </is>
      </c>
      <c r="E226" s="2" t="inlineStr">
        <is>
          <t>n/d</t>
        </is>
      </c>
      <c r="F226" s="2" t="inlineStr">
        <is>
          <t>News / locator</t>
        </is>
      </c>
      <c r="G226" s="2" t="inlineStr">
        <is>
          <t>Industry claim.</t>
        </is>
      </c>
      <c r="H226" s="5" t="inlineStr">
        <is>
          <t>https://newsbook.com.mt/en/malta-would-need-4-7m-tourists-a-year-if-planned-hotels-are-built/</t>
        </is>
      </c>
    </row>
    <row r="227">
      <c r="A227" s="2" t="inlineStr">
        <is>
          <t>218</t>
        </is>
      </c>
      <c r="B227" s="2" t="inlineStr">
        <is>
          <t>CC-086</t>
        </is>
      </c>
      <c r="C227" s="2" t="inlineStr">
        <is>
          <t>Watch: No More Vans? Ian Borg Pledges Major Comino Kiosk Revamp</t>
        </is>
      </c>
      <c r="D227" s="2" t="inlineStr">
        <is>
          <t>Lovin Malta</t>
        </is>
      </c>
      <c r="E227" s="2" t="inlineStr">
        <is>
          <t>Feb 2025</t>
        </is>
      </c>
      <c r="F227" s="2" t="inlineStr">
        <is>
          <t>News / locator</t>
        </is>
      </c>
      <c r="G227" s="2" t="inlineStr">
        <is>
          <t>Locates the pledge.</t>
        </is>
      </c>
      <c r="H227" s="5" t="inlineStr">
        <is>
          <t>https://lovinmalta.com/news/watch-no-more-vans-ian-borg-pledges-major-comino-kiosk-revamp/</t>
        </is>
      </c>
    </row>
    <row r="228">
      <c r="A228" s="2" t="inlineStr">
        <is>
          <t>219</t>
        </is>
      </c>
      <c r="B228" s="2" t="inlineStr">
        <is>
          <t>CC-087</t>
        </is>
      </c>
      <c r="C228" s="2" t="inlineStr">
        <is>
          <t>Malta to clamp down on unlicensed Airbnb rentals with three-year ban</t>
        </is>
      </c>
      <c r="D228" s="2" t="inlineStr">
        <is>
          <t>The Shift News</t>
        </is>
      </c>
      <c r="E228" s="2" t="inlineStr">
        <is>
          <t>11 Nov 2025</t>
        </is>
      </c>
      <c r="F228" s="2" t="inlineStr">
        <is>
          <t>News / locator</t>
        </is>
      </c>
      <c r="G228" s="2" t="inlineStr">
        <is>
          <t>Locates the PQ figure.</t>
        </is>
      </c>
      <c r="H228" s="5" t="inlineStr">
        <is>
          <t>https://theshiftnews.com/2025/11/11/malta-to-clamp-down-on-unlicensed-airbnb-rentals-with-three-year-ban/</t>
        </is>
      </c>
    </row>
    <row r="229">
      <c r="A229" s="2" t="inlineStr">
        <is>
          <t>220</t>
        </is>
      </c>
      <c r="B229" s="2" t="inlineStr">
        <is>
          <t>CC-088</t>
        </is>
      </c>
      <c r="C229" s="2" t="inlineStr">
        <is>
          <t>Malta's population rose to 588,254 by end 2025: NSO</t>
        </is>
      </c>
      <c r="D229" s="2" t="inlineStr">
        <is>
          <t>MaltaToday</t>
        </is>
      </c>
      <c r="E229" s="2" t="inlineStr">
        <is>
          <t>Jul 2026</t>
        </is>
      </c>
      <c r="F229" s="2" t="inlineStr">
        <is>
          <t>News / locator</t>
        </is>
      </c>
      <c r="G229" s="2" t="inlineStr">
        <is>
          <t>Locates the NSO release.</t>
        </is>
      </c>
      <c r="H229" s="5" t="inlineStr">
        <is>
          <t>https://www.maltatoday.com.mt/news/national/143059/maltas_population_rose_to_588254_by_end_2025_nso</t>
        </is>
      </c>
    </row>
    <row r="230">
      <c r="A230" s="2" t="inlineStr">
        <is>
          <t>221</t>
        </is>
      </c>
      <c r="B230" s="2" t="inlineStr">
        <is>
          <t>CC-089 / 099</t>
        </is>
      </c>
      <c r="C230" s="2" t="inlineStr">
        <is>
          <t>Malta's rapid population growth creates urgent need to focus on the country's infrastructure demands for the future</t>
        </is>
      </c>
      <c r="D230" s="2" t="inlineStr">
        <is>
          <t>The Malta Chamber</t>
        </is>
      </c>
      <c r="E230" s="2" t="inlineStr">
        <is>
          <t>22 Jul 2026</t>
        </is>
      </c>
      <c r="F230" s="2" t="inlineStr">
        <is>
          <t>Primary statement</t>
        </is>
      </c>
      <c r="G230" s="2" t="inlineStr">
        <is>
          <t>PwC Malta's press release on its Summer 2026 Economic Update, posted by the Chamber (same text as Finance Malta 17 Jul, MBW 19 Jul and Mondaq 23 Jul 2026); the words are PwC's (found in the CC-099 check).</t>
        </is>
      </c>
      <c r="H230" s="5" t="inlineStr">
        <is>
          <t>https://maltachamber.org.mt/maltas-rapid-population-growth-creates-urgent-need-to-focus-on-the-countrys-infrastructure-demands-for-the-future/</t>
        </is>
      </c>
    </row>
    <row r="231">
      <c r="A231" s="2" t="inlineStr">
        <is>
          <t>222</t>
        </is>
      </c>
      <c r="B231" s="2" t="inlineStr">
        <is>
          <t>CC-090</t>
        </is>
      </c>
      <c r="C231" s="2" t="inlineStr">
        <is>
          <t>At least 20 heat-linked deaths recorded in Malta during July heatwave</t>
        </is>
      </c>
      <c r="D231" s="2" t="inlineStr">
        <is>
          <t>Newsbook</t>
        </is>
      </c>
      <c r="E231" s="2" t="inlineStr">
        <is>
          <t>13 Aug 2026</t>
        </is>
      </c>
      <c r="F231" s="2" t="inlineStr">
        <is>
          <t>News / locator</t>
        </is>
      </c>
      <c r="G231" s="2" t="inlineStr">
        <is>
          <t>Locates the figure.</t>
        </is>
      </c>
      <c r="H231" s="5" t="inlineStr">
        <is>
          <t>https://newsbook.com.mt/en/at-least-20-heat-linked-deaths-recorded-in-malta-during-july-heatwave/</t>
        </is>
      </c>
    </row>
    <row r="232">
      <c r="A232" s="2" t="inlineStr">
        <is>
          <t>223</t>
        </is>
      </c>
      <c r="B232" s="2" t="inlineStr">
        <is>
          <t>CC-091</t>
        </is>
      </c>
      <c r="C232" s="2" t="inlineStr">
        <is>
          <t>Nine workers die on the job in 2025 as OHSA inspections more than double</t>
        </is>
      </c>
      <c r="D232" s="2" t="inlineStr">
        <is>
          <t>MaltaToday</t>
        </is>
      </c>
      <c r="E232" s="2" t="inlineStr">
        <is>
          <t>2026</t>
        </is>
      </c>
      <c r="F232" s="2" t="inlineStr">
        <is>
          <t>News / locator</t>
        </is>
      </c>
      <c r="G232" s="2" t="inlineStr">
        <is>
          <t>Locates the claims.</t>
        </is>
      </c>
      <c r="H232" s="5" t="inlineStr">
        <is>
          <t>https://www.maltatoday.com.mt/news/national/142928/nine_workers_die_on_the_job_in_2025_as_ohsa_inspections_more_than_double</t>
        </is>
      </c>
    </row>
    <row r="233">
      <c r="A233" s="2" t="inlineStr">
        <is>
          <t>224</t>
        </is>
      </c>
      <c r="B233" s="2" t="inlineStr">
        <is>
          <t>CC-092</t>
        </is>
      </c>
      <c r="C233" s="2" t="inlineStr">
        <is>
          <t>PN published its manifesto: Here is a breakdown</t>
        </is>
      </c>
      <c r="D233" s="2" t="inlineStr">
        <is>
          <t>MaltaToday</t>
        </is>
      </c>
      <c r="E233" s="2" t="inlineStr">
        <is>
          <t>May 2026</t>
        </is>
      </c>
      <c r="F233" s="2" t="inlineStr">
        <is>
          <t>News / locator</t>
        </is>
      </c>
      <c r="G233" s="2" t="inlineStr">
        <is>
          <t>Opposition pledge.</t>
        </is>
      </c>
      <c r="H233" s="5" t="inlineStr">
        <is>
          <t>https://www.maltatoday.com.mt/news/election-2026/142040/pn_published_its_manifesto_here_is_a_breakdown</t>
        </is>
      </c>
    </row>
    <row r="234">
      <c r="A234" s="2" t="inlineStr">
        <is>
          <t>225</t>
        </is>
      </c>
      <c r="B234" s="2" t="inlineStr">
        <is>
          <t>CC-093</t>
        </is>
      </c>
      <c r="C234" s="2" t="inlineStr">
        <is>
          <t>PN published its manifesto: Here is a breakdown</t>
        </is>
      </c>
      <c r="D234" s="2" t="inlineStr">
        <is>
          <t>MaltaToday</t>
        </is>
      </c>
      <c r="E234" s="2" t="inlineStr">
        <is>
          <t>May 2026</t>
        </is>
      </c>
      <c r="F234" s="2" t="inlineStr">
        <is>
          <t>News / locator</t>
        </is>
      </c>
      <c r="G234" s="2" t="inlineStr">
        <is>
          <t>Opposition pledge.</t>
        </is>
      </c>
      <c r="H234" s="5" t="inlineStr">
        <is>
          <t>https://www.maltatoday.com.mt/news/election-2026/142040/pn_published_its_manifesto_here_is_a_breakdown</t>
        </is>
      </c>
    </row>
    <row r="235">
      <c r="A235" s="2" t="inlineStr">
        <is>
          <t>226</t>
        </is>
      </c>
      <c r="B235" s="2" t="inlineStr">
        <is>
          <t>CC-094</t>
        </is>
      </c>
      <c r="C235" s="2" t="inlineStr">
        <is>
          <t>EU Climate Action Progress Report 2025</t>
        </is>
      </c>
      <c r="D235" s="2" t="inlineStr">
        <is>
          <t>EUR-Lex</t>
        </is>
      </c>
      <c r="E235" s="2" t="inlineStr">
        <is>
          <t>2025</t>
        </is>
      </c>
      <c r="F235" s="2" t="inlineStr">
        <is>
          <t>EU report (primary statement)</t>
        </is>
      </c>
      <c r="G235" s="2" t="inlineStr">
        <is>
          <t>Primary: the claim's verbatim wording (note to Figure 13 and section 3.2, printed pp. 30-31). EUR-Lex returns HTTP 202 (empty) to scripts; read in full for Malta via the EU Publications Office (publications.europa.eu/resource/celex/52025DC0668), 6 Oct 2026. PDF in literature/CC-094/open-access/.</t>
        </is>
      </c>
      <c r="H235" s="5" t="inlineStr">
        <is>
          <t>https://eur-lex.europa.eu/legal-content/EN/TXT/HTML/?uri=CELEX%3A52025DC0668</t>
        </is>
      </c>
    </row>
    <row r="236">
      <c r="A236" s="2" t="inlineStr">
        <is>
          <t>227</t>
        </is>
      </c>
      <c r="B236" s="2" t="inlineStr">
        <is>
          <t>CC-095</t>
        </is>
      </c>
      <c r="C236" s="2" t="inlineStr">
        <is>
          <t>Malta EUR 400m Energy Subsidies: 2027 Plan Confirmed</t>
        </is>
      </c>
      <c r="D236" s="2" t="inlineStr">
        <is>
          <t>The Malta Post</t>
        </is>
      </c>
      <c r="E236" s="2" t="inlineStr">
        <is>
          <t>2025</t>
        </is>
      </c>
      <c r="F236" s="2" t="inlineStr">
        <is>
          <t>News / locator</t>
        </is>
      </c>
      <c r="G236" s="2" t="inlineStr">
        <is>
          <t>Locator; confirm in budget documents.</t>
        </is>
      </c>
      <c r="H236" s="5" t="inlineStr">
        <is>
          <t>https://themaltapost.com/posts/malta-spends-400-million-to-keep-energy-bills-low-through-2027</t>
        </is>
      </c>
    </row>
    <row r="237">
      <c r="A237" s="2" t="inlineStr">
        <is>
          <t>228</t>
        </is>
      </c>
      <c r="B237" s="2" t="inlineStr">
        <is>
          <t>CC-096</t>
        </is>
      </c>
      <c r="C237" s="2" t="inlineStr">
        <is>
          <t>Aquaculture - from conflict to blue growth: An example of aquaculture cages re-allocation</t>
        </is>
      </c>
      <c r="D237" s="2" t="inlineStr">
        <is>
          <t>European MSP Platform</t>
        </is>
      </c>
      <c r="E237" s="2" t="inlineStr">
        <is>
          <t>n/d</t>
        </is>
      </c>
      <c r="F237" s="2" t="inlineStr">
        <is>
          <t>Primary statement</t>
        </is>
      </c>
      <c r="G237" s="2" t="inlineStr">
        <is>
          <t>Locates the relocation.</t>
        </is>
      </c>
      <c r="H237" s="5" t="inlineStr">
        <is>
          <t>https://maritime-spatial-planning.ec.europa.eu/practices/aquaculture-conflict-blue-growth-example-aquaculture-cages-re-allocation</t>
        </is>
      </c>
    </row>
    <row r="238">
      <c r="A238" s="2" t="inlineStr">
        <is>
          <t>229</t>
        </is>
      </c>
      <c r="B238" s="2" t="inlineStr">
        <is>
          <t>CC-097</t>
        </is>
      </c>
      <c r="C238" s="2" t="inlineStr">
        <is>
          <t>GWU registers industrial dispute with Securital over beach workers' heat exposure</t>
        </is>
      </c>
      <c r="D238" s="2" t="inlineStr">
        <is>
          <t>Newsbook</t>
        </is>
      </c>
      <c r="E238" s="2" t="inlineStr">
        <is>
          <t>2026</t>
        </is>
      </c>
      <c r="F238" s="2" t="inlineStr">
        <is>
          <t>News / locator</t>
        </is>
      </c>
      <c r="G238" s="2" t="inlineStr">
        <is>
          <t>Union claim.</t>
        </is>
      </c>
      <c r="H238" s="5" t="inlineStr">
        <is>
          <t>https://newsbook.com.mt/en/gwu-registers-industrial-dispute-with-securital-over-beach-workers-heat-exposure/</t>
        </is>
      </c>
    </row>
    <row r="239">
      <c r="A239" s="2" t="inlineStr">
        <is>
          <t>230</t>
        </is>
      </c>
      <c r="B239" s="2" t="inlineStr">
        <is>
          <t>CC-098</t>
        </is>
      </c>
      <c r="C239" s="2" t="inlineStr">
        <is>
          <t>Visit Malta officials filmed telling citizens to leave deckchair-occupied beach in Comino</t>
        </is>
      </c>
      <c r="D239" s="2" t="inlineStr">
        <is>
          <t>The Shift News</t>
        </is>
      </c>
      <c r="E239" s="2" t="inlineStr">
        <is>
          <t>24 Jun 2026</t>
        </is>
      </c>
      <c r="F239" s="2" t="inlineStr">
        <is>
          <t>News / locator</t>
        </is>
      </c>
      <c r="G239" s="2" t="inlineStr">
        <is>
          <t>NGO claim with video.</t>
        </is>
      </c>
      <c r="H239" s="5" t="inlineStr">
        <is>
          <t>https://theshiftnews.com/2026/06/24/visit-malta-officials-filmed-telling-citizens-to-leave-deckchair-occupied-beach-in-comino/</t>
        </is>
      </c>
    </row>
    <row r="240">
      <c r="A240" s="2" t="inlineStr">
        <is>
          <t>231</t>
        </is>
      </c>
      <c r="B240" s="2" t="inlineStr">
        <is>
          <t>CC-099</t>
        </is>
      </c>
      <c r="C240" s="2" t="inlineStr">
        <is>
          <t>Malta's demographic shift: A growing foreign workforce</t>
        </is>
      </c>
      <c r="D240" s="2" t="inlineStr">
        <is>
          <t>Malta Business Weekly</t>
        </is>
      </c>
      <c r="E240" s="2" t="inlineStr">
        <is>
          <t>2 Jun 2025</t>
        </is>
      </c>
      <c r="F240" s="2" t="inlineStr">
        <is>
          <t>News / locator</t>
        </is>
      </c>
      <c r="G240" s="2" t="inlineStr">
        <is>
          <t>Locator only: a different MBW article (Silvan Mifsud, on CBM Policy Note 1/2025) that does not contain the claim (it gives 28.1% of the population and 'just over 31%' of the working-age population); source of the CBM baseline figures as reported (second-hand). The claim is PwC's press release, posted by Finance Malta on 17 Jul 2026 and reprinted by MBW on 19 Jul 2026.</t>
        </is>
      </c>
      <c r="H240" s="5" t="inlineStr">
        <is>
          <t>https://maltabusinessweekly.com/maltas-demographic-shift-a-growing-foreign-workforce/29055/</t>
        </is>
      </c>
    </row>
    <row r="241">
      <c r="A241" s="2" t="inlineStr">
        <is>
          <t>232</t>
        </is>
      </c>
      <c r="B241" s="2" t="inlineStr">
        <is>
          <t>CC-100</t>
        </is>
      </c>
      <c r="C241" s="2" t="inlineStr">
        <is>
          <t>Facts and Figures</t>
        </is>
      </c>
      <c r="D241" s="2" t="inlineStr">
        <is>
          <t>Malta International Airport</t>
        </is>
      </c>
      <c r="E241" s="2" t="inlineStr">
        <is>
          <t>2026</t>
        </is>
      </c>
      <c r="F241" s="2" t="inlineStr">
        <is>
          <t>Primary statement</t>
        </is>
      </c>
      <c r="G241" s="2" t="inlineStr">
        <is>
          <t>Company figures.</t>
        </is>
      </c>
      <c r="H241" s="5" t="inlineStr">
        <is>
          <t>https://maltairport.com/corporate/our-airport/facts-and-figures/</t>
        </is>
      </c>
    </row>
    <row r="242">
      <c r="A242" s="2" t="inlineStr">
        <is>
          <t>233</t>
        </is>
      </c>
      <c r="B242" s="2" t="inlineStr">
        <is>
          <t>CC-022</t>
        </is>
      </c>
      <c r="C242" s="2" t="inlineStr">
        <is>
          <t>nrg_pc_204: Electricity prices for household consumers</t>
        </is>
      </c>
      <c r="D242" s="2" t="inlineStr">
        <is>
          <t>Eurostat</t>
        </is>
      </c>
      <c r="E242" s="2" t="inlineStr">
        <is>
          <t>2026</t>
        </is>
      </c>
      <c r="F242" s="2" t="inlineStr">
        <is>
          <t>Dataset</t>
        </is>
      </c>
      <c r="G242" s="2" t="inlineStr">
        <is>
          <t>data/cc-022/</t>
        </is>
      </c>
      <c r="H242" s="5" t="inlineStr">
        <is>
          <t>https://ec.europa.eu/eurostat/databrowser/view/nrg_pc_204/default/table</t>
        </is>
      </c>
    </row>
    <row r="243">
      <c r="A243" s="2" t="inlineStr">
        <is>
          <t>234</t>
        </is>
      </c>
      <c r="B243" s="2" t="inlineStr">
        <is>
          <t>CC-022; CC-113</t>
        </is>
      </c>
      <c r="C243" s="2" t="inlineStr">
        <is>
          <t>Malta: 2025 Article IV Consultation (IMF CR 26/29), energy subsidies</t>
        </is>
      </c>
      <c r="D243" s="2" t="inlineStr">
        <is>
          <t>International Monetary Fund</t>
        </is>
      </c>
      <c r="E243" s="2" t="inlineStr">
        <is>
          <t>Feb 2026</t>
        </is>
      </c>
      <c r="F243" s="2" t="inlineStr">
        <is>
          <t>Official assessment</t>
        </is>
      </c>
      <c r="G243" s="2" t="inlineStr">
        <is>
          <t>Table 2, PDF p.33 (printed p.28); doi:10.5089/9798229038249.002 (Crossref checked).</t>
        </is>
      </c>
      <c r="H243" s="5" t="inlineStr">
        <is>
          <t>https://www.imf.org/-/media/files/publications/cr/2026/english/1mltea2026001-source-pdf.pdf</t>
        </is>
      </c>
    </row>
    <row r="244">
      <c r="A244" s="2" t="inlineStr">
        <is>
          <t>235</t>
        </is>
      </c>
      <c r="B244" s="2" t="inlineStr">
        <is>
          <t>CC-051</t>
        </is>
      </c>
      <c r="C244" s="2" t="inlineStr">
        <is>
          <t>Natura 2000 sites (2024 release), Malta marine sites</t>
        </is>
      </c>
      <c r="D244" s="2" t="inlineStr">
        <is>
          <t>European Environment Agency</t>
        </is>
      </c>
      <c r="E244" s="2" t="inlineStr">
        <is>
          <t>2025</t>
        </is>
      </c>
      <c r="F244" s="2" t="inlineStr">
        <is>
          <t>Dataset</t>
        </is>
      </c>
      <c r="G244" s="2" t="inlineStr">
        <is>
          <t>data/cc-051/</t>
        </is>
      </c>
      <c r="H244" s="5" t="inlineStr">
        <is>
          <t>https://bio.discomap.eea.europa.eu/arcgis/rest/services/ProtectedSites/Natura2000Sites/MapServer</t>
        </is>
      </c>
    </row>
    <row r="245">
      <c r="A245" s="2" t="inlineStr">
        <is>
          <t>236</t>
        </is>
      </c>
      <c r="B245" s="2" t="inlineStr">
        <is>
          <t>CC-051</t>
        </is>
      </c>
      <c r="C245" s="2" t="inlineStr">
        <is>
          <t>Biodiversity Information System for Europe: Malta</t>
        </is>
      </c>
      <c r="D245" s="2" t="inlineStr">
        <is>
          <t>European Commission / EEA</t>
        </is>
      </c>
      <c r="E245" s="2" t="inlineStr">
        <is>
          <t>2026</t>
        </is>
      </c>
      <c r="F245" s="2" t="inlineStr">
        <is>
          <t>EU dataset page</t>
        </is>
      </c>
      <c r="G245" s="2" t="inlineStr">
        <is>
          <t>Marine area over 75,000 km2</t>
        </is>
      </c>
      <c r="H245" s="5" t="inlineStr">
        <is>
          <t>https://biodiversity.europa.eu/countries/malta</t>
        </is>
      </c>
    </row>
    <row r="246">
      <c r="A246" s="2" t="inlineStr">
        <is>
          <t>237</t>
        </is>
      </c>
      <c r="B246" s="2" t="inlineStr">
        <is>
          <t>CC-015</t>
        </is>
      </c>
      <c r="C246" s="2" t="inlineStr">
        <is>
          <t>Buttigieg says guiding contractors is 'my job', dodges questions on Fenech business offer</t>
        </is>
      </c>
      <c r="D246" s="2" t="inlineStr">
        <is>
          <t>Newsbook</t>
        </is>
      </c>
      <c r="E246" s="2" t="inlineStr">
        <is>
          <t>24 Sep 2026</t>
        </is>
      </c>
      <c r="F246" s="2" t="inlineStr">
        <is>
          <t>News</t>
        </is>
      </c>
      <c r="G246" s="2" t="inlineStr">
        <is>
          <t>Lead, not retrieved as verbatim: paraphrases the three-weeks remark outside quotation marks; only "in hindsight" and "to speak to contractors..." are quoted.</t>
        </is>
      </c>
      <c r="H246" s="5" t="inlineStr">
        <is>
          <t>https://newsbook.com.mt/en/buttigieg-says-guiding-contractors-is-my-job-dodges-questions-on-fenech-business-offer/</t>
        </is>
      </c>
    </row>
    <row r="247">
      <c r="A247" s="2" t="inlineStr">
        <is>
          <t>238</t>
        </is>
      </c>
      <c r="B247" s="2" t="inlineStr">
        <is>
          <t>CC-015</t>
        </is>
      </c>
      <c r="C247" s="2" t="inlineStr">
        <is>
          <t>WATCH: Protestors crash planning conference with Minister and PA Chairman</t>
        </is>
      </c>
      <c r="D247" s="2" t="inlineStr">
        <is>
          <t>The Maltese Herald</t>
        </is>
      </c>
      <c r="E247" s="2" t="inlineStr">
        <is>
          <t>24 Sep 2026</t>
        </is>
      </c>
      <c r="F247" s="2" t="inlineStr">
        <is>
          <t>News</t>
        </is>
      </c>
      <c r="G247" s="2" t="inlineStr">
        <is>
          <t>Lead, not retrieved (HTTP 403); may carry video of his words.</t>
        </is>
      </c>
      <c r="H247" s="5" t="inlineStr">
        <is>
          <t>https://themalteseherald.com/2026/09/24/watch-protestors-crash-planning-conference-with-minister-and-pa-chairman/</t>
        </is>
      </c>
    </row>
    <row r="248">
      <c r="A248" s="2" t="inlineStr">
        <is>
          <t>239</t>
        </is>
      </c>
      <c r="B248" s="2" t="inlineStr">
        <is>
          <t>CC-025</t>
        </is>
      </c>
      <c r="C248" s="2" t="inlineStr">
        <is>
          <t>Malta cuts emissions faster than EU average, report shows</t>
        </is>
      </c>
      <c r="D248" s="2" t="inlineStr">
        <is>
          <t>MaltaToday</t>
        </is>
      </c>
      <c r="E248" s="2" t="inlineStr">
        <is>
          <t>n/d</t>
        </is>
      </c>
      <c r="F248" s="2" t="inlineStr">
        <is>
          <t>News</t>
        </is>
      </c>
      <c r="G248" s="2" t="inlineStr">
        <is>
          <t>Lead, not retrieved (403): reports 44% per capita and 81.6% per GDP from an EU progress report (different speaker from the COP30 statement).</t>
        </is>
      </c>
      <c r="H248" s="5" t="inlineStr">
        <is>
          <t>https://www.maltatoday.com.mt/news/national/138271/malta_cuts_emissions_faster_than_eu_average_report_shows</t>
        </is>
      </c>
    </row>
    <row r="249">
      <c r="A249" s="2" t="inlineStr">
        <is>
          <t>240</t>
        </is>
      </c>
      <c r="B249" s="2" t="inlineStr">
        <is>
          <t>CC-101</t>
        </is>
      </c>
      <c r="C249" s="2" t="inlineStr">
        <is>
          <t>July infringements package: key decisions</t>
        </is>
      </c>
      <c r="D249" s="2" t="inlineStr">
        <is>
          <t>European Commission Representation in Malta</t>
        </is>
      </c>
      <c r="E249" s="2" t="inlineStr">
        <is>
          <t>2026-07-08</t>
        </is>
      </c>
      <c r="F249" s="2" t="inlineStr">
        <is>
          <t>Primary (read)</t>
        </is>
      </c>
      <c r="G249" s="2" t="inlineStr">
        <is>
          <t>Commission wording of the Malta item, identical to INF/26/1376; read in full 4 and 6 Oct 2026. A letter of formal notice is an opening step, not a finding by the Court.</t>
        </is>
      </c>
      <c r="H249" s="5" t="inlineStr">
        <is>
          <t>https://malta.representation.ec.europa.eu/news/july-infringements-package-key-decisions-2026-07-08_en</t>
        </is>
      </c>
    </row>
    <row r="250">
      <c r="A250" s="2" t="inlineStr">
        <is>
          <t>241</t>
        </is>
      </c>
      <c r="B250" s="2" t="inlineStr">
        <is>
          <t>CC-102</t>
        </is>
      </c>
      <c r="C250" s="2" t="inlineStr">
        <is>
          <t>Public entities ignore Ombudsman as defiance reaches record high</t>
        </is>
      </c>
      <c r="D250" s="2" t="inlineStr">
        <is>
          <t>Newsbook</t>
        </is>
      </c>
      <c r="E250" s="2" t="inlineStr">
        <is>
          <t>2026-07-02</t>
        </is>
      </c>
      <c r="F250" s="2" t="inlineStr">
        <is>
          <t>News (locator)</t>
        </is>
      </c>
      <c r="G250" s="2" t="inlineStr">
        <is>
          <t>Locator. Read 5 Oct 2026; paraphrases "sustained cases" as "justified recommendations".</t>
        </is>
      </c>
      <c r="H250" s="5" t="inlineStr">
        <is>
          <t>https://newsbook.com.mt/en/public-entities-ignore-ombudsman-as-defiance-reaches-record-high/</t>
        </is>
      </c>
    </row>
    <row r="251">
      <c r="A251" s="2" t="inlineStr">
        <is>
          <t>242</t>
        </is>
      </c>
      <c r="B251" s="2" t="inlineStr">
        <is>
          <t>CC-102</t>
        </is>
      </c>
      <c r="C251" s="2" t="inlineStr">
        <is>
          <t>Ombudsman presents 2025 Annual Report to Speaker</t>
        </is>
      </c>
      <c r="D251" s="2" t="inlineStr">
        <is>
          <t>The Malta Independent</t>
        </is>
      </c>
      <c r="E251" s="2" t="inlineStr">
        <is>
          <t>2026-06-05</t>
        </is>
      </c>
      <c r="F251" s="2" t="inlineStr">
        <is>
          <t>News (locator)</t>
        </is>
      </c>
      <c r="G251" s="2" t="inlineStr">
        <is>
          <t>Locator (HTTP 403 to automated fetch); reports the 22 escalated reports.</t>
        </is>
      </c>
      <c r="H251" s="5" t="inlineStr">
        <is>
          <t>https://www.independent.com.mt/articles/2026-06-05/local-news/Ombudsman-presents-2025-Annual-Report-to-Speaker-of-the-House-of-Representatives-6736290260</t>
        </is>
      </c>
    </row>
    <row r="252">
      <c r="A252" s="2" t="inlineStr">
        <is>
          <t>243</t>
        </is>
      </c>
      <c r="B252" s="2" t="inlineStr">
        <is>
          <t>CC-103</t>
        </is>
      </c>
      <c r="C252" s="2" t="inlineStr">
        <is>
          <t>Government refuses to disclose where heat-related deaths occurred</t>
        </is>
      </c>
      <c r="D252" s="2" t="inlineStr">
        <is>
          <t>Newsbook</t>
        </is>
      </c>
      <c r="E252" s="2" t="inlineStr">
        <is>
          <t>2026-08-26</t>
        </is>
      </c>
      <c r="F252" s="2" t="inlineStr">
        <is>
          <t>News (locator)</t>
        </is>
      </c>
      <c r="G252" s="2" t="inlineStr">
        <is>
          <t>Locator; read the FOI reply itself for the Ministry's exact wording.</t>
        </is>
      </c>
      <c r="H252" s="5" t="inlineStr">
        <is>
          <t>https://newsbook.com.mt/en/government-refuses-to-disclose-where-heat-related-deaths-occurred/</t>
        </is>
      </c>
    </row>
    <row r="253">
      <c r="A253" s="2" t="inlineStr">
        <is>
          <t>244</t>
        </is>
      </c>
      <c r="B253" s="2" t="inlineStr">
        <is>
          <t>CC-103</t>
        </is>
      </c>
      <c r="C253" s="2" t="inlineStr">
        <is>
          <t>At least 20 heat-linked deaths recorded in Malta during July heatwave</t>
        </is>
      </c>
      <c r="D253" s="2" t="inlineStr">
        <is>
          <t>Newsbook</t>
        </is>
      </c>
      <c r="E253" s="2" t="inlineStr">
        <is>
          <t>2026-08</t>
        </is>
      </c>
      <c r="F253" s="2" t="inlineStr">
        <is>
          <t>News (locator)</t>
        </is>
      </c>
      <c r="G253" s="2" t="inlineStr">
        <is>
          <t>Context: 20 of 108 deaths in week 30; about 179 emergency attendances in July, 89 needing admission or specialist care.</t>
        </is>
      </c>
      <c r="H253" s="5" t="inlineStr">
        <is>
          <t>https://newsbook.com.mt/en/at-least-20-heat-linked-deaths-recorded-in-malta-during-july-heatwave/</t>
        </is>
      </c>
    </row>
    <row r="254">
      <c r="A254" s="2" t="inlineStr">
        <is>
          <t>245</t>
        </is>
      </c>
      <c r="B254" s="2" t="inlineStr">
        <is>
          <t>CC-104</t>
        </is>
      </c>
      <c r="C254" s="2" t="inlineStr">
        <is>
          <t>EU urged to pressure Malta over noise pollution</t>
        </is>
      </c>
      <c r="D254" s="2" t="inlineStr">
        <is>
          <t>Newsbook</t>
        </is>
      </c>
      <c r="E254" s="2" t="inlineStr">
        <is>
          <t>2024-10-12</t>
        </is>
      </c>
      <c r="F254" s="2" t="inlineStr">
        <is>
          <t>News (locator)</t>
        </is>
      </c>
      <c r="G254" s="2" t="inlineStr">
        <is>
          <t>Locator for the petition. Read the petition text on the European Parliament Petitions portal.</t>
        </is>
      </c>
      <c r="H254" s="5" t="inlineStr">
        <is>
          <t>https://newsbook.com.mt/en/eu-urged-to-pressure-malta-over-noise-pollution/</t>
        </is>
      </c>
    </row>
    <row r="255">
      <c r="A255" s="2" t="inlineStr">
        <is>
          <t>246</t>
        </is>
      </c>
      <c r="B255" s="2" t="inlineStr">
        <is>
          <t>CC-105</t>
        </is>
      </c>
      <c r="C255" s="2" t="inlineStr">
        <is>
          <t>Air and noise pollution are harming our health: ADPD</t>
        </is>
      </c>
      <c r="D255" s="2" t="inlineStr">
        <is>
          <t>Newsbook</t>
        </is>
      </c>
      <c r="E255" s="2" t="inlineStr">
        <is>
          <t>2026-05-26</t>
        </is>
      </c>
      <c r="F255" s="2" t="inlineStr">
        <is>
          <t>News (locator)</t>
        </is>
      </c>
      <c r="G255" s="2" t="inlineStr">
        <is>
          <t>Locator. The article states the call for a study; read the party press statement for exact wording.</t>
        </is>
      </c>
      <c r="H255" s="5" t="inlineStr">
        <is>
          <t>https://newsbook.com.mt/en/air-and-noise-pollution-are-harming-our-health-adpd/</t>
        </is>
      </c>
    </row>
    <row r="256">
      <c r="A256" s="2" t="inlineStr">
        <is>
          <t>247</t>
        </is>
      </c>
      <c r="B256" s="2" t="inlineStr">
        <is>
          <t>CC-106</t>
        </is>
      </c>
      <c r="C256" s="2" t="inlineStr">
        <is>
          <t>LIFE Arċipelagu Garnija</t>
        </is>
      </c>
      <c r="D256" s="2" t="inlineStr">
        <is>
          <t>BirdLife Malta</t>
        </is>
      </c>
      <c r="E256" s="2" t="inlineStr">
        <is>
          <t>n/d</t>
        </is>
      </c>
      <c r="F256" s="2" t="inlineStr">
        <is>
          <t>Primary (read)</t>
        </is>
      </c>
      <c r="G256" s="2" t="inlineStr">
        <is>
          <t>Primary text read 4 Oct 2026. The page is undated; the project ran 2016-2020.</t>
        </is>
      </c>
      <c r="H256" s="5" t="inlineStr">
        <is>
          <t>https://birdlifemalta.org/arcipelagugarnija/</t>
        </is>
      </c>
    </row>
    <row r="257">
      <c r="A257" s="2" t="inlineStr">
        <is>
          <t>248</t>
        </is>
      </c>
      <c r="B257" s="2" t="inlineStr">
        <is>
          <t>CC-020</t>
        </is>
      </c>
      <c r="C257" s="2" t="inlineStr">
        <is>
          <t>Analysing Malta's implementation of Directive 2002/49/EC on the Assessment and Management of Environmental Noise (PE 783.089; Hjerp and Coffey, Ecocentric)</t>
        </is>
      </c>
      <c r="D257" s="2" t="inlineStr">
        <is>
          <t>European Parliament, Policy Department for Citizens, Equality and Culture</t>
        </is>
      </c>
      <c r="E257" s="2" t="inlineStr">
        <is>
          <t>Feb 2026</t>
        </is>
      </c>
      <c r="F257" s="2" t="inlineStr">
        <is>
          <t>EU study (full text, maintainer copy)</t>
        </is>
      </c>
      <c r="G257" s="2" t="inlineStr">
        <is>
          <t>Primary for the claim; study for the PETI committee. Opinions are the authors', not the EP's.</t>
        </is>
      </c>
      <c r="H257" s="5" t="inlineStr">
        <is>
          <t>https://doi.org/10.2861/6278624</t>
        </is>
      </c>
    </row>
    <row r="258">
      <c r="A258" s="2" t="inlineStr">
        <is>
          <t>249</t>
        </is>
      </c>
      <c r="B258" s="2" t="inlineStr">
        <is>
          <t>CC-051</t>
        </is>
      </c>
      <c r="C258" s="2" t="inlineStr">
        <is>
          <t>Maritime Boundaries Geodatabase: Maritime Boundaries and Exclusive Economic Zones (200NM), version 12</t>
        </is>
      </c>
      <c r="D258" s="2" t="inlineStr">
        <is>
          <t>Flanders Marine Institute (VLIZ)</t>
        </is>
      </c>
      <c r="E258" s="2" t="inlineStr">
        <is>
          <t>2023</t>
        </is>
      </c>
      <c r="F258" s="2" t="inlineStr">
        <is>
          <t>Dataset</t>
        </is>
      </c>
      <c r="G258" s="2" t="inlineStr">
        <is>
          <t>EEZ outline and area (52,923 km2); DataCite record checked. data/cc-051/boundaries.geojson</t>
        </is>
      </c>
      <c r="H258" s="5" t="inlineStr">
        <is>
          <t>https://doi.org/10.14284/632</t>
        </is>
      </c>
    </row>
    <row r="259">
      <c r="A259" s="2" t="inlineStr">
        <is>
          <t>250</t>
        </is>
      </c>
      <c r="B259" s="2" t="inlineStr">
        <is>
          <t>CC-051</t>
        </is>
      </c>
      <c r="C259" s="2" t="inlineStr">
        <is>
          <t>Maritime Boundaries Geodatabase: Territorial Seas (12NM), version 4</t>
        </is>
      </c>
      <c r="D259" s="2" t="inlineStr">
        <is>
          <t>Flanders Marine Institute (VLIZ)</t>
        </is>
      </c>
      <c r="E259" s="2" t="inlineStr">
        <is>
          <t>2023</t>
        </is>
      </c>
      <c r="F259" s="2" t="inlineStr">
        <is>
          <t>Dataset</t>
        </is>
      </c>
      <c r="G259" s="2" t="inlineStr">
        <is>
          <t>12-nm limit; used to rebuild the 25-nm Fisheries Management Zone from the baselines. DataCite record checked.</t>
        </is>
      </c>
      <c r="H259" s="5" t="inlineStr">
        <is>
          <t>https://doi.org/10.14284/633</t>
        </is>
      </c>
    </row>
    <row r="260">
      <c r="A260" s="2" t="inlineStr">
        <is>
          <t>251</t>
        </is>
      </c>
      <c r="B260" s="2" t="inlineStr">
        <is>
          <t>CC-051</t>
        </is>
      </c>
      <c r="C260" s="2" t="inlineStr">
        <is>
          <t>Marine waters used in Marine Strategy Framework Directive (MSFD), version 1.0 (map service)</t>
        </is>
      </c>
      <c r="D260" s="2" t="inlineStr">
        <is>
          <t>European Environment Agency</t>
        </is>
      </c>
      <c r="E260" s="2" t="inlineStr">
        <is>
          <t>2020</t>
        </is>
      </c>
      <c r="F260" s="2" t="inlineStr">
        <is>
          <t>Dataset</t>
        </is>
      </c>
      <c r="G260" s="2" t="inlineStr">
        <is>
          <t>Outline of the waters Malta reports to the EU (simplified for the web); Malta's area labelled 'Area designated for hydrocarbon exploration and exploitation'.</t>
        </is>
      </c>
      <c r="H260" s="5" t="inlineStr">
        <is>
          <t>https://water.discomap.eea.europa.eu/arcgis/rest/services/Marine/Marine_waters_EU/MapServer</t>
        </is>
      </c>
    </row>
    <row r="261">
      <c r="A261" s="2" t="inlineStr">
        <is>
          <t>252</t>
        </is>
      </c>
      <c r="B261" s="2" t="inlineStr">
        <is>
          <t>CC-051</t>
        </is>
      </c>
      <c r="C261" s="2" t="inlineStr">
        <is>
          <t>Bathymetry image service (EMODnet Bathymetry DTM)</t>
        </is>
      </c>
      <c r="D261" s="2" t="inlineStr">
        <is>
          <t>European Environment Agency / EMODnet</t>
        </is>
      </c>
      <c r="E261" s="2" t="inlineStr">
        <is>
          <t>n/d</t>
        </is>
      </c>
      <c r="F261" s="2" t="inlineStr">
        <is>
          <t>Dataset</t>
        </is>
      </c>
      <c r="G261" s="2" t="inlineStr">
        <is>
          <t>Depth grid for the depth-band analysis; data/cc-051/depth_bands.csv.</t>
        </is>
      </c>
      <c r="H261" s="5" t="inlineStr">
        <is>
          <t>https://water.discomap.eea.europa.eu/arcgis/rest/services/Marine/Bathymetry/ImageServer</t>
        </is>
      </c>
    </row>
    <row r="262">
      <c r="A262" s="2" t="inlineStr">
        <is>
          <t>253</t>
        </is>
      </c>
      <c r="B262" s="2" t="inlineStr">
        <is>
          <t>CC-051</t>
        </is>
      </c>
      <c r="C262" s="2" t="inlineStr">
        <is>
          <t>EU Biodiversity Strategy for 2030: Bringing nature back into our lives, COM(2020) 380 final</t>
        </is>
      </c>
      <c r="D262" s="2" t="inlineStr">
        <is>
          <t>European Commission</t>
        </is>
      </c>
      <c r="E262" s="2" t="inlineStr">
        <is>
          <t>2020-05-20</t>
        </is>
      </c>
      <c r="F262" s="2" t="inlineStr">
        <is>
          <t>EU policy (primary)</t>
        </is>
      </c>
      <c r="G262" s="2" t="inlineStr">
        <is>
          <t>Read 4 Oct 2026: the 30% targets 'relate to the EU as a whole'; each Member State does its 'fair share'.</t>
        </is>
      </c>
      <c r="H262" s="5" t="inlineStr">
        <is>
          <t>https://eur-lex.europa.eu/legal-content/EN/TXT/?uri=CELEX:52020DC0380</t>
        </is>
      </c>
    </row>
    <row r="263">
      <c r="A263" s="2" t="inlineStr">
        <is>
          <t>254</t>
        </is>
      </c>
      <c r="B263" s="2" t="inlineStr">
        <is>
          <t>CC-051</t>
        </is>
      </c>
      <c r="C263" s="2" t="inlineStr">
        <is>
          <t>Kunming-Montreal Global Biodiversity Framework, Target 3</t>
        </is>
      </c>
      <c r="D263" s="2" t="inlineStr">
        <is>
          <t>Convention on Biological Diversity</t>
        </is>
      </c>
      <c r="E263" s="2" t="inlineStr">
        <is>
          <t>2022</t>
        </is>
      </c>
      <c r="F263" s="2" t="inlineStr">
        <is>
          <t>International agreement (primary)</t>
        </is>
      </c>
      <c r="G263" s="2" t="inlineStr">
        <is>
          <t>Read 4 Oct 2026: 30% of coastal and marine areas through 'ecologically representative' systems of protected areas.</t>
        </is>
      </c>
      <c r="H263" s="5" t="inlineStr">
        <is>
          <t>https://www.cbd.int/gbf/targets/3</t>
        </is>
      </c>
    </row>
    <row r="264">
      <c r="A264" s="2" t="inlineStr">
        <is>
          <t>255</t>
        </is>
      </c>
      <c r="B264" s="2" t="inlineStr">
        <is>
          <t>CC-028</t>
        </is>
      </c>
      <c r="C264" s="2" t="inlineStr">
        <is>
          <t>Enemalta: Medium-voltage interruption time down by 76% since 2023</t>
        </is>
      </c>
      <c r="D264" s="2" t="inlineStr">
        <is>
          <t>TVMnews.mt</t>
        </is>
      </c>
      <c r="E264" s="2" t="inlineStr">
        <is>
          <t>2026-07-31</t>
        </is>
      </c>
      <c r="F264" s="2" t="inlineStr">
        <is>
          <t>News / locator</t>
        </is>
      </c>
      <c r="G264" s="2" t="inlineStr">
        <is>
          <t>Read 5 Oct 2026: paraphrases Enemalta (76% vs 2023, EUR 141m, 663 to 741 MW); no quotation marks on the 76% figure. Not evidence.</t>
        </is>
      </c>
      <c r="H264" s="5" t="inlineStr">
        <is>
          <t>https://tvmnews.mt/en/news/enemalta-medium-voltage-interruption-time-down-by-76-since-2023/</t>
        </is>
      </c>
    </row>
    <row r="265">
      <c r="A265" s="2" t="inlineStr">
        <is>
          <t>256</t>
        </is>
      </c>
      <c r="B265" s="2" t="inlineStr">
        <is>
          <t>CC-028</t>
        </is>
      </c>
      <c r="C265" s="2" t="inlineStr">
        <is>
          <t>Enemalta refuses to give electricity outage breakdown, cites 76% drop in downtime</t>
        </is>
      </c>
      <c r="D265" s="2" t="inlineStr">
        <is>
          <t>MaltaToday</t>
        </is>
      </c>
      <c r="E265" s="2" t="inlineStr">
        <is>
          <t>2026</t>
        </is>
      </c>
      <c r="F265" s="2" t="inlineStr">
        <is>
          <t>News / locator</t>
        </is>
      </c>
      <c r="G265" s="2" t="inlineStr">
        <is>
          <t>Lead, not retrieved (403 Cloudflare). May hold direct wording and the metric used.</t>
        </is>
      </c>
      <c r="H265" s="5" t="inlineStr">
        <is>
          <t>https://www.maltatoday.com.mt/news/national/143596/enemalta_refuses_to_give_electricity_outage_breakdown_cites_76_drop_in_downtime_</t>
        </is>
      </c>
    </row>
    <row r="266">
      <c r="A266" s="2" t="inlineStr">
        <is>
          <t>257</t>
        </is>
      </c>
      <c r="B266" s="2" t="inlineStr">
        <is>
          <t>CC-028</t>
        </is>
      </c>
      <c r="C266" s="2" t="inlineStr">
        <is>
          <t>Reduced downtime shows distribution investment is reaping results, Enemalta tells social partners</t>
        </is>
      </c>
      <c r="D266" s="2" t="inlineStr">
        <is>
          <t>MaltaToday</t>
        </is>
      </c>
      <c r="E266" s="2" t="inlineStr">
        <is>
          <t>2026-07-31</t>
        </is>
      </c>
      <c r="F266" s="2" t="inlineStr">
        <is>
          <t>News / locator</t>
        </is>
      </c>
      <c r="G266" s="2" t="inlineStr">
        <is>
          <t>Lead, not retrieved (403 Cloudflare).</t>
        </is>
      </c>
      <c r="H266" s="5" t="inlineStr">
        <is>
          <t>https://www.maltatoday.com.mt/news/national/143550/reduced_downtime_shows_distribution_investment_is_reaping_results_enemalta_tells_social_partners_</t>
        </is>
      </c>
    </row>
    <row r="267">
      <c r="A267" s="2" t="inlineStr">
        <is>
          <t>258</t>
        </is>
      </c>
      <c r="B267" s="2" t="inlineStr">
        <is>
          <t>CC-031</t>
        </is>
      </c>
      <c r="C267" s="2" t="inlineStr">
        <is>
          <t>Gozo's bus fleet is now 100% electric after EUR 11 million investment</t>
        </is>
      </c>
      <c r="D267" s="2" t="inlineStr">
        <is>
          <t>The Malta Independent</t>
        </is>
      </c>
      <c r="E267" s="2" t="inlineStr">
        <is>
          <t>2026-05-27</t>
        </is>
      </c>
      <c r="F267" s="2" t="inlineStr">
        <is>
          <t>News / locator</t>
        </is>
      </c>
      <c r="G267" s="2" t="inlineStr">
        <is>
          <t>Lead, not retrieved (403 Cloudflare). Tests the fleet sub-claim; check Transport Malta fleet page.</t>
        </is>
      </c>
      <c r="H267" s="5" t="inlineStr">
        <is>
          <t>https://www.independent.com.mt/articles/2026-05-27/local-news/Gozo-s-bus-fleet-is-now-100-electric-after-11-million-investment-6736290059</t>
        </is>
      </c>
    </row>
    <row r="268">
      <c r="A268" s="2" t="inlineStr">
        <is>
          <t>259</t>
        </is>
      </c>
      <c r="B268" s="2" t="inlineStr">
        <is>
          <t>CC-031</t>
        </is>
      </c>
      <c r="C268" s="2" t="inlineStr">
        <is>
          <t>Bus Fleet Electrification</t>
        </is>
      </c>
      <c r="D268" s="2" t="inlineStr">
        <is>
          <t>Transport Malta</t>
        </is>
      </c>
      <c r="E268" s="2" t="inlineStr">
        <is>
          <t>n/d</t>
        </is>
      </c>
      <c r="F268" s="2" t="inlineStr">
        <is>
          <t>Regulator (primary)</t>
        </is>
      </c>
      <c r="G268" s="2" t="inlineStr">
        <is>
          <t>Lead, not retrieved.</t>
        </is>
      </c>
      <c r="H268" s="5" t="inlineStr">
        <is>
          <t>https://www.transport.gov.mt/land/public-transport/bus-service/bus-fleet-electrification-7774</t>
        </is>
      </c>
    </row>
    <row r="269">
      <c r="A269" s="2" t="inlineStr">
        <is>
          <t>260</t>
        </is>
      </c>
      <c r="B269" s="2" t="inlineStr">
        <is>
          <t>CC-031</t>
        </is>
      </c>
      <c r="C269" s="2" t="inlineStr">
        <is>
          <t>Gozo seeks experts to set target date for climate neutrality</t>
        </is>
      </c>
      <c r="D269" s="2" t="inlineStr">
        <is>
          <t>MaltaToday</t>
        </is>
      </c>
      <c r="E269" s="2" t="inlineStr">
        <is>
          <t>n/d</t>
        </is>
      </c>
      <c r="F269" s="2" t="inlineStr">
        <is>
          <t>News / locator</t>
        </is>
      </c>
      <c r="G269" s="2" t="inlineStr">
        <is>
          <t>Lead, not retrieved (403). Tender for the plan: target date and baseline.</t>
        </is>
      </c>
      <c r="H269" s="5" t="inlineStr">
        <is>
          <t>https://www.maltatoday.com.mt/environment/planning/131454/gozo_seeks_experts_to_set_target_date_for_climate_neutrality</t>
        </is>
      </c>
    </row>
    <row r="270">
      <c r="A270" s="2" t="inlineStr">
        <is>
          <t>261</t>
        </is>
      </c>
      <c r="B270" s="2" t="inlineStr">
        <is>
          <t>CC-024</t>
        </is>
      </c>
      <c r="C270" s="2" t="inlineStr">
        <is>
          <t>Malta plans 25 pc renewables by 2030, climate neutrality by 2050 (IANS wire)</t>
        </is>
      </c>
      <c r="D270" s="2" t="inlineStr">
        <is>
          <t>The Hans India</t>
        </is>
      </c>
      <c r="E270" s="2" t="inlineStr">
        <is>
          <t>25 Oct 2024</t>
        </is>
      </c>
      <c r="F270" s="2" t="inlineStr">
        <is>
          <t>News / locator</t>
        </is>
      </c>
      <c r="G270" s="2" t="inlineStr">
        <is>
          <t>Retrieved 2026-10-05; wire paraphrase of 25% outside quotation marks, no speaker quote.</t>
        </is>
      </c>
      <c r="H270" s="5" t="inlineStr">
        <is>
          <t>https://www.thehansindia.com/news/international/malta-plans-25-pc-renewables-by-2030-climate-neutrality-by-2050-916963</t>
        </is>
      </c>
    </row>
    <row r="271">
      <c r="A271" s="2" t="inlineStr">
        <is>
          <t>262</t>
        </is>
      </c>
      <c r="B271" s="2" t="inlineStr">
        <is>
          <t>CC-024</t>
        </is>
      </c>
      <c r="C271" s="2" t="inlineStr">
        <is>
          <t>Malta aiming to increase renewable energy share to 25% by 2030 with offshore wind farms favoured</t>
        </is>
      </c>
      <c r="D271" s="2" t="inlineStr">
        <is>
          <t>The Malta Independent</t>
        </is>
      </c>
      <c r="E271" s="2" t="inlineStr">
        <is>
          <t>24 Oct 2024</t>
        </is>
      </c>
      <c r="F271" s="2" t="inlineStr">
        <is>
          <t>News / locator</t>
        </is>
      </c>
      <c r="G271" s="2" t="inlineStr">
        <is>
          <t>Lead, not retrieved (403).</t>
        </is>
      </c>
      <c r="H271" s="5" t="inlineStr">
        <is>
          <t>https://www.independent.com.mt/articles/2024-10-24/local-news/Malta-aiming-to-increase-renewable-energy-share-to-25-by-2030-with-offshore-wind-farms-favoured-6736265175</t>
        </is>
      </c>
    </row>
    <row r="272">
      <c r="A272" s="2" t="inlineStr">
        <is>
          <t>263</t>
        </is>
      </c>
      <c r="B272" s="2" t="inlineStr">
        <is>
          <t>CC-026</t>
        </is>
      </c>
      <c r="C272" s="2" t="inlineStr">
        <is>
          <t>EU economy greenhouse gas emissions: -17% since 2015</t>
        </is>
      </c>
      <c r="D272" s="2" t="inlineStr">
        <is>
          <t>Eurostat</t>
        </is>
      </c>
      <c r="E272" s="2" t="inlineStr">
        <is>
          <t>16 Jun 2026</t>
        </is>
      </c>
      <c r="F272" s="2" t="inlineStr">
        <is>
          <t>Official statistics (primary)</t>
        </is>
      </c>
      <c r="G272" s="2" t="inlineStr">
        <is>
          <t>Retrieved 5 Oct 2026. Malta +169.4%.</t>
        </is>
      </c>
      <c r="H272" s="5" t="inlineStr">
        <is>
          <t>https://ec.europa.eu/eurostat/web/products-eurostat-news/w/ddn-20260616-2</t>
        </is>
      </c>
    </row>
    <row r="273">
      <c r="A273" s="2" t="inlineStr">
        <is>
          <t>264</t>
        </is>
      </c>
      <c r="B273" s="2" t="inlineStr">
        <is>
          <t>CC-026; CC-114</t>
        </is>
      </c>
      <c r="C273" s="2" t="inlineStr">
        <is>
          <t>Air emissions accounts by NACE Rev. 2 activity (env_ac_ainah_r2)</t>
        </is>
      </c>
      <c r="D273" s="2" t="inlineStr">
        <is>
          <t>Eurostat</t>
        </is>
      </c>
      <c r="E273" s="2" t="inlineStr">
        <is>
          <t>updated 7 Aug 2026</t>
        </is>
      </c>
      <c r="F273" s="2" t="inlineStr">
        <is>
          <t>Official statistics (primary)</t>
        </is>
      </c>
      <c r="G273" s="2" t="inlineStr">
        <is>
          <t>Retrieved 5 Oct 2026 via API; data/cc-026/.</t>
        </is>
      </c>
      <c r="H273" s="5" t="inlineStr">
        <is>
          <t>https://ec.europa.eu/eurostat/databrowser/view/env_ac_ainah_r2/</t>
        </is>
      </c>
    </row>
    <row r="274">
      <c r="A274" s="2" t="inlineStr">
        <is>
          <t>265</t>
        </is>
      </c>
      <c r="B274" s="2" t="inlineStr">
        <is>
          <t>CC-026</t>
        </is>
      </c>
      <c r="C274" s="2" t="inlineStr">
        <is>
          <t>Greenhouse gas emissions by source sector (env_air_gge)</t>
        </is>
      </c>
      <c r="D274" s="2" t="inlineStr">
        <is>
          <t>Eurostat</t>
        </is>
      </c>
      <c r="E274" s="2" t="inlineStr">
        <is>
          <t>updated 2 Jun 2026</t>
        </is>
      </c>
      <c r="F274" s="2" t="inlineStr">
        <is>
          <t>Official statistics (primary)</t>
        </is>
      </c>
      <c r="G274" s="2" t="inlineStr">
        <is>
          <t>Retrieved 5 Oct 2026 via API; UNFCCC inventory, territorial.</t>
        </is>
      </c>
      <c r="H274" s="5" t="inlineStr">
        <is>
          <t>https://ec.europa.eu/eurostat/databrowser/view/env_air_gge/</t>
        </is>
      </c>
    </row>
    <row r="275">
      <c r="A275" s="2" t="inlineStr">
        <is>
          <t>266</t>
        </is>
      </c>
      <c r="B275" s="2" t="inlineStr">
        <is>
          <t>CC-026</t>
        </is>
      </c>
      <c r="C275" s="2" t="inlineStr">
        <is>
          <t>Reference metadata, env_ac_ainah_r2</t>
        </is>
      </c>
      <c r="D275" s="2" t="inlineStr">
        <is>
          <t>Eurostat</t>
        </is>
      </c>
      <c r="E275" s="2" t="inlineStr">
        <is>
          <t>n/d</t>
        </is>
      </c>
      <c r="F275" s="2" t="inlineStr">
        <is>
          <t>Regulator (primary)</t>
        </is>
      </c>
      <c r="G275" s="2" t="inlineStr">
        <is>
          <t>Read 5 Oct 2026: residence principle.</t>
        </is>
      </c>
      <c r="H275" s="5" t="inlineStr">
        <is>
          <t>https://ec.europa.eu/eurostat/cache/metadata/EN/env_ac_ainah_r2_simsae_dk.htm</t>
        </is>
      </c>
    </row>
    <row r="276">
      <c r="A276" s="2" t="inlineStr">
        <is>
          <t>267</t>
        </is>
      </c>
      <c r="B276" s="2" t="inlineStr">
        <is>
          <t>CC-020</t>
        </is>
      </c>
      <c r="C276" s="2" t="inlineStr">
        <is>
          <t>Eurostat ilc_mddw01: Noise from neighbours or from the street (EU-SILC)</t>
        </is>
      </c>
      <c r="D276" s="2" t="inlineStr">
        <is>
          <t>Eurostat</t>
        </is>
      </c>
      <c r="E276" s="2" t="inlineStr">
        <is>
          <t>retrieved 5 Oct 2026</t>
        </is>
      </c>
      <c r="F276" s="2" t="inlineStr">
        <is>
          <t>Official statistics (primary)</t>
        </is>
      </c>
      <c r="G276" s="2" t="inlineStr">
        <is>
          <t>Used in the check; self-reported, all noise sources.</t>
        </is>
      </c>
      <c r="H276" s="5" t="inlineStr">
        <is>
          <t>https://ec.europa.eu/eurostat/databrowser/view/ilc_mddw01</t>
        </is>
      </c>
    </row>
    <row r="277">
      <c r="A277" s="2" t="inlineStr">
        <is>
          <t>268</t>
        </is>
      </c>
      <c r="B277" s="2" t="inlineStr">
        <is>
          <t>CC-020</t>
        </is>
      </c>
      <c r="C277" s="2" t="inlineStr">
        <is>
          <t>Auditory and non-auditory effects of noise on health (Basner et al., Lancet 2014; doi:10.1016/S0140-6736(13)61613-X)</t>
        </is>
      </c>
      <c r="D277" s="2" t="inlineStr">
        <is>
          <t>The Lancet</t>
        </is>
      </c>
      <c r="E277" s="2" t="inlineStr">
        <is>
          <t>2014</t>
        </is>
      </c>
      <c r="F277" s="2" t="inlineStr">
        <is>
          <t>Peer-reviewed</t>
        </is>
      </c>
      <c r="G277" s="2" t="inlineStr">
        <is>
          <t>DOI verified in Crossref; no abstract available, background only.</t>
        </is>
      </c>
      <c r="H277" s="5" t="inlineStr">
        <is>
          <t>https://doi.org/10.1016/S0140-6736(13)61613-X</t>
        </is>
      </c>
    </row>
    <row r="278">
      <c r="A278" s="2" t="inlineStr">
        <is>
          <t>269</t>
        </is>
      </c>
      <c r="B278" s="2" t="inlineStr">
        <is>
          <t>CC-020</t>
        </is>
      </c>
      <c r="C278" s="2" t="inlineStr">
        <is>
          <t>WHO Environmental Noise Guidelines for the European Region: annoyance review (Guski et al., IJERPH 2017; doi:10.3390/ijerph14121539)</t>
        </is>
      </c>
      <c r="D278" s="2" t="inlineStr">
        <is>
          <t>IJERPH</t>
        </is>
      </c>
      <c r="E278" s="2" t="inlineStr">
        <is>
          <t>2017</t>
        </is>
      </c>
      <c r="F278" s="2" t="inlineStr">
        <is>
          <t>Peer-reviewed</t>
        </is>
      </c>
      <c r="G278" s="2" t="inlineStr">
        <is>
          <t>Open access; abstract read.</t>
        </is>
      </c>
      <c r="H278" s="5" t="inlineStr">
        <is>
          <t>https://doi.org/10.3390/ijerph14121539</t>
        </is>
      </c>
    </row>
    <row r="279">
      <c r="A279" s="2" t="inlineStr">
        <is>
          <t>270</t>
        </is>
      </c>
      <c r="B279" s="2" t="inlineStr">
        <is>
          <t>CC-020</t>
        </is>
      </c>
      <c r="C279" s="2" t="inlineStr">
        <is>
          <t>WHO Environmental Noise Guidelines for the European Region: cardiovascular and metabolic review (van Kempen et al., IJERPH 2018; doi:10.3390/ijerph15020379)</t>
        </is>
      </c>
      <c r="D279" s="2" t="inlineStr">
        <is>
          <t>IJERPH</t>
        </is>
      </c>
      <c r="E279" s="2" t="inlineStr">
        <is>
          <t>2018</t>
        </is>
      </c>
      <c r="F279" s="2" t="inlineStr">
        <is>
          <t>Peer-reviewed</t>
        </is>
      </c>
      <c r="G279" s="2" t="inlineStr">
        <is>
          <t>Open access; abstract read.</t>
        </is>
      </c>
      <c r="H279" s="5" t="inlineStr">
        <is>
          <t>https://doi.org/10.3390/ijerph15020379</t>
        </is>
      </c>
    </row>
    <row r="280">
      <c r="A280" s="2" t="inlineStr">
        <is>
          <t>271</t>
        </is>
      </c>
      <c r="B280" s="2" t="inlineStr">
        <is>
          <t>CC-020</t>
        </is>
      </c>
      <c r="C280" s="2" t="inlineStr">
        <is>
          <t>Public Consultation Submissions and Responses, Noise Action Plan for Malta (Annex I)</t>
        </is>
      </c>
      <c r="D280" s="2" t="inlineStr">
        <is>
          <t>Environment and Resources Authority</t>
        </is>
      </c>
      <c r="E280" s="2" t="inlineStr">
        <is>
          <t>2023</t>
        </is>
      </c>
      <c r="F280" s="2" t="inlineStr">
        <is>
          <t>Regulator (primary)</t>
        </is>
      </c>
      <c r="G280" s="2" t="inlineStr">
        <is>
          <t>Lead, not retrieved: source of the 21% vs 9% survey figure; site returned 403 to scripts on 5 Oct 2026.</t>
        </is>
      </c>
      <c r="H280" s="5" t="inlineStr">
        <is>
          <t>https://era.org.mt/wp-content/uploads/2023/12/Annex-I_Noise-Action-Plan-submissions-and-responses_Final.pdf</t>
        </is>
      </c>
    </row>
    <row r="281">
      <c r="A281" s="2" t="inlineStr">
        <is>
          <t>272</t>
        </is>
      </c>
      <c r="B281" s="2" t="inlineStr">
        <is>
          <t>CC-005</t>
        </is>
      </c>
      <c r="C281" s="2" t="inlineStr">
        <is>
          <t>WISE Bathing Water Directive dataset, Malta seasons 2022-2024</t>
        </is>
      </c>
      <c r="D281" s="2" t="inlineStr">
        <is>
          <t>European Environment Agency</t>
        </is>
      </c>
      <c r="E281" s="2" t="inlineStr">
        <is>
          <t>retrieved 2026-10-05</t>
        </is>
      </c>
      <c r="F281" s="2" t="inlineStr">
        <is>
          <t>Official dataset</t>
        </is>
      </c>
      <c r="G281" s="2" t="inlineStr">
        <is>
          <t>Malta-reported data compiled by the EEA; 2023: 80/3/4 and 2,021 samples; the same query reproduces the 2024 factsheet's 2,107. data/cc-005/eea_bwd_mt_seasons.csv</t>
        </is>
      </c>
      <c r="H281" s="5" t="inlineStr">
        <is>
          <t>https://discodata.eea.europa.eu/sql</t>
        </is>
      </c>
    </row>
    <row r="282">
      <c r="A282" s="2" t="inlineStr">
        <is>
          <t>273</t>
        </is>
      </c>
      <c r="B282" s="2" t="inlineStr">
        <is>
          <t>CC-005</t>
        </is>
      </c>
      <c r="C282" s="2" t="inlineStr">
        <is>
          <t>2025 Environmental Implementation Review Country Report - Malta, SWD(2025) 318 final</t>
        </is>
      </c>
      <c r="D282" s="2" t="inlineStr">
        <is>
          <t>European Commission</t>
        </is>
      </c>
      <c r="E282" s="2" t="inlineStr">
        <is>
          <t>2025-07-07</t>
        </is>
      </c>
      <c r="F282" s="2" t="inlineStr">
        <is>
          <t>Official report</t>
        </is>
      </c>
      <c r="G282" s="2" t="inlineStr">
        <is>
          <t>Full staff working document; dates the 92% to 2023 (80 of 87); worded differently from the quoted summary page.</t>
        </is>
      </c>
      <c r="H282" s="5" t="inlineStr">
        <is>
          <t>https://eur-lex.europa.eu/legal-content/EN/TXT/?uri=CELEX:52025SC0318</t>
        </is>
      </c>
    </row>
    <row r="283">
      <c r="A283" s="2" t="inlineStr">
        <is>
          <t>274</t>
        </is>
      </c>
      <c r="B283" s="2" t="inlineStr">
        <is>
          <t>CC-009</t>
        </is>
      </c>
      <c r="C283" s="2" t="inlineStr">
        <is>
          <t>WISE WFD groundwater bodies, 3rd RBMP (WFD2022_GroundWaterBody_WM, layer 0)</t>
        </is>
      </c>
      <c r="D283" s="2" t="inlineStr">
        <is>
          <t>European Environment Agency</t>
        </is>
      </c>
      <c r="E283" s="2" t="inlineStr">
        <is>
          <t>retrieved 2026-10-05</t>
        </is>
      </c>
      <c r="F283" s="2" t="inlineStr">
        <is>
          <t>Official dataset</t>
        </is>
      </c>
      <c r="G283" s="2" t="inlineStr">
        <is>
          <t>Malta's 3rd-cycle reporting, status assessed 2021: 4/15 poor quantitatively, 15/15 poor chemically.</t>
        </is>
      </c>
      <c r="H283" s="5" t="inlineStr">
        <is>
          <t>https://water.discomap.eea.europa.eu/arcgis/rest/services/WISE_WFD/WFD2022_GroundWaterBody_WM/MapServer/0</t>
        </is>
      </c>
    </row>
    <row r="284">
      <c r="A284" s="2" t="inlineStr">
        <is>
          <t>275</t>
        </is>
      </c>
      <c r="B284" s="2" t="inlineStr">
        <is>
          <t>CC-009</t>
        </is>
      </c>
      <c r="C284" s="2" t="inlineStr">
        <is>
          <t>WISE WFD groundwater bodies, 2nd RBMP (WFD2016_GroundWaterBody_WM, layer 0)</t>
        </is>
      </c>
      <c r="D284" s="2" t="inlineStr">
        <is>
          <t>European Environment Agency</t>
        </is>
      </c>
      <c r="E284" s="2" t="inlineStr">
        <is>
          <t>retrieved 2026-10-05</t>
        </is>
      </c>
      <c r="F284" s="2" t="inlineStr">
        <is>
          <t>Official dataset</t>
        </is>
      </c>
      <c r="G284" s="2" t="inlineStr">
        <is>
          <t>Malta's 2nd-cycle reporting, status assessed 2010-2014: 2/15 poor quantitatively, 12/15 poor chemically.</t>
        </is>
      </c>
      <c r="H284" s="5" t="inlineStr">
        <is>
          <t>https://water.discomap.eea.europa.eu/arcgis/rest/services/WISE_WFD/WFD2016_GroundWaterBody_WM/MapServer/0</t>
        </is>
      </c>
    </row>
    <row r="285">
      <c r="A285" s="2" t="inlineStr">
        <is>
          <t>276</t>
        </is>
      </c>
      <c r="B285" s="2" t="inlineStr">
        <is>
          <t>CC-022</t>
        </is>
      </c>
      <c r="C285" s="2" t="inlineStr">
        <is>
          <t>nrg_pc_204: household electricity prices, all consumption bands (PPS) and Malta band DC series 2012-2025</t>
        </is>
      </c>
      <c r="D285" s="2" t="inlineStr">
        <is>
          <t>Eurostat</t>
        </is>
      </c>
      <c r="E285" s="2" t="inlineStr">
        <is>
          <t>retrieved 2026-10-05</t>
        </is>
      </c>
      <c r="F285" s="2" t="inlineStr">
        <is>
          <t>Dataset (API)</t>
        </is>
      </c>
      <c r="G285" s="2" t="inlineStr">
        <is>
          <t>Official statistics; status flags recorded (Malta 2025-S2 provisional); data/cc-022/eurostat_prices_bands.csv, eurostat_prices_mt_history.csv</t>
        </is>
      </c>
      <c r="H285" s="5" t="inlineStr">
        <is>
          <t>https://ec.europa.eu/eurostat/databrowser/view/nrg_pc_204/default/table</t>
        </is>
      </c>
    </row>
    <row r="286">
      <c r="A286" s="2" t="inlineStr">
        <is>
          <t>277</t>
        </is>
      </c>
      <c r="B286" s="2" t="inlineStr">
        <is>
          <t>CC-013; CC-018</t>
        </is>
      </c>
      <c r="C286" s="2" t="inlineStr">
        <is>
          <t>ilc_lvho07a: Housing cost overburden rate (with status flags)</t>
        </is>
      </c>
      <c r="D286" s="2" t="inlineStr">
        <is>
          <t>Eurostat</t>
        </is>
      </c>
      <c r="E286" s="2" t="inlineStr">
        <is>
          <t>retrieved 2026-10-05</t>
        </is>
      </c>
      <c r="F286" s="2" t="inlineStr">
        <is>
          <t>Dataset (API)</t>
        </is>
      </c>
      <c r="G286" s="2" t="inlineStr">
        <is>
          <t>Malta 2023 flagged b (break in time series): compare only 2015-22 and 2023-25.</t>
        </is>
      </c>
      <c r="H286" s="5" t="inlineStr">
        <is>
          <t>https://ec.europa.eu/eurostat/databrowser/view/ilc_lvho07a/default/table</t>
        </is>
      </c>
    </row>
    <row r="287">
      <c r="A287" s="2" t="inlineStr">
        <is>
          <t>278</t>
        </is>
      </c>
      <c r="B287" s="2" t="inlineStr">
        <is>
          <t>CC-013</t>
        </is>
      </c>
      <c r="C287" s="2" t="inlineStr">
        <is>
          <t>tipsho10 / prc_hpi_a: house price indices, deflated and nominal (with status flags)</t>
        </is>
      </c>
      <c r="D287" s="2" t="inlineStr">
        <is>
          <t>Eurostat</t>
        </is>
      </c>
      <c r="E287" s="2" t="inlineStr">
        <is>
          <t>retrieved 2026-10-05</t>
        </is>
      </c>
      <c r="F287" s="2" t="inlineStr">
        <is>
          <t>Dataset (API)</t>
        </is>
      </c>
      <c r="G287" s="2" t="inlineStr">
        <is>
          <t>Malta 2025 flagged p (provisional).</t>
        </is>
      </c>
      <c r="H287" s="5" t="inlineStr">
        <is>
          <t>https://ec.europa.eu/eurostat/databrowser/view/tipsho10/default/table</t>
        </is>
      </c>
    </row>
    <row r="288">
      <c r="A288" s="2" t="inlineStr">
        <is>
          <t>279</t>
        </is>
      </c>
      <c r="B288" s="2" t="inlineStr">
        <is>
          <t>CC-010; CC-011; CC-107</t>
        </is>
      </c>
      <c r="C288" s="2" t="inlineStr">
        <is>
          <t>Malta: Maltese House of Representatives 2026 General</t>
        </is>
      </c>
      <c r="D288" s="2" t="inlineStr">
        <is>
          <t>IFES ElectionGuide</t>
        </is>
      </c>
      <c r="E288" s="2" t="inlineStr">
        <is>
          <t>accessed 2026-10-05</t>
        </is>
      </c>
      <c r="F288" s="2" t="inlineStr">
        <is>
          <t>Election data portal (secondary compilation of official results)</t>
        </is>
      </c>
      <c r="G288" s="2" t="inlineStr">
        <is>
          <t>Snap election held 30 May 2026; previous election 26 March 2022; results source Electoral Commission of Malta (electoral.gov.mt returned 403 to scripts).</t>
        </is>
      </c>
      <c r="H288" s="5" t="inlineStr">
        <is>
          <t>https://electionguide.org/elections/id/5161/</t>
        </is>
      </c>
    </row>
    <row r="289">
      <c r="A289" s="2" t="inlineStr">
        <is>
          <t>280</t>
        </is>
      </c>
      <c r="B289" s="2" t="inlineStr">
        <is>
          <t>CC-010</t>
        </is>
      </c>
      <c r="C289" s="2" t="inlineStr">
        <is>
          <t>Vouchers continue to be issued to beneficiaries of the Tree Planting Initiative</t>
        </is>
      </c>
      <c r="D289" s="2" t="inlineStr">
        <is>
          <t>Project Green</t>
        </is>
      </c>
      <c r="E289" s="2" t="inlineStr">
        <is>
          <t>2026-05-13</t>
        </is>
      </c>
      <c r="F289" s="2" t="inlineStr">
        <is>
          <t>Government agency press release</t>
        </is>
      </c>
      <c r="G289" s="2" t="inlineStr">
        <is>
          <t>Vouchers for 23,000 trees to more than 250 beneficiaries; some redeemed; vouchers are not trees planted.</t>
        </is>
      </c>
      <c r="H289" s="5" t="inlineStr">
        <is>
          <t>https://projectgreen.mt/vouchers-continue-to-be-issued-to-beneficiaries-of-the-tree-planting-initiative/</t>
        </is>
      </c>
    </row>
    <row r="290">
      <c r="A290" s="2" t="inlineStr">
        <is>
          <t>281</t>
        </is>
      </c>
      <c r="B290" s="2" t="inlineStr">
        <is>
          <t>CC-019</t>
        </is>
      </c>
      <c r="C290" s="2" t="inlineStr">
        <is>
          <t>Comino</t>
        </is>
      </c>
      <c r="D290" s="2" t="inlineStr">
        <is>
          <t>Wikipedia</t>
        </is>
      </c>
      <c r="E290" s="2" t="inlineStr">
        <is>
          <t>accessed 2026-10-05</t>
        </is>
      </c>
      <c r="F290" s="2" t="inlineStr">
        <is>
          <t>Reference work (locator)</t>
        </is>
      </c>
      <c r="G290" s="2" t="inlineStr">
        <is>
          <t>Gives 3.5 km2 without a source; locator only, not evidence.</t>
        </is>
      </c>
      <c r="H290" s="5" t="inlineStr">
        <is>
          <t>https://en.wikipedia.org/wiki/Comino</t>
        </is>
      </c>
    </row>
    <row r="291">
      <c r="A291" s="2" t="inlineStr">
        <is>
          <t>282</t>
        </is>
      </c>
      <c r="B291" s="2" t="inlineStr">
        <is>
          <t>CC-019</t>
        </is>
      </c>
      <c r="C291" s="2" t="inlineStr">
        <is>
          <t>Comino</t>
        </is>
      </c>
      <c r="D291" s="2" t="inlineStr">
        <is>
          <t>Encyclopaedia Britannica</t>
        </is>
      </c>
      <c r="E291" s="2" t="inlineStr">
        <is>
          <t>accessed 2026-10-05</t>
        </is>
      </c>
      <c r="F291" s="2" t="inlineStr">
        <is>
          <t>Reference work</t>
        </is>
      </c>
      <c r="G291" s="2" t="inlineStr">
        <is>
          <t>Gives about 3 km2 (1 sq mi).</t>
        </is>
      </c>
      <c r="H291" s="5" t="inlineStr">
        <is>
          <t>https://www.britannica.com/place/Comino</t>
        </is>
      </c>
    </row>
    <row r="292">
      <c r="A292" s="2" t="inlineStr">
        <is>
          <t>283</t>
        </is>
      </c>
      <c r="B292" s="2" t="inlineStr">
        <is>
          <t>CC-014</t>
        </is>
      </c>
      <c r="C292" s="2" t="inlineStr">
        <is>
          <t>Annual Report 2019 (Compliance &amp; Enforcement, pp. 17-18)</t>
        </is>
      </c>
      <c r="D292" s="2" t="inlineStr">
        <is>
          <t>Planning Authority</t>
        </is>
      </c>
      <c r="E292" s="2" t="inlineStr">
        <is>
          <t>2020 (on Issuu 11 Jun 2020)</t>
        </is>
      </c>
      <c r="F292" s="2" t="inlineStr">
        <is>
          <t>Annual report</t>
        </is>
      </c>
      <c r="G292" s="2" t="inlineStr">
        <is>
          <t>Primary, official statistics; read as Issuu page images (2019 complaints 3,134). 229 notices; policy wording p. 18</t>
        </is>
      </c>
      <c r="H292" s="5" t="inlineStr">
        <is>
          <t>https://issuu.com/planningauthority/docs/annual_report_2019</t>
        </is>
      </c>
    </row>
    <row r="293">
      <c r="A293" s="2" t="inlineStr">
        <is>
          <t>284</t>
        </is>
      </c>
      <c r="B293" s="2" t="inlineStr">
        <is>
          <t>CC-016</t>
        </is>
      </c>
      <c r="C293" s="2" t="inlineStr">
        <is>
          <t>Grand Harbour Clean Air Project gets underway</t>
        </is>
      </c>
      <c r="D293" s="2" t="inlineStr">
        <is>
          <t>Infrastructure Malta</t>
        </is>
      </c>
      <c r="E293" s="2" t="inlineStr">
        <is>
          <t>30 Nov 2020</t>
        </is>
      </c>
      <c r="F293" s="2" t="inlineStr">
        <is>
          <t>Agency news page</t>
        </is>
      </c>
      <c r="G293" s="2" t="inlineStr">
        <is>
          <t>Primary; the scoped 90% and per-liner cuts are the agency's estimates; study not cited.</t>
        </is>
      </c>
      <c r="H293" s="5" t="inlineStr">
        <is>
          <t>https://www.infrastructuremalta.com/news/grand-harbour-clean-air-project-gets-underway</t>
        </is>
      </c>
    </row>
    <row r="294">
      <c r="A294" s="2" t="inlineStr">
        <is>
          <t>285</t>
        </is>
      </c>
      <c r="B294" s="2" t="inlineStr">
        <is>
          <t>CC-016</t>
        </is>
      </c>
      <c r="C294" s="2" t="inlineStr">
        <is>
          <t>First Grand Harbour Clean Air Project frequency converters in place</t>
        </is>
      </c>
      <c r="D294" s="2" t="inlineStr">
        <is>
          <t>Infrastructure Malta</t>
        </is>
      </c>
      <c r="E294" s="2" t="inlineStr">
        <is>
          <t>19 Feb 2022</t>
        </is>
      </c>
      <c r="F294" s="2" t="inlineStr">
        <is>
          <t>Agency news page</t>
        </is>
      </c>
      <c r="G294" s="2" t="inlineStr">
        <is>
          <t>Primary; repeats the scope, EUR 49.9m and per-liner cuts.</t>
        </is>
      </c>
      <c r="H294" s="5" t="inlineStr">
        <is>
          <t>https://www.infrastructuremalta.com/news/first-grand-harbour-clean-air-project-frequency-converters-place</t>
        </is>
      </c>
    </row>
    <row r="295">
      <c r="A295" s="2" t="inlineStr">
        <is>
          <t>286</t>
        </is>
      </c>
      <c r="B295" s="2" t="inlineStr">
        <is>
          <t>CC-018</t>
        </is>
      </c>
      <c r="C295" s="2" t="inlineStr">
        <is>
          <t>A strong housing market supported by excellent fundamentals</t>
        </is>
      </c>
      <c r="D295" s="2" t="inlineStr">
        <is>
          <t>Malta Developers Association</t>
        </is>
      </c>
      <c r="E295" s="2" t="inlineStr">
        <is>
          <t>8 Feb 2026 (modified 17 Jun 2026)</t>
        </is>
      </c>
      <c r="F295" s="2" t="inlineStr">
        <is>
          <t>Press release</t>
        </is>
      </c>
      <c r="G295" s="2" t="inlineStr">
        <is>
          <t>Primary, the claimant's own wording; modified after publication, original not seen.</t>
        </is>
      </c>
      <c r="H295" s="5" t="inlineStr">
        <is>
          <t>https://mda.com.mt/a-strong-housing-market-supported-by-excellent-fundamentals/</t>
        </is>
      </c>
    </row>
    <row r="296">
      <c r="A296" s="2" t="inlineStr">
        <is>
          <t>287</t>
        </is>
      </c>
      <c r="B296" s="2" t="inlineStr">
        <is>
          <t>CC-107</t>
        </is>
      </c>
      <c r="C296" s="2" t="inlineStr">
        <is>
          <t>Clean energy for EU islands: Energy Baseline Scenario for Gozo (Vaz and Rodrigues de Almeida)</t>
        </is>
      </c>
      <c r="D296" s="2" t="inlineStr">
        <is>
          <t>Clean energy for EU islands secretariat (prepared for the European Commission)</t>
        </is>
      </c>
      <c r="E296" s="2" t="inlineStr">
        <is>
          <t>25 Jan 2023</t>
        </is>
      </c>
      <c r="F296" s="2" t="inlineStr">
        <is>
          <t>Technical study</t>
        </is>
      </c>
      <c r="G296" s="2" t="inlineStr">
        <is>
          <t>Read in full 5 Oct 2026 (SHA-256 7c608945...592a). Table 16: Gozo energy-related CO2 118,333-153,997 t a year, 2016-2020. Authors' views, not the Commission's; energy only; marked Confidential though published, so not committed.</t>
        </is>
      </c>
      <c r="H296" s="5" t="inlineStr">
        <is>
          <t>https://clean-energy-islands.ec.europa.eu/system/files/2025-06/REPORT_TechnicalAssistance_Gozo_20230223.pdf</t>
        </is>
      </c>
    </row>
    <row r="297">
      <c r="A297" s="2" t="inlineStr">
        <is>
          <t>288</t>
        </is>
      </c>
      <c r="B297" s="2" t="inlineStr">
        <is>
          <t>CC-107</t>
        </is>
      </c>
      <c r="C297" s="2" t="inlineStr">
        <is>
          <t>Biogeochemical factors contributing to enhanced carbon storage following afforestation of a semi-arid shrubland (Grünzweig et al., Biogeosciences 4:891-904)</t>
        </is>
      </c>
      <c r="D297" s="2" t="inlineStr">
        <is>
          <t>Biogeosciences (Copernicus)</t>
        </is>
      </c>
      <c r="E297" s="2" t="inlineStr">
        <is>
          <t>2007</t>
        </is>
      </c>
      <c r="F297" s="2" t="inlineStr">
        <is>
          <t>Peer-reviewed article (open access)</t>
        </is>
      </c>
      <c r="G297" s="2" t="inlineStr">
        <is>
          <t>doi:10.5194/bg-4-891-2007. Full text read; measured afforestation sequestration about 3.6 t CO2/ha/yr over 35 years. Grade B. PDF in literature/CC-107/open-access/.</t>
        </is>
      </c>
      <c r="H297" s="5" t="inlineStr">
        <is>
          <t>https://doi.org/10.5194/bg-4-891-2007</t>
        </is>
      </c>
    </row>
    <row r="298">
      <c r="A298" s="2" t="inlineStr">
        <is>
          <t>289</t>
        </is>
      </c>
      <c r="B298" s="2" t="inlineStr">
        <is>
          <t>CC-107</t>
        </is>
      </c>
      <c r="C298" s="2" t="inlineStr">
        <is>
          <t>demo_r_pjanaggr3: population on 1 January by NUTS 3 region, MT002 Gozo and Comino</t>
        </is>
      </c>
      <c r="D298" s="2" t="inlineStr">
        <is>
          <t>Eurostat</t>
        </is>
      </c>
      <c r="E298" s="2" t="inlineStr">
        <is>
          <t>retrieved 2026-10-02</t>
        </is>
      </c>
      <c r="F298" s="2" t="inlineStr">
        <is>
          <t>Dataset</t>
        </is>
      </c>
      <c r="G298" s="2" t="inlineStr">
        <is>
          <t>41,253 on 1 January 2025.</t>
        </is>
      </c>
      <c r="H298" s="5" t="inlineStr">
        <is>
          <t>https://ec.europa.eu/eurostat/databrowser/view/demo_r_pjanaggr3/default/table</t>
        </is>
      </c>
    </row>
    <row r="299">
      <c r="A299" s="2" t="inlineStr">
        <is>
          <t>290</t>
        </is>
      </c>
      <c r="B299" s="2" t="inlineStr">
        <is>
          <t>CC-037</t>
        </is>
      </c>
      <c r="C299" s="2" t="inlineStr">
        <is>
          <t>Pollution, grime or other environmental problems (ilc_mddw02)</t>
        </is>
      </c>
      <c r="D299" s="2" t="inlineStr">
        <is>
          <t>Eurostat</t>
        </is>
      </c>
      <c r="E299" s="2" t="inlineStr">
        <is>
          <t>retrieved 2026-10-05</t>
        </is>
      </c>
      <c r="F299" s="2" t="inlineStr">
        <is>
          <t>Dataset</t>
        </is>
      </c>
      <c r="G299" s="2" t="inlineStr">
        <is>
          <t>Primary evidence: Malta 34.7%, EU-27 12.2% in 2023.</t>
        </is>
      </c>
      <c r="H299" s="5" t="inlineStr">
        <is>
          <t>https://ec.europa.eu/eurostat/databrowser/view/ilc_mddw02/default/table</t>
        </is>
      </c>
    </row>
    <row r="300">
      <c r="A300" s="2" t="inlineStr">
        <is>
          <t>291</t>
        </is>
      </c>
      <c r="B300" s="2" t="inlineStr">
        <is>
          <t>CC-037</t>
        </is>
      </c>
      <c r="C300" s="2" t="inlineStr">
        <is>
          <t>Self-reported traffic, air pollution annoyance, and GIS-modeled exposure to air pollutants in pregnant women (Aguilera et al., Epidemiology 18:S43)</t>
        </is>
      </c>
      <c r="D300" s="2" t="inlineStr">
        <is>
          <t>Epidemiology</t>
        </is>
      </c>
      <c r="E300" s="2" t="inlineStr">
        <is>
          <t>2007</t>
        </is>
      </c>
      <c r="F300" s="2" t="inlineStr">
        <is>
          <t>Journal article (abstract read)</t>
        </is>
      </c>
      <c r="G300" s="2" t="inlineStr">
        <is>
          <t>Conference abstract; context only. doi:10.1097/01.ede.0000276553.96485.21</t>
        </is>
      </c>
      <c r="H300" s="5" t="inlineStr">
        <is>
          <t>https://doi.org/10.1097/01.ede.0000276553.96485.21</t>
        </is>
      </c>
    </row>
    <row r="301">
      <c r="A301" s="2" t="inlineStr">
        <is>
          <t>290</t>
        </is>
      </c>
      <c r="B301" s="2" t="inlineStr">
        <is>
          <t>CC-021</t>
        </is>
      </c>
      <c r="C301" s="2" t="inlineStr">
        <is>
          <t>Malta Gozo Fixed Link: research, reports and studies</t>
        </is>
      </c>
      <c r="D301" s="2" t="inlineStr">
        <is>
          <t>Transport Malta</t>
        </is>
      </c>
      <c r="E301" s="2" t="inlineStr">
        <is>
          <t>n/d</t>
        </is>
      </c>
      <c r="F301" s="2" t="inlineStr">
        <is>
          <t>Government</t>
        </is>
      </c>
      <c r="G301" s="2" t="inlineStr">
        <is>
          <t>Lead, not retrieved. Index of the Cordina cost-benefit study, Mott MacDonald preliminary analysis and SIA.</t>
        </is>
      </c>
      <c r="H301" s="5" t="inlineStr">
        <is>
          <t>https://www.transport.gov.mt/strategies/research-reports-studies/malta-gozo-fixed-link-2880</t>
        </is>
      </c>
    </row>
    <row r="302">
      <c r="A302" s="2" t="inlineStr">
        <is>
          <t>291</t>
        </is>
      </c>
      <c r="B302" s="2" t="inlineStr">
        <is>
          <t>CC-021</t>
        </is>
      </c>
      <c r="C302" s="2" t="inlineStr">
        <is>
          <t>Preliminary Analysis Assessment of Road Tunnel Options between Malta and Gozo (Mott MacDonald)</t>
        </is>
      </c>
      <c r="D302" s="2" t="inlineStr">
        <is>
          <t>Transport Malta</t>
        </is>
      </c>
      <c r="E302" s="2" t="inlineStr">
        <is>
          <t>n/d</t>
        </is>
      </c>
      <c r="F302" s="2" t="inlineStr">
        <is>
          <t>Government</t>
        </is>
      </c>
      <c r="G302" s="2" t="inlineStr">
        <is>
          <t>Lead, not retrieved.</t>
        </is>
      </c>
      <c r="H302" s="5" t="inlineStr">
        <is>
          <t>https://www.transport.gov.mt/Preliminary-Analysis-Assessment-of-Road-Tunnel-Options-between-Malta-and-Gozo-Mott-MacDonald.pdf-f3628</t>
        </is>
      </c>
    </row>
    <row r="303">
      <c r="A303" s="2" t="inlineStr">
        <is>
          <t>293</t>
        </is>
      </c>
      <c r="B303" s="2" t="inlineStr">
        <is>
          <t>CC-030</t>
        </is>
      </c>
      <c r="C303" s="2" t="inlineStr">
        <is>
          <t>MIA press release: Airfield electrification at MIA set to avoid 1,000 tonnes of CO2 emissions annually</t>
        </is>
      </c>
      <c r="D303" s="2" t="inlineStr">
        <is>
          <t>Malta International Airport plc</t>
        </is>
      </c>
      <c r="E303" s="2" t="inlineStr">
        <is>
          <t>25 May 2026</t>
        </is>
      </c>
      <c r="F303" s="2" t="inlineStr">
        <is>
          <t>Primary statement</t>
        </is>
      </c>
      <c r="G303" s="2" t="inlineStr">
        <is>
          <t>Read in full 5 Oct 2026. Verbatim wording.</t>
        </is>
      </c>
      <c r="H303" s="5" t="inlineStr">
        <is>
          <t>https://maltairport.com/corporate-news/airfield-electrification-at-mia-set-to-avoid-1000-tonnes-of-co2-emissions-annually/</t>
        </is>
      </c>
    </row>
    <row r="304">
      <c r="A304" s="2" t="inlineStr">
        <is>
          <t>294</t>
        </is>
      </c>
      <c r="B304" s="2" t="inlineStr">
        <is>
          <t>CC-030</t>
        </is>
      </c>
      <c r="C304" s="2" t="inlineStr">
        <is>
          <t>Sustainability Report 2025</t>
        </is>
      </c>
      <c r="D304" s="2" t="inlineStr">
        <is>
          <t>Malta International Airport plc</t>
        </is>
      </c>
      <c r="E304" s="2" t="inlineStr">
        <is>
          <t>2026</t>
        </is>
      </c>
      <c r="F304" s="2" t="inlineStr">
        <is>
          <t>Company report</t>
        </is>
      </c>
      <c r="G304" s="2" t="inlineStr">
        <is>
          <t>Read in full; Scope 1 and 2 limited assurance by PwC Malta; Scope 3 and credits not assured. PDF not committed.</t>
        </is>
      </c>
      <c r="H304" s="5" t="inlineStr">
        <is>
          <t>https://maltairport.com/app/uploads/2026/10/Final_MIA26-Sustaibability.pdf</t>
        </is>
      </c>
    </row>
    <row r="305">
      <c r="A305" s="2" t="inlineStr">
        <is>
          <t>295</t>
        </is>
      </c>
      <c r="B305" s="2" t="inlineStr">
        <is>
          <t>CC-030</t>
        </is>
      </c>
      <c r="C305" s="2" t="inlineStr">
        <is>
          <t>Level 3+ (Neutrality)</t>
        </is>
      </c>
      <c r="D305" s="2" t="inlineStr">
        <is>
          <t>Airport Carbon Accreditation</t>
        </is>
      </c>
      <c r="E305" s="2" t="inlineStr">
        <is>
          <t>n/d</t>
        </is>
      </c>
      <c r="F305" s="2" t="inlineStr">
        <is>
          <t>Scheme rules</t>
        </is>
      </c>
      <c r="G305" s="2" t="inlineStr">
        <is>
          <t>Read. Defines the offset scope (Scope 1, 2 and staff business travel). MIA's directory entry: Ref 350.</t>
        </is>
      </c>
      <c r="H305" s="5" t="inlineStr">
        <is>
          <t>https://www.airportcarbonaccreditation.org/about/7-levels-of-accreditation/neutrality/</t>
        </is>
      </c>
    </row>
    <row r="306">
      <c r="A306" s="2" t="inlineStr">
        <is>
          <t>296</t>
        </is>
      </c>
      <c r="B306" s="2" t="inlineStr">
        <is>
          <t>CC-030</t>
        </is>
      </c>
      <c r="C306" s="2" t="inlineStr">
        <is>
          <t>Emissions from auxiliary power units and ground power units during intraday aircraft turnarounds at European airports (Padhra, TR-D 63:433-444)</t>
        </is>
      </c>
      <c r="D306" s="2" t="inlineStr">
        <is>
          <t>Transportation Research Part D</t>
        </is>
      </c>
      <c r="E306" s="2" t="inlineStr">
        <is>
          <t>2018</t>
        </is>
      </c>
      <c r="F306" s="2" t="inlineStr">
        <is>
          <t>Peer-reviewed article</t>
        </is>
      </c>
      <c r="G306" s="2" t="inlineStr">
        <is>
          <t>doi:10.1016/j.trd.2018.06.015. Crossref verified. Full text read as the accepted manuscript (Ref 358). Grade B.</t>
        </is>
      </c>
      <c r="H306" s="5" t="inlineStr">
        <is>
          <t>https://doi.org/10.1016/j.trd.2018.06.015</t>
        </is>
      </c>
    </row>
    <row r="307">
      <c r="A307" s="2" t="inlineStr">
        <is>
          <t>297</t>
        </is>
      </c>
      <c r="B307" s="2" t="inlineStr">
        <is>
          <t>CC-030</t>
        </is>
      </c>
      <c r="C307" s="2" t="inlineStr">
        <is>
          <t>Traffic results (September 2025)</t>
        </is>
      </c>
      <c r="D307" s="2" t="inlineStr">
        <is>
          <t>Malta International Airport plc</t>
        </is>
      </c>
      <c r="E307" s="2" t="inlineStr">
        <is>
          <t>2025</t>
        </is>
      </c>
      <c r="F307" s="2" t="inlineStr">
        <is>
          <t>Company announcement</t>
        </is>
      </c>
      <c r="G307" s="2" t="inlineStr">
        <is>
          <t>Aircraft movements 6,013 in September 2025.</t>
        </is>
      </c>
      <c r="H307" s="5" t="inlineStr">
        <is>
          <t>https://maltairport.com/app/uploads/2025/10/September-Traffic-Results.pdf</t>
        </is>
      </c>
    </row>
    <row r="308">
      <c r="A308" s="2" t="inlineStr">
        <is>
          <t>298</t>
        </is>
      </c>
      <c r="B308" s="2" t="inlineStr">
        <is>
          <t>CC-108</t>
        </is>
      </c>
      <c r="C308" s="2" t="inlineStr">
        <is>
          <t>European Commission Endorses WSC's 'Net Zero-Impact' Utility Project</t>
        </is>
      </c>
      <c r="D308" s="2" t="inlineStr">
        <is>
          <t>Water Services Corporation</t>
        </is>
      </c>
      <c r="E308" s="2" t="inlineStr">
        <is>
          <t>n/d</t>
        </is>
      </c>
      <c r="F308" s="2" t="inlineStr">
        <is>
          <t>Primary (agency page)</t>
        </is>
      </c>
      <c r="G308" s="2" t="inlineStr">
        <is>
          <t>Locator: wording from a search summary; site shows a bot challenge to scripts. Read in a browser.</t>
        </is>
      </c>
      <c r="H308" s="5" t="inlineStr">
        <is>
          <t>https://www.wsc.com.mt/european-commission-endorses-wscs-net-zero-impact-utility-project/</t>
        </is>
      </c>
    </row>
    <row r="309">
      <c r="A309" s="2" t="inlineStr">
        <is>
          <t>299</t>
        </is>
      </c>
      <c r="B309" s="2" t="inlineStr">
        <is>
          <t>CC-108</t>
        </is>
      </c>
      <c r="C309" s="2" t="inlineStr">
        <is>
          <t>Towards a Net Zero-Impact Utility: new EUR 100 million EU-funded project</t>
        </is>
      </c>
      <c r="D309" s="2" t="inlineStr">
        <is>
          <t>Water Services Corporation</t>
        </is>
      </c>
      <c r="E309" s="2" t="inlineStr">
        <is>
          <t>n/d</t>
        </is>
      </c>
      <c r="F309" s="2" t="inlineStr">
        <is>
          <t>Primary (agency page)</t>
        </is>
      </c>
      <c r="G309" s="2" t="inlineStr">
        <is>
          <t>Project launch page; read in a browser.</t>
        </is>
      </c>
      <c r="H309" s="5" t="inlineStr">
        <is>
          <t>https://www.wsc.com.mt/towards-a-net-zero-impact-utility-new-e100-million-eu-funded-project-set-to-improve-water-quality-to-all-new-highs/</t>
        </is>
      </c>
    </row>
    <row r="310">
      <c r="A310" s="2" t="inlineStr">
        <is>
          <t>300</t>
        </is>
      </c>
      <c r="B310" s="2" t="inlineStr">
        <is>
          <t>CC-108; CC-101</t>
        </is>
      </c>
      <c r="C310" s="2" t="inlineStr">
        <is>
          <t>Green Paper on the Regulation of Groundwater Abstraction in the Maltese Islands</t>
        </is>
      </c>
      <c r="D310" s="2" t="inlineStr">
        <is>
          <t>Energy and Water Agency</t>
        </is>
      </c>
      <c r="E310" s="2" t="inlineStr">
        <is>
          <t>Nov 2023</t>
        </is>
      </c>
      <c r="F310" s="2" t="inlineStr">
        <is>
          <t>Primary (consultation document)</t>
        </is>
      </c>
      <c r="G310" s="2" t="inlineStr">
        <is>
          <t>Likely source of the WSC tariff exemption ('net-zero impact on the groundwater environment') and the 14 million m3 cap. For CC-101: proposes ERA abstraction permits renewable for fixed terms; borehole counts (3,553 agricultural, 245 commercial). Downloaded with curl on 6 Oct 2026 (a bot challenge appeared on later requests). Quotes and PDF page numbers (pp. 3-7) were not re-checked by the independent reviewer (EWA captcha); maintainer to check in a browser.</t>
        </is>
      </c>
      <c r="H310" s="5" t="inlineStr">
        <is>
          <t>https://energywateragency.gov.mt/wp-content/uploads/2023/11/GREEN-PAPER.pdf</t>
        </is>
      </c>
    </row>
    <row r="311">
      <c r="A311" s="2" t="inlineStr">
        <is>
          <t>301</t>
        </is>
      </c>
      <c r="B311" s="2" t="inlineStr">
        <is>
          <t>CC-108</t>
        </is>
      </c>
      <c r="C311" s="2" t="inlineStr">
        <is>
          <t>Free no more: a price tag on groundwater</t>
        </is>
      </c>
      <c r="D311" s="2" t="inlineStr">
        <is>
          <t>MaltaToday</t>
        </is>
      </c>
      <c r="E311" s="2" t="inlineStr">
        <is>
          <t>n/d</t>
        </is>
      </c>
      <c r="F311" s="2" t="inlineStr">
        <is>
          <t>News (locator)</t>
        </is>
      </c>
      <c r="G311" s="2" t="inlineStr">
        <is>
          <t>Locator for the exemption and cap; 403 to scripts.</t>
        </is>
      </c>
      <c r="H311" s="5" t="inlineStr">
        <is>
          <t>https://www.maltatoday.com.mt/environment/planning/126318/free_no_more_a_price_tag_on_groundwater</t>
        </is>
      </c>
    </row>
    <row r="312">
      <c r="A312" s="2" t="inlineStr">
        <is>
          <t>302</t>
        </is>
      </c>
      <c r="B312" s="2" t="inlineStr">
        <is>
          <t>CC-005</t>
        </is>
      </c>
      <c r="C312" s="2" t="inlineStr">
        <is>
          <t>EEA bathing-water map service BathingWater_Dyna_WM_2025, layer 3 (Malta, 87 sites, seasons 2015-2025)</t>
        </is>
      </c>
      <c r="D312" s="2" t="inlineStr">
        <is>
          <t>European Environment Agency</t>
        </is>
      </c>
      <c r="E312" s="2" t="inlineStr">
        <is>
          <t>retrieved 2026-10-05</t>
        </is>
      </c>
      <c r="F312" s="2" t="inlineStr">
        <is>
          <t>Official dataset</t>
        </is>
      </c>
      <c r="G312" s="2" t="inlineStr">
        <is>
          <t>Class of each Maltese bathing water 2015-2025 with coordinates; 870/870 site-seasons 2015-2024 match WISE_BWD. Excellent of 87: 85,86,86,86,85,84,84,82,80,80,77. data/cc-005/mt_site_classes.csv</t>
        </is>
      </c>
      <c r="H312" s="5" t="inlineStr">
        <is>
          <t>https://water.discomap.eea.europa.eu/arcgis/rest/services/BathingWater/BathingWater_Dyna_WM_2025/MapServer/3</t>
        </is>
      </c>
    </row>
    <row r="313">
      <c r="A313" s="2" t="inlineStr">
        <is>
          <t>303</t>
        </is>
      </c>
      <c r="B313" s="2" t="inlineStr">
        <is>
          <t>CC-005</t>
        </is>
      </c>
      <c r="C313" s="2" t="inlineStr">
        <is>
          <t>WISE Bathing Water Directive dataset, EU-27 classifications by water type, seasons 2015-2024</t>
        </is>
      </c>
      <c r="D313" s="2" t="inlineStr">
        <is>
          <t>European Environment Agency</t>
        </is>
      </c>
      <c r="E313" s="2" t="inlineStr">
        <is>
          <t>retrieved 2026-10-05</t>
        </is>
      </c>
      <c r="F313" s="2" t="inlineStr">
        <is>
          <t>Official dataset</t>
        </is>
      </c>
      <c r="G313" s="2" t="inlineStr">
        <is>
          <t>EU-27 coastal share excellent (excl. AL, CH, ME, UK): 2023 88.9% (matches EEA published), 2024 89.0%; 2025 88.3% from the map service. data/cc-005/excellent_share.csv</t>
        </is>
      </c>
      <c r="H313" s="5" t="inlineStr">
        <is>
          <t>https://discodata.eea.europa.eu/sql</t>
        </is>
      </c>
    </row>
    <row r="314">
      <c r="A314" s="2" t="inlineStr">
        <is>
          <t>304</t>
        </is>
      </c>
      <c r="B314" s="2" t="inlineStr">
        <is>
          <t>CC-005</t>
        </is>
      </c>
      <c r="C314" s="2" t="inlineStr">
        <is>
          <t>Directive 2006/7/EC concerning the management of bathing water quality</t>
        </is>
      </c>
      <c r="D314" s="2" t="inlineStr">
        <is>
          <t>European Parliament and Council</t>
        </is>
      </c>
      <c r="E314" s="2" t="inlineStr">
        <is>
          <t>15 Feb 2006</t>
        </is>
      </c>
      <c r="F314" s="2" t="inlineStr">
        <is>
          <t>Legislation</t>
        </is>
      </c>
      <c r="G314" s="2" t="inlineStr">
        <is>
          <t>Art. 4: assessment on the season and the three preceding seasons; Annex II classes. Not re-read 5 Oct 2026 (EUR-Lex blocked scripts).</t>
        </is>
      </c>
      <c r="H314" s="5" t="inlineStr">
        <is>
          <t>https://eur-lex.europa.eu/legal-content/EN/TXT/?uri=CELEX:32006L0007</t>
        </is>
      </c>
    </row>
    <row r="315">
      <c r="A315" s="2" t="inlineStr">
        <is>
          <t>305</t>
        </is>
      </c>
      <c r="B315" s="2" t="inlineStr">
        <is>
          <t>CC-008; CC-035</t>
        </is>
      </c>
      <c r="C315" s="2" t="inlineStr">
        <is>
          <t>EEA air quality download service: hourly NO2, Malta (MT00005, MT00011, MT00004, MT00008, MT00009)</t>
        </is>
      </c>
      <c r="D315" s="2" t="inlineStr">
        <is>
          <t>European Environment Agency</t>
        </is>
      </c>
      <c r="E315" s="2" t="inlineStr">
        <is>
          <t>retrieved 2026-10-05</t>
        </is>
      </c>
      <c r="F315" s="2" t="inlineStr">
        <is>
          <t>Official dataset</t>
        </is>
      </c>
      <c r="G315" s="2" t="inlineStr">
        <is>
          <t>E1a validated to 2025, E2a unvalidated 2026. Msida MT00011 Jan-Sep NO2 19.2/22.0/25.2 ug/m3 (2024/25/26); MT00005 annual 37.5 (2013) to 28.3 (2023). data/cc-008/</t>
        </is>
      </c>
      <c r="H315" s="5" t="inlineStr">
        <is>
          <t>https://eeadmz1-downloads-webapp.azurewebsites.net/</t>
        </is>
      </c>
    </row>
    <row r="316">
      <c r="A316" s="2" t="inlineStr">
        <is>
          <t>306</t>
        </is>
      </c>
      <c r="B316" s="2" t="inlineStr">
        <is>
          <t>CC-008; CC-034</t>
        </is>
      </c>
      <c r="C316" s="2" t="inlineStr">
        <is>
          <t>AQD_REP_MT_ERA_D-001_2025: Air Quality e-Reporting dataset D (measurement configuration)</t>
        </is>
      </c>
      <c r="D316" s="2" t="inlineStr">
        <is>
          <t>Environment and Resources Authority (via Eionet CDR)</t>
        </is>
      </c>
      <c r="E316" s="2" t="inlineStr">
        <is>
          <t>3 Feb 2026</t>
        </is>
      </c>
      <c r="F316" s="2" t="inlineStr">
        <is>
          <t>Official metadata</t>
        </is>
      </c>
      <c r="G316" s="2" t="inlineStr">
        <is>
          <t>Locates MT00011 Msida (35.895563, 14.493217; from 17 Jan 2024; traffic; kerb 9 m) and MT00005 (to 20 Feb 2024; kerb 5 m); Kordin MT00003 closed 31 Dec 2016. data/cc-008/aq_stations.csv</t>
        </is>
      </c>
      <c r="H316" s="5" t="inlineStr">
        <is>
          <t>https://cdr.eionet.europa.eu/mt/eu/aqd/d/envayh2iw/</t>
        </is>
      </c>
    </row>
    <row r="317">
      <c r="A317" s="2" t="inlineStr">
        <is>
          <t>307</t>
        </is>
      </c>
      <c r="B317" s="2" t="inlineStr">
        <is>
          <t>CC-008</t>
        </is>
      </c>
      <c r="C317" s="2" t="inlineStr">
        <is>
          <t>Directive (EU) 2024/2881 on ambient air quality and cleaner air for Europe (recast)</t>
        </is>
      </c>
      <c r="D317" s="2" t="inlineStr">
        <is>
          <t>European Parliament and Council</t>
        </is>
      </c>
      <c r="E317" s="2" t="inlineStr">
        <is>
          <t>2024</t>
        </is>
      </c>
      <c r="F317" s="2" t="inlineStr">
        <is>
          <t>Legislation</t>
        </is>
      </c>
      <c r="G317" s="2" t="inlineStr">
        <is>
          <t>NO2 annual limit 20 ug/m3 from 2030 (40 until then); cited for scale only; not re-read 5 Oct 2026.</t>
        </is>
      </c>
      <c r="H317" s="5" t="inlineStr">
        <is>
          <t>https://eur-lex.europa.eu/eli/dir/2024/2881/oj</t>
        </is>
      </c>
    </row>
    <row r="318">
      <c r="A318" s="2" t="inlineStr">
        <is>
          <t>308</t>
        </is>
      </c>
      <c r="B318" s="2" t="inlineStr">
        <is>
          <t>CC-008</t>
        </is>
      </c>
      <c r="C318" s="2" t="inlineStr">
        <is>
          <t>OpenStreetMap: Triq Mikiel Anton Vassalli, Msida Creek flyover (ways 1460775989, 1460775991)</t>
        </is>
      </c>
      <c r="D318" s="2" t="inlineStr">
        <is>
          <t>OpenStreetMap contributors (ODbL)</t>
        </is>
      </c>
      <c r="E318" s="2" t="inlineStr">
        <is>
          <t>retrieved 2026-10-05</t>
        </is>
      </c>
      <c r="F318" s="2" t="inlineStr">
        <is>
          <t>Map data</t>
        </is>
      </c>
      <c r="G318" s="2" t="inlineStr">
        <is>
          <t>Used only to place the flyover and measure monitor distances (112 m old point, 408 m new point). data/cc-008/flyovers_osm.geojson</t>
        </is>
      </c>
      <c r="H318" s="5" t="inlineStr">
        <is>
          <t>https://www.openstreetmap.org/way/1460775989</t>
        </is>
      </c>
    </row>
    <row r="319">
      <c r="A319" s="2" t="inlineStr">
        <is>
          <t>309</t>
        </is>
      </c>
      <c r="B319" s="2" t="inlineStr">
        <is>
          <t>CC-003</t>
        </is>
      </c>
      <c r="C319" s="2" t="inlineStr">
        <is>
          <t>env_air_gge (TOTX4_MEMO) and nama_10_pe (POP_NC): all EU-27 Member States, 2005 and 2024</t>
        </is>
      </c>
      <c r="D319" s="2" t="inlineStr">
        <is>
          <t>Eurostat</t>
        </is>
      </c>
      <c r="E319" s="2" t="inlineStr">
        <is>
          <t>retrieved 2026-10-05</t>
        </is>
      </c>
      <c r="F319" s="2" t="inlineStr">
        <is>
          <t>Dataset (API)</t>
        </is>
      </c>
      <c r="G319" s="2" t="inlineStr">
        <is>
          <t>Status flags recorded (2024 population p for BE, CY, DE, EL, ES, FR, HR, NL); data/cc-003/eurostat_ghg_pop_eu27.csv.</t>
        </is>
      </c>
      <c r="H319" s="5" t="inlineStr">
        <is>
          <t>https://ec.europa.eu/eurostat/databrowser/view/env_air_gge/default/table</t>
        </is>
      </c>
    </row>
    <row r="320">
      <c r="A320" s="2" t="inlineStr">
        <is>
          <t>310</t>
        </is>
      </c>
      <c r="B320" s="2" t="inlineStr">
        <is>
          <t>CC-022</t>
        </is>
      </c>
      <c r="C320" s="2" t="inlineStr">
        <is>
          <t>ilc_di03 / ilc_di01: median, mean and first-quintile equivalised income (EU-SILC 2024, 2025)</t>
        </is>
      </c>
      <c r="D320" s="2" t="inlineStr">
        <is>
          <t>Eurostat</t>
        </is>
      </c>
      <c r="E320" s="2" t="inlineStr">
        <is>
          <t>retrieved 2026-10-05</t>
        </is>
      </c>
      <c r="F320" s="2" t="inlineStr">
        <is>
          <t>Dataset (API)</t>
        </is>
      </c>
      <c r="G320" s="2" t="inlineStr">
        <is>
          <t>Official statistics with flags (LU 2025 b; LT p); data/cc-022/eurostat_burden_inputs.csv.</t>
        </is>
      </c>
      <c r="H320" s="5" t="inlineStr">
        <is>
          <t>https://ec.europa.eu/eurostat/databrowser/view/ilc_di03/default/table</t>
        </is>
      </c>
    </row>
    <row r="321">
      <c r="A321" s="2" t="inlineStr">
        <is>
          <t>311</t>
        </is>
      </c>
      <c r="B321" s="2" t="inlineStr">
        <is>
          <t>CC-022</t>
        </is>
      </c>
      <c r="C321" s="2" t="inlineStr">
        <is>
          <t>nrg_d_hhq / nrg_pc_204_v: household electricity use by end use; consumption shares by band</t>
        </is>
      </c>
      <c r="D321" s="2" t="inlineStr">
        <is>
          <t>Eurostat</t>
        </is>
      </c>
      <c r="E321" s="2" t="inlineStr">
        <is>
          <t>retrieved 2026-10-05</t>
        </is>
      </c>
      <c r="F321" s="2" t="inlineStr">
        <is>
          <t>Dataset (API)</t>
        </is>
      </c>
      <c r="G321" s="2" t="inlineStr">
        <is>
          <t>2024; Malta 2025 band shares p.</t>
        </is>
      </c>
      <c r="H321" s="5" t="inlineStr">
        <is>
          <t>https://ec.europa.eu/eurostat/databrowser/view/nrg_d_hhq/default/table</t>
        </is>
      </c>
    </row>
    <row r="322">
      <c r="A322" s="2" t="inlineStr">
        <is>
          <t>312</t>
        </is>
      </c>
      <c r="B322" s="2" t="inlineStr">
        <is>
          <t>CC-022</t>
        </is>
      </c>
      <c r="C322" s="2" t="inlineStr">
        <is>
          <t>lfst_hhnhtych: number of private households (LFS)</t>
        </is>
      </c>
      <c r="D322" s="2" t="inlineStr">
        <is>
          <t>Eurostat</t>
        </is>
      </c>
      <c r="E322" s="2" t="inlineStr">
        <is>
          <t>retrieved 2026-10-05</t>
        </is>
      </c>
      <c r="F322" s="2" t="inlineStr">
        <is>
          <t>Dataset (API)</t>
        </is>
      </c>
      <c r="G322" s="2" t="inlineStr">
        <is>
          <t>2024; BG, FR flagged b.</t>
        </is>
      </c>
      <c r="H322" s="5" t="inlineStr">
        <is>
          <t>https://ec.europa.eu/eurostat/databrowser/view/lfst_hhnhtych/default/table</t>
        </is>
      </c>
    </row>
    <row r="323">
      <c r="A323" s="2" t="inlineStr">
        <is>
          <t>313</t>
        </is>
      </c>
      <c r="B323" s="2" t="inlineStr">
        <is>
          <t>CC-022</t>
        </is>
      </c>
      <c r="C323" s="2" t="inlineStr">
        <is>
          <t>nasa_10_nf_tr: gross disposable income of households and NPISH (B6G, S14_S15)</t>
        </is>
      </c>
      <c r="D323" s="2" t="inlineStr">
        <is>
          <t>Eurostat</t>
        </is>
      </c>
      <c r="E323" s="2" t="inlineStr">
        <is>
          <t>retrieved 2026-10-05</t>
        </is>
      </c>
      <c r="F323" s="2" t="inlineStr">
        <is>
          <t>Dataset (API)</t>
        </is>
      </c>
      <c r="G323" s="2" t="inlineStr">
        <is>
          <t>2024; Malta and 7 others p; no BG.</t>
        </is>
      </c>
      <c r="H323" s="5" t="inlineStr">
        <is>
          <t>https://ec.europa.eu/eurostat/databrowser/view/nasa_10_nf_tr/default/table</t>
        </is>
      </c>
    </row>
    <row r="324">
      <c r="A324" s="2" t="inlineStr">
        <is>
          <t>314</t>
        </is>
      </c>
      <c r="B324" s="2" t="inlineStr">
        <is>
          <t>CC-022</t>
        </is>
      </c>
      <c r="C324" s="2" t="inlineStr">
        <is>
          <t>hbs_str_t211: structure of household consumption expenditure, electricity (CP0451), HBS 2020</t>
        </is>
      </c>
      <c r="D324" s="2" t="inlineStr">
        <is>
          <t>Eurostat</t>
        </is>
      </c>
      <c r="E324" s="2" t="inlineStr">
        <is>
          <t>retrieved 2026-10-05</t>
        </is>
      </c>
      <c r="F324" s="2" t="inlineStr">
        <is>
          <t>Dataset (API)</t>
        </is>
      </c>
      <c r="G324" s="2" t="inlineStr">
        <is>
          <t>24 countries; Malta flagged e; predates the 2022 price shock.</t>
        </is>
      </c>
      <c r="H324" s="5" t="inlineStr">
        <is>
          <t>https://ec.europa.eu/eurostat/databrowser/view/hbs_str_t211/default/table</t>
        </is>
      </c>
    </row>
    <row r="325">
      <c r="A325" s="2" t="inlineStr">
        <is>
          <t>315</t>
        </is>
      </c>
      <c r="B325" s="2" t="inlineStr">
        <is>
          <t>CC-022</t>
        </is>
      </c>
      <c r="C325" s="2" t="inlineStr">
        <is>
          <t>ilc_hcmp03 / ilc_mdes07 / ilc_mdes01: summer comfort (2012 module); arrears and warmth by poverty status</t>
        </is>
      </c>
      <c r="D325" s="2" t="inlineStr">
        <is>
          <t>Eurostat</t>
        </is>
      </c>
      <c r="E325" s="2" t="inlineStr">
        <is>
          <t>retrieved 2026-10-05</t>
        </is>
      </c>
      <c r="F325" s="2" t="inlineStr">
        <is>
          <t>Dataset (API)</t>
        </is>
      </c>
      <c r="G325" s="2" t="inlineStr">
        <is>
          <t>No 2023-module summer-cooling table exists.</t>
        </is>
      </c>
      <c r="H325" s="5" t="inlineStr">
        <is>
          <t>https://ec.europa.eu/eurostat/databrowser/view/ilc_hcmp03/default/table</t>
        </is>
      </c>
    </row>
    <row r="326">
      <c r="A326" s="2" t="inlineStr">
        <is>
          <t>316</t>
        </is>
      </c>
      <c r="B326" s="2" t="inlineStr">
        <is>
          <t>CC-013</t>
        </is>
      </c>
      <c r="C326" s="2" t="inlineStr">
        <is>
          <t>demo_gind, tipsho10, prc_hicp_aind (CP041), prc_hpi_q, prc_hpi_cow: all EU-27 Member States</t>
        </is>
      </c>
      <c r="D326" s="2" t="inlineStr">
        <is>
          <t>Eurostat</t>
        </is>
      </c>
      <c r="E326" s="2" t="inlineStr">
        <is>
          <t>retrieved 2026-10-05</t>
        </is>
      </c>
      <c r="F326" s="2" t="inlineStr">
        <is>
          <t>Dataset (API)</t>
        </is>
      </c>
      <c r="G326" s="2" t="inlineStr">
        <is>
          <t>Flags recorded (MT tipsho10 2025 p; BG, CY 2015 b; EL e/ep); data/cc-013/eurostat_eu27_pop_prices_rents.csv.</t>
        </is>
      </c>
      <c r="H326" s="5" t="inlineStr">
        <is>
          <t>https://ec.europa.eu/eurostat/databrowser/</t>
        </is>
      </c>
    </row>
    <row r="327">
      <c r="A327" s="2" t="inlineStr">
        <is>
          <t>317</t>
        </is>
      </c>
      <c r="B327" s="2" t="inlineStr">
        <is>
          <t>CC-018</t>
        </is>
      </c>
      <c r="C327" s="2" t="inlineStr">
        <is>
          <t>Malta's Growth-at-Risk: Exploring the Effects of Macro-Financial Factors on Growth (IMF Selected Issues Paper 2026/022; F. Hasanov)</t>
        </is>
      </c>
      <c r="D327" s="2" t="inlineStr">
        <is>
          <t>International Monetary Fund</t>
        </is>
      </c>
      <c r="E327" s="2" t="inlineStr">
        <is>
          <t>13 Mar 2026</t>
        </is>
      </c>
      <c r="F327" s="2" t="inlineStr">
        <is>
          <t>Report (IMF eLibrary)</t>
        </is>
      </c>
      <c r="G327" s="2" t="inlineStr">
        <is>
          <t>doi:10.5089/9798229041652.018 (Crossref checked). Source of the 'current data do not suggest overvaluation' phrases the MDA release quotes; published after the release's 8 Feb date. Grade C.</t>
        </is>
      </c>
      <c r="H327" s="5" t="inlineStr">
        <is>
          <t>https://www.elibrary.imf.org/view/journals/018/2026/022/article-A001-en.xml</t>
        </is>
      </c>
    </row>
    <row r="328">
      <c r="A328" s="2" t="inlineStr">
        <is>
          <t>318</t>
        </is>
      </c>
      <c r="B328" s="2" t="inlineStr">
        <is>
          <t>CC-018</t>
        </is>
      </c>
      <c r="C328" s="2" t="inlineStr">
        <is>
          <t>Guidance Note for Surveillance Under Article IV Consultations (IMF Policy Paper 2022/029)</t>
        </is>
      </c>
      <c r="D328" s="2" t="inlineStr">
        <is>
          <t>International Monetary Fund</t>
        </is>
      </c>
      <c r="E328" s="2" t="inlineStr">
        <is>
          <t>Jun 2022</t>
        </is>
      </c>
      <c r="F328" s="2" t="inlineStr">
        <is>
          <t>Policy paper</t>
        </is>
      </c>
      <c r="G328" s="2" t="inlineStr">
        <is>
          <t>Para. 123: 24-month cycle only with consent, if not systemic, not at risk, Fund credit &lt;=145% of quota. doi:10.5089/9798400211522.007. Grade C.</t>
        </is>
      </c>
      <c r="H328" s="5" t="inlineStr">
        <is>
          <t>https://www.elibrary.imf.org/view/journals/007/2022/029/article-A001-en.xml</t>
        </is>
      </c>
    </row>
    <row r="329">
      <c r="A329" s="2" t="inlineStr">
        <is>
          <t>319</t>
        </is>
      </c>
      <c r="B329" s="2" t="inlineStr">
        <is>
          <t>CC-018</t>
        </is>
      </c>
      <c r="C329" s="2" t="inlineStr">
        <is>
          <t>Luxembourg: Staff Report for the 2000 Article IV Consultation (IMF Staff Country Report 00/65)</t>
        </is>
      </c>
      <c r="D329" s="2" t="inlineStr">
        <is>
          <t>International Monetary Fund</t>
        </is>
      </c>
      <c r="E329" s="2" t="inlineStr">
        <is>
          <t>May 2000</t>
        </is>
      </c>
      <c r="F329" s="2" t="inlineStr">
        <is>
          <t>Report (IMF eLibrary)</t>
        </is>
      </c>
      <c r="G329" s="2" t="inlineStr">
        <is>
          <t>Para. 45: next consultation 'expected to be held on the 24-month cycle'. doi:10.5089/9781451824254.002. Contradicts 'first EU economy'. Grade C.</t>
        </is>
      </c>
      <c r="H329" s="5" t="inlineStr">
        <is>
          <t>https://www.elibrary.imf.org/view/journals/002/2000/065/article-A001-en.xml</t>
        </is>
      </c>
    </row>
    <row r="330">
      <c r="A330" s="2" t="inlineStr">
        <is>
          <t>320</t>
        </is>
      </c>
      <c r="B330" s="2" t="inlineStr">
        <is>
          <t>CC-018</t>
        </is>
      </c>
      <c r="C330" s="2" t="inlineStr">
        <is>
          <t>Luxembourg: Staff Report for the 2002 Article IV Consultation (IMF Country Report 02/118)</t>
        </is>
      </c>
      <c r="D330" s="2" t="inlineStr">
        <is>
          <t>International Monetary Fund</t>
        </is>
      </c>
      <c r="E330" s="2" t="inlineStr">
        <is>
          <t>Jun 2002</t>
        </is>
      </c>
      <c r="F330" s="2" t="inlineStr">
        <is>
          <t>Report (IMF eLibrary)</t>
        </is>
      </c>
      <c r="G330" s="2" t="inlineStr">
        <is>
          <t>Para. 34: next consultation 'within 24 months'; previous concluded 8 May 2000. doi:10.5089/9781451824339.002. Grade C.</t>
        </is>
      </c>
      <c r="H330" s="5" t="inlineStr">
        <is>
          <t>https://www.elibrary.imf.org/view/journals/002/2002/118/article-A001-en.xml</t>
        </is>
      </c>
    </row>
    <row r="331">
      <c r="A331" s="2" t="inlineStr">
        <is>
          <t>321</t>
        </is>
      </c>
      <c r="B331" s="2" t="inlineStr">
        <is>
          <t>CC-018</t>
        </is>
      </c>
      <c r="C331" s="2" t="inlineStr">
        <is>
          <t>Latest Article IV staff reports of the 27 EU members (consultation-cycle statements)</t>
        </is>
      </c>
      <c r="D331" s="2" t="inlineStr">
        <is>
          <t>International Monetary Fund</t>
        </is>
      </c>
      <c r="E331" s="2" t="inlineStr">
        <is>
          <t>2025-2026 (read 2026-10-05)</t>
        </is>
      </c>
      <c r="F331" s="2" t="inlineStr">
        <is>
          <t>Reports (IMF eLibrary)</t>
        </is>
      </c>
      <c r="G331" s="2" t="inlineStr">
        <is>
          <t>Only Malta on the 24-month cycle; the other 26 on 12 months. One sentence and link per member in data/cc-018/imf_consultation_cycles.csv. Grade C.</t>
        </is>
      </c>
      <c r="H331" s="5" t="inlineStr">
        <is>
          <t>https://www.elibrary.imf.org/</t>
        </is>
      </c>
    </row>
    <row r="332">
      <c r="A332" s="2" t="inlineStr">
        <is>
          <t>322</t>
        </is>
      </c>
      <c r="B332" s="2" t="inlineStr">
        <is>
          <t>CC-018</t>
        </is>
      </c>
      <c r="C332" s="2" t="inlineStr">
        <is>
          <t>nama_10_pc, prc_hpi_q, prc_hpi_a, nasa_10_nf_tr, nama_10_pe (GDP per head, house price index, household disposable income, population)</t>
        </is>
      </c>
      <c r="D332" s="2" t="inlineStr">
        <is>
          <t>Eurostat</t>
        </is>
      </c>
      <c r="E332" s="2" t="inlineStr">
        <is>
          <t>retrieved 2026-10-05</t>
        </is>
      </c>
      <c r="F332" s="2" t="inlineStr">
        <is>
          <t>Dataset (API)</t>
        </is>
      </c>
      <c r="G332" s="2" t="inlineStr">
        <is>
          <t>With status flags (house prices from 2025-Q3 and household income 2021-24 provisional); data/cc-018/eurostat_more.csv.</t>
        </is>
      </c>
      <c r="H332" s="5" t="inlineStr">
        <is>
          <t>https://ec.europa.eu/eurostat/databrowser/</t>
        </is>
      </c>
    </row>
    <row r="333">
      <c r="A333" s="2" t="inlineStr">
        <is>
          <t>323</t>
        </is>
      </c>
      <c r="B333" s="2" t="inlineStr">
        <is>
          <t>CC-016</t>
        </is>
      </c>
      <c r="C333" s="2" t="inlineStr">
        <is>
          <t>Sustainable cruising: the Cruise Division of MSC Group and Chantiers de l'Atlantique mark a major step forward with the delivery of MSC World Europa</t>
        </is>
      </c>
      <c r="D333" s="2" t="inlineStr">
        <is>
          <t>MSC Cruises</t>
        </is>
      </c>
      <c r="E333" s="2" t="inlineStr">
        <is>
          <t>24 Oct 2022</t>
        </is>
      </c>
      <c r="F333" s="2" t="inlineStr">
        <is>
          <t>Press release</t>
        </is>
      </c>
      <c r="G333" s="2" t="inlineStr">
        <is>
          <t>Primary (ship owner): 'the world's largest LNG-powered cruise ship'; five dual-fuel engines (LNG or low-sulphur MGO); shore power capable. Emission claims are the company's.</t>
        </is>
      </c>
      <c r="H333" s="5" t="inlineStr">
        <is>
          <t>https://www.mscpressarea.com/en_US/press-releases/sustainable-cruising-the-cruise-division-of-msc-group-and-chantiers-de-l-atlantiq/</t>
        </is>
      </c>
    </row>
    <row r="334">
      <c r="A334" s="2" t="inlineStr">
        <is>
          <t>324</t>
        </is>
      </c>
      <c r="B334" s="2" t="inlineStr">
        <is>
          <t>CC-016</t>
        </is>
      </c>
      <c r="C334" s="2" t="inlineStr">
        <is>
          <t>MSC World Europa, the world's most environmentally high-performing cruise ship, starts sailing in the Mediterranean</t>
        </is>
      </c>
      <c r="D334" s="2" t="inlineStr">
        <is>
          <t>MSC Cruises</t>
        </is>
      </c>
      <c r="E334" s="2" t="inlineStr">
        <is>
          <t>12 Apr 2023</t>
        </is>
      </c>
      <c r="F334" s="2" t="inlineStr">
        <is>
          <t>Press release</t>
        </is>
      </c>
      <c r="G334" s="2" t="inlineStr">
        <is>
          <t>Primary (ship owner): Valletta among its 2023 ports; repeats engine and shore-power specification.</t>
        </is>
      </c>
      <c r="H334" s="5" t="inlineStr">
        <is>
          <t>https://www.mscpressarea.com/en_GB/press-releases/msc-world-europa-the-world-s-most-environmentally-high-performing-cruise-ship-sta/</t>
        </is>
      </c>
    </row>
    <row r="335">
      <c r="A335" s="2" t="inlineStr">
        <is>
          <t>325</t>
        </is>
      </c>
      <c r="B335" s="2" t="inlineStr">
        <is>
          <t>CC-014</t>
        </is>
      </c>
      <c r="C335" s="2" t="inlineStr">
        <is>
          <t>Annual Report 2017 (Compliance and Enforcement Directorate, pp. 18-20)</t>
        </is>
      </c>
      <c r="D335" s="2" t="inlineStr">
        <is>
          <t>Planning Authority</t>
        </is>
      </c>
      <c r="E335" s="2" t="inlineStr">
        <is>
          <t>2018 (on Issuu 28 May 2018)</t>
        </is>
      </c>
      <c r="F335" s="2" t="inlineStr">
        <is>
          <t>Annual report</t>
        </is>
      </c>
      <c r="G335" s="2" t="inlineStr">
        <is>
          <t>Primary, official statistics; read as Issuu page images (315 notices; c. 3,000 complaints).</t>
        </is>
      </c>
      <c r="H335" s="5" t="inlineStr">
        <is>
          <t>https://issuu.com/planningauthority/docs/pa_annual_report_2017</t>
        </is>
      </c>
    </row>
    <row r="336">
      <c r="A336" s="2" t="inlineStr">
        <is>
          <t>326</t>
        </is>
      </c>
      <c r="B336" s="2" t="inlineStr">
        <is>
          <t>CC-014</t>
        </is>
      </c>
      <c r="C336" s="2" t="inlineStr">
        <is>
          <t>Annual Report 2018 (Compliance &amp; Enforcement Directorate, pp. 20-24)</t>
        </is>
      </c>
      <c r="D336" s="2" t="inlineStr">
        <is>
          <t>Planning Authority</t>
        </is>
      </c>
      <c r="E336" s="2" t="inlineStr">
        <is>
          <t>2019 (on Issuu 12 Jun 2019)</t>
        </is>
      </c>
      <c r="F336" s="2" t="inlineStr">
        <is>
          <t>Annual report</t>
        </is>
      </c>
      <c r="G336" s="2" t="inlineStr">
        <is>
          <t>Primary; read as Issuu page images (219 notices; 2,560 complaints; notices only where contraveners are uncooperative).</t>
        </is>
      </c>
      <c r="H336" s="5" t="inlineStr">
        <is>
          <t>https://issuu.com/planningauthority/docs/annual_report_2018_pa_march_final</t>
        </is>
      </c>
    </row>
    <row r="337">
      <c r="A337" s="2" t="inlineStr">
        <is>
          <t>327</t>
        </is>
      </c>
      <c r="B337" s="2" t="inlineStr">
        <is>
          <t>CC-014</t>
        </is>
      </c>
      <c r="C337" s="2" t="inlineStr">
        <is>
          <t>Annual Report 2020 (Compliance and Enforcement Directorate, pp. 27-29)</t>
        </is>
      </c>
      <c r="D337" s="2" t="inlineStr">
        <is>
          <t>Planning Authority</t>
        </is>
      </c>
      <c r="E337" s="2" t="inlineStr">
        <is>
          <t>2021 (on Issuu 19 Jul 2021)</t>
        </is>
      </c>
      <c r="F337" s="2" t="inlineStr">
        <is>
          <t>Annual report</t>
        </is>
      </c>
      <c r="G337" s="2" t="inlineStr">
        <is>
          <t>Primary; read as Issuu page images (169 notices; 3,313 complaints; 818 sanctioning applications).</t>
        </is>
      </c>
      <c r="H337" s="5" t="inlineStr">
        <is>
          <t>https://issuu.com/planningauthority/docs/pa_2020_annual_report_v3</t>
        </is>
      </c>
    </row>
    <row r="338">
      <c r="A338" s="2" t="inlineStr">
        <is>
          <t>328</t>
        </is>
      </c>
      <c r="B338" s="2" t="inlineStr">
        <is>
          <t>CC-014</t>
        </is>
      </c>
      <c r="C338" s="2" t="inlineStr">
        <is>
          <t>Annual Report 2021 (Compliance and Enforcement Directorate, pp. 28-29)</t>
        </is>
      </c>
      <c r="D338" s="2" t="inlineStr">
        <is>
          <t>Planning Authority</t>
        </is>
      </c>
      <c r="E338" s="2" t="inlineStr">
        <is>
          <t>on Issuu 9 Jan 2024</t>
        </is>
      </c>
      <c r="F338" s="2" t="inlineStr">
        <is>
          <t>Annual report</t>
        </is>
      </c>
      <c r="G338" s="2" t="inlineStr">
        <is>
          <t>Primary; read as Issuu page images (164 notices; 3,192 complaints); Issuu slug says 2022.</t>
        </is>
      </c>
      <c r="H338" s="5" t="inlineStr">
        <is>
          <t>https://issuu.com/planningauthority/docs/pa_ar_2022_cmyk_single_page_ver2</t>
        </is>
      </c>
    </row>
    <row r="339">
      <c r="A339" s="2" t="inlineStr">
        <is>
          <t>329</t>
        </is>
      </c>
      <c r="B339" s="2" t="inlineStr">
        <is>
          <t>CC-014</t>
        </is>
      </c>
      <c r="C339" s="2" t="inlineStr">
        <is>
          <t>Annual Report 2022 (Compliance &amp; Enforcement Directorate, pp. 23-24)</t>
        </is>
      </c>
      <c r="D339" s="2" t="inlineStr">
        <is>
          <t>Planning Authority</t>
        </is>
      </c>
      <c r="E339" s="2" t="inlineStr">
        <is>
          <t>on Issuu 9 Jan 2024</t>
        </is>
      </c>
      <c r="F339" s="2" t="inlineStr">
        <is>
          <t>Annual report</t>
        </is>
      </c>
      <c r="G339" s="2" t="inlineStr">
        <is>
          <t>Primary; read as Issuu page images (180 notices; 2,804 complaints).</t>
        </is>
      </c>
      <c r="H339" s="5" t="inlineStr">
        <is>
          <t>https://issuu.com/planningauthority/docs/20230117_pa_cd_annual_report_2022_web_final</t>
        </is>
      </c>
    </row>
    <row r="340">
      <c r="A340" s="2" t="inlineStr">
        <is>
          <t>330</t>
        </is>
      </c>
      <c r="B340" s="2" t="inlineStr">
        <is>
          <t>CC-014</t>
        </is>
      </c>
      <c r="C340" s="2" t="inlineStr">
        <is>
          <t>Annual Report 2023 (Compliance &amp; Enforcement Directorate, pp. 23-24)</t>
        </is>
      </c>
      <c r="D340" s="2" t="inlineStr">
        <is>
          <t>Planning Authority</t>
        </is>
      </c>
      <c r="E340" s="2" t="inlineStr">
        <is>
          <t>2025 (on Issuu 4 Feb 2025)</t>
        </is>
      </c>
      <c r="F340" s="2" t="inlineStr">
        <is>
          <t>Annual report</t>
        </is>
      </c>
      <c r="G340" s="2" t="inlineStr">
        <is>
          <t>Primary; read as Issuu page images (233 notices; 2,463 complaints; daily fines since 2012).</t>
        </is>
      </c>
      <c r="H340" s="5" t="inlineStr">
        <is>
          <t>https://issuu.com/planningauthority/docs/pa_annual_report_2023</t>
        </is>
      </c>
    </row>
    <row r="341">
      <c r="A341" s="2" t="inlineStr">
        <is>
          <t>331</t>
        </is>
      </c>
      <c r="B341" s="2" t="inlineStr">
        <is>
          <t>CC-004</t>
        </is>
      </c>
      <c r="C341" s="2" t="inlineStr">
        <is>
          <t>Early warning report on Member States at risk of missing the 2025 municipal and packaging waste targets and the 2035 landfill target, COM(2023) 304 final</t>
        </is>
      </c>
      <c r="D341" s="2" t="inlineStr">
        <is>
          <t>European Commission</t>
        </is>
      </c>
      <c r="E341" s="2" t="inlineStr">
        <is>
          <t>8 Jun 2023</t>
        </is>
      </c>
      <c r="F341" s="2" t="inlineStr">
        <is>
          <t>EU report</t>
        </is>
      </c>
      <c r="G341" s="2" t="inlineStr">
        <is>
          <t>Read in full (Cellar). Malta among 10 states at risk of missing both 2025 targets (p. 3) and 13 still far from the 2035 landfill target (p. 10). Copy in literature/CC-004/open-access/.</t>
        </is>
      </c>
      <c r="H341" s="5" t="inlineStr">
        <is>
          <t>https://eur-lex.europa.eu/legal-content/EN/TXT/?uri=CELEX:52023DC0304</t>
        </is>
      </c>
    </row>
    <row r="342">
      <c r="A342" s="2" t="inlineStr">
        <is>
          <t>332</t>
        </is>
      </c>
      <c r="B342" s="2" t="inlineStr">
        <is>
          <t>CC-004</t>
        </is>
      </c>
      <c r="C342" s="2" t="inlineStr">
        <is>
          <t>The early warning report for Malta, SWD(2023) 195 final</t>
        </is>
      </c>
      <c r="D342" s="2" t="inlineStr">
        <is>
          <t>European Commission</t>
        </is>
      </c>
      <c r="E342" s="2" t="inlineStr">
        <is>
          <t>8 Jun 2023</t>
        </is>
      </c>
      <c r="F342" s="2" t="inlineStr">
        <is>
          <t>EU report</t>
        </is>
      </c>
      <c r="G342" s="2" t="inlineStr">
        <is>
          <t>Read in full. Compost used for landscaping and landfill remediation (p. 2); recommends compost and digestate for land improvement and fertiliser (p. 3).</t>
        </is>
      </c>
      <c r="H342" s="5" t="inlineStr">
        <is>
          <t>https://eur-lex.europa.eu/legal-content/EN/TXT/?uri=CELEX:52023SC0195</t>
        </is>
      </c>
    </row>
    <row r="343">
      <c r="A343" s="2" t="inlineStr">
        <is>
          <t>333</t>
        </is>
      </c>
      <c r="B343" s="2" t="inlineStr">
        <is>
          <t>CC-004</t>
        </is>
      </c>
      <c r="C343" s="2" t="inlineStr">
        <is>
          <t>2025 Environmental Implementation Review: Country Report – Malta, SWD(2025) 318 final</t>
        </is>
      </c>
      <c r="D343" s="2" t="inlineStr">
        <is>
          <t>European Commission</t>
        </is>
      </c>
      <c r="E343" s="2" t="inlineStr">
        <is>
          <t>7 Jul 2025</t>
        </is>
      </c>
      <c r="F343" s="2" t="inlineStr">
        <is>
          <t>EU report</t>
        </is>
      </c>
      <c r="G343" s="2" t="inlineStr">
        <is>
          <t>Waste chapter pp. 3–11 read in full. Postponement notified Dec 2023, renounced Nov 2024 (p. 8); treated biowaste reported as landfilled (p. 9); deposit scheme 78% collected, 74% recycled in 2023 (p. 11).</t>
        </is>
      </c>
      <c r="H343" s="5" t="inlineStr">
        <is>
          <t>https://eur-lex.europa.eu/legal-content/EN/TXT/?uri=CELEX:52025SC0318</t>
        </is>
      </c>
    </row>
    <row r="344">
      <c r="A344" s="2" t="inlineStr">
        <is>
          <t>334</t>
        </is>
      </c>
      <c r="B344" s="2" t="inlineStr">
        <is>
          <t>CC-004</t>
        </is>
      </c>
      <c r="C344" s="2" t="inlineStr">
        <is>
          <t>Recycling rate of municipal waste (cei_wm011) – all EU-27 states</t>
        </is>
      </c>
      <c r="D344" s="2" t="inlineStr">
        <is>
          <t>Eurostat</t>
        </is>
      </c>
      <c r="E344" s="2" t="inlineStr">
        <is>
          <t>retrieved 5 Oct 2026</t>
        </is>
      </c>
      <c r="F344" s="2" t="inlineStr">
        <is>
          <t>Official statistics</t>
        </is>
      </c>
      <c r="G344" s="2" t="inlineStr">
        <is>
          <t>Dataset updated 30 Mar 2026. Malta +7.6 pp 2019–2024, 4th of 20 states with both years; 2nd-lowest 2024 rate of 20. Extract in data/cc-004/eurostat_cei_wm011_eu27.csv.</t>
        </is>
      </c>
      <c r="H344" s="5" t="inlineStr">
        <is>
          <t>https://ec.europa.eu/eurostat/databrowser/view/cei_wm011/default/table</t>
        </is>
      </c>
    </row>
    <row r="345">
      <c r="A345" s="2" t="inlineStr">
        <is>
          <t>335</t>
        </is>
      </c>
      <c r="B345" s="2" t="inlineStr">
        <is>
          <t>CC-009</t>
        </is>
      </c>
      <c r="C345" s="2" t="inlineStr">
        <is>
          <t>Annual freshwater abstraction by source and sector (env_wat_abs); Renewable freshwater resources (env_wat_res)</t>
        </is>
      </c>
      <c r="D345" s="2" t="inlineStr">
        <is>
          <t>Eurostat</t>
        </is>
      </c>
      <c r="E345" s="2" t="inlineStr">
        <is>
          <t>retrieved 2026-10-05</t>
        </is>
      </c>
      <c r="F345" s="2" t="inlineStr">
        <is>
          <t>Official statistics</t>
        </is>
      </c>
      <c r="G345" s="2" t="inlineStr">
        <is>
          <t>Malta; values flagged estimated. 2024: fresh groundwater abstraction 38.46m m3 (agriculture 21.77, public supply 14.28); recharge 41.52. Extract in data/cc-009/eurostat_water.csv.</t>
        </is>
      </c>
      <c r="H345" s="5" t="inlineStr">
        <is>
          <t>https://ec.europa.eu/eurostat/databrowser/view/env_wat_abs/default/table</t>
        </is>
      </c>
    </row>
    <row r="346">
      <c r="A346" s="2" t="inlineStr">
        <is>
          <t>336</t>
        </is>
      </c>
      <c r="B346" s="2" t="inlineStr">
        <is>
          <t>CC-009</t>
        </is>
      </c>
      <c r="C346" s="2" t="inlineStr">
        <is>
          <t>Groundwater residence time and movement in the Maltese islands – A geochemical approach (Stuart et al.)</t>
        </is>
      </c>
      <c r="D346" s="2" t="inlineStr">
        <is>
          <t>Applied Geochemistry 25(5):609–620</t>
        </is>
      </c>
      <c r="E346" s="2" t="inlineStr">
        <is>
          <t>2010</t>
        </is>
      </c>
      <c r="F346" s="2" t="inlineStr">
        <is>
          <t>Peer-reviewed study</t>
        </is>
      </c>
      <c r="G346" s="2" t="inlineStr">
        <is>
          <t>doi:10.1016/j.apgeochem.2009.12.010. Read as the authors' accepted manuscript (NORA eprint 9619). Travel times 15–40 years (Malta MSL), 25 to &gt;60 (Gozo MSL).</t>
        </is>
      </c>
      <c r="H346" s="5" t="inlineStr">
        <is>
          <t>https://doi.org/10.1016/j.apgeochem.2009.12.010</t>
        </is>
      </c>
    </row>
    <row r="347">
      <c r="A347" s="2" t="inlineStr">
        <is>
          <t>337</t>
        </is>
      </c>
      <c r="B347" s="2" t="inlineStr">
        <is>
          <t>CC-009; CC-101</t>
        </is>
      </c>
      <c r="C347" s="2" t="inlineStr">
        <is>
          <t>Integrated Water Resources Management in the Maltese Islands (Sapiano)</t>
        </is>
      </c>
      <c r="D347" s="2" t="inlineStr">
        <is>
          <t>Acque Sotterranee – Italian Journal of Groundwater 9(3):25–32</t>
        </is>
      </c>
      <c r="E347" s="2" t="inlineStr">
        <is>
          <t>2020</t>
        </is>
      </c>
      <c r="F347" s="2" t="inlineStr">
        <is>
          <t>Peer-reviewed journal (workshop paper)</t>
        </is>
      </c>
      <c r="G347" s="2" t="inlineStr">
        <is>
          <t>doi:10.7343/as-2020-477. Open access, read in full; EWA author. Available groundwater ~37m m3/yr vs abstraction 38–41; WEI+ 78–89%.</t>
        </is>
      </c>
      <c r="H347" s="5" t="inlineStr">
        <is>
          <t>https://doi.org/10.7343/as-2020-477</t>
        </is>
      </c>
    </row>
    <row r="348">
      <c r="A348" s="2" t="inlineStr">
        <is>
          <t>338</t>
        </is>
      </c>
      <c r="B348" s="2" t="inlineStr">
        <is>
          <t>CC-009</t>
        </is>
      </c>
      <c r="C348" s="2" t="inlineStr">
        <is>
          <t>The Mean Sea Level Aquifer, Malta and Gozo (Mangion and Sapiano), in Natural Groundwater Quality pp. 404–420</t>
        </is>
      </c>
      <c r="D348" s="2" t="inlineStr">
        <is>
          <t>Blackwell/Wiley</t>
        </is>
      </c>
      <c r="E348" s="2" t="inlineStr">
        <is>
          <t>2008</t>
        </is>
      </c>
      <c r="F348" s="2" t="inlineStr">
        <is>
          <t>Peer-reviewed book chapter</t>
        </is>
      </c>
      <c r="G348" s="2" t="inlineStr">
        <is>
          <t>doi:10.1002/9781444300345.ch19. Not read (closed access); lead only, not cited for findings.</t>
        </is>
      </c>
      <c r="H348" s="5" t="inlineStr">
        <is>
          <t>https://doi.org/10.1002/9781444300345.ch19</t>
        </is>
      </c>
    </row>
    <row r="349">
      <c r="A349" s="2" t="inlineStr">
        <is>
          <t>339</t>
        </is>
      </c>
      <c r="B349" s="2" t="inlineStr">
        <is>
          <t>CC-017</t>
        </is>
      </c>
      <c r="C349" s="2" t="inlineStr">
        <is>
          <t>Watch: 'Game Changer' - Robert Abela Discusses Land Reclamation Plans Off Coast Of Birżebbuġa</t>
        </is>
      </c>
      <c r="D349" s="2" t="inlineStr">
        <is>
          <t>Lovin Malta (Tim Diacono)</t>
        </is>
      </c>
      <c r="E349" s="2" t="inlineStr">
        <is>
          <t>28 Oct 2025</t>
        </is>
      </c>
      <c r="F349" s="2" t="inlineStr">
        <is>
          <t>News (quotes the PM)</t>
        </is>
      </c>
      <c r="G349" s="2" t="inlineStr">
        <is>
          <t>Read in full 5 Oct 2026. PM after the Budget: "The sea near the Freeport is an ideal depth for these kinds of projects, and our idea is to relocate industries that bother people." Lovin Malta's English rendering.</t>
        </is>
      </c>
      <c r="H349" s="5" t="inlineStr">
        <is>
          <t>https://lovinmalta.com/news/watch-game-changer-robert-abela-discusses-land-reclamation-plans-off-cost-of-birzebbuga/</t>
        </is>
      </c>
    </row>
    <row r="350">
      <c r="A350" s="2" t="inlineStr">
        <is>
          <t>340</t>
        </is>
      </c>
      <c r="B350" s="2" t="inlineStr">
        <is>
          <t>CC-017</t>
        </is>
      </c>
      <c r="C350" s="2" t="inlineStr">
        <is>
          <t>Global Distribution of Seagrasses (version 7.1)</t>
        </is>
      </c>
      <c r="D350" s="2" t="inlineStr">
        <is>
          <t>UNEP-WCMC; Short F.T.</t>
        </is>
      </c>
      <c r="E350" s="2" t="inlineStr">
        <is>
          <t>2021</t>
        </is>
      </c>
      <c r="F350" s="2" t="inlineStr">
        <is>
          <t>Dataset</t>
        </is>
      </c>
      <c r="G350" s="2" t="inlineStr">
        <is>
          <t>doi:10.34892/x6r3-d211 (DataCite). Queried 5 Oct 2026. Licence forbids redistribution: polygons not committed; statistics in data/cc-017/bay_stats.csv. Not used in the published report: maintainer decision 5 Oct 2026, EMODnet seagrass layer only</t>
        </is>
      </c>
      <c r="H350" s="5" t="inlineStr">
        <is>
          <t>https://data-gis.unep-wcmc.org/server/rest/services/HabitatsAndBiotopes/Global_Distribution_of_Seagrasses/FeatureServer</t>
        </is>
      </c>
    </row>
    <row r="351">
      <c r="A351" s="2" t="inlineStr">
        <is>
          <t>341</t>
        </is>
      </c>
      <c r="B351" s="2" t="inlineStr">
        <is>
          <t>CC-017</t>
        </is>
      </c>
      <c r="C351" s="2" t="inlineStr">
        <is>
          <t>Seagrass cover (Essential Ocean Variable) in Europe and the Caribbean, version 2025</t>
        </is>
      </c>
      <c r="D351" s="2" t="inlineStr">
        <is>
          <t>EMODnet Seabed Habitats</t>
        </is>
      </c>
      <c r="E351" s="2" t="inlineStr">
        <is>
          <t>2025</t>
        </is>
      </c>
      <c r="F351" s="2" t="inlineStr">
        <is>
          <t>Dataset</t>
        </is>
      </c>
      <c r="G351" s="2" t="inlineStr">
        <is>
          <t>WFS seagrass_eov_poly_2025, 5 Oct 2026; CC BY 4.0; Maltese map EUSM16me (2016), gridded ~230 m. data/cc-017/seagrass_emodnet_bay.geojson. Only seagrass layer used in the report (5 Oct 2026); attribution on Figure 3</t>
        </is>
      </c>
      <c r="H351" s="5" t="inlineStr">
        <is>
          <t>https://emodnet.ec.europa.eu/geonetwork/srv/eng/catalog.search#/metadata/39746d9c-4220-425c-bc26-7cb3056c36a5</t>
        </is>
      </c>
    </row>
    <row r="352">
      <c r="A352" s="2" t="inlineStr">
        <is>
          <t>342</t>
        </is>
      </c>
      <c r="B352" s="2" t="inlineStr">
        <is>
          <t>CC-017</t>
        </is>
      </c>
      <c r="C352" s="2" t="inlineStr">
        <is>
          <t>EMODnet Digital Bathymetry (DTM 2024)</t>
        </is>
      </c>
      <c r="D352" s="2" t="inlineStr">
        <is>
          <t>EMODnet Bathymetry Consortium</t>
        </is>
      </c>
      <c r="E352" s="2" t="inlineStr">
        <is>
          <t>2024</t>
        </is>
      </c>
      <c r="F352" s="2" t="inlineStr">
        <is>
          <t>Dataset</t>
        </is>
      </c>
      <c r="G352" s="2" t="inlineStr">
        <is>
          <t>doi:10.12770/cf51df64-56f9-4a99-b1aa-36b8d7b743a1; WCS emodnet__mean, 5 Oct 2026; grid not committed; statistics in data/cc-017/bay_stats.csv.</t>
        </is>
      </c>
      <c r="H352" s="5" t="inlineStr">
        <is>
          <t>https://ows.emodnet-bathymetry.eu/wcs</t>
        </is>
      </c>
    </row>
    <row r="353">
      <c r="A353" s="2" t="inlineStr">
        <is>
          <t>343</t>
        </is>
      </c>
      <c r="B353" s="2" t="inlineStr">
        <is>
          <t>CC-017</t>
        </is>
      </c>
      <c r="C353" s="2" t="inlineStr">
        <is>
          <t>Article 17 web tool: 1120 Posidonia beds, Malta (MMED), 2013-2018 and 2019-2024</t>
        </is>
      </c>
      <c r="D353" s="2" t="inlineStr">
        <is>
          <t>European Environment Agency</t>
        </is>
      </c>
      <c r="E353" s="2" t="inlineStr">
        <is>
          <t>read 5 Oct 2026</t>
        </is>
      </c>
      <c r="F353" s="2" t="inlineStr">
        <is>
          <t>Official assessment</t>
        </is>
      </c>
      <c r="G353" s="2" t="inlineStr">
        <is>
          <t>Overall favourable in both periods (2019-2024 stable); 68.46 km2. data/cc-017/article17_1120_mt.csv.</t>
        </is>
      </c>
      <c r="H353" s="5" t="inlineStr">
        <is>
          <t>https://nature-art17.eionet.europa.eu/article17/habitat/summary/?period=6&amp;subject=1120</t>
        </is>
      </c>
    </row>
    <row r="354">
      <c r="A354" s="2" t="inlineStr">
        <is>
          <t>344</t>
        </is>
      </c>
      <c r="B354" s="2" t="inlineStr">
        <is>
          <t>CC-017</t>
        </is>
      </c>
      <c r="C354" s="2" t="inlineStr">
        <is>
          <t>General Data License (excluding WDPA)</t>
        </is>
      </c>
      <c r="D354" s="2" t="inlineStr">
        <is>
          <t>UNEP-WCMC</t>
        </is>
      </c>
      <c r="E354" s="2" t="inlineStr">
        <is>
          <t>21 Jul 2014</t>
        </is>
      </c>
      <c r="F354" s="2" t="inlineStr">
        <is>
          <t>Licence</t>
        </is>
      </c>
      <c r="G354" s="2" t="inlineStr">
        <is>
          <t>Terms for the UNEP-WCMC seagrass layer: no redistribution; non-commercial; publish only as non-downloadable map with citation, release year and link. Layer not used (maintainer decision 5 Oct 2026); kept for the record</t>
        </is>
      </c>
      <c r="H354" s="5" t="inlineStr">
        <is>
          <t>https://www.unep-wcmc.org/en/general-data-license</t>
        </is>
      </c>
    </row>
    <row r="355">
      <c r="A355" s="2" t="inlineStr">
        <is>
          <t>345</t>
        </is>
      </c>
      <c r="B355" s="2" t="inlineStr">
        <is>
          <t>CC-019</t>
        </is>
      </c>
      <c r="C355" s="2" t="inlineStr">
        <is>
          <t>Green to Grey change polygons for Malta (malta-change.geojson)</t>
        </is>
      </c>
      <c r="D355" s="2" t="inlineStr">
        <is>
          <t>Amphora Media</t>
        </is>
      </c>
      <c r="E355" s="2" t="inlineStr">
        <is>
          <t>generated 30 Aug 2026</t>
        </is>
      </c>
      <c r="F355" s="2" t="inlineStr">
        <is>
          <t>Dataset (claimant's data)</t>
        </is>
      </c>
      <c r="G355" s="2" t="inlineStr">
        <is>
          <t>397 polygons, 828,429 m2. Retrieved 5 Oct 2026, SHA-256 cf250ece689bec333d8e4852aaa9b53abf492ba971ad2e2a47d4fe9a04fcf320. Licence not stated: not committed.</t>
        </is>
      </c>
      <c r="H355" s="5" t="inlineStr">
        <is>
          <t>https://www.amphora.media/greentogrey/data/malta-change.geojson</t>
        </is>
      </c>
    </row>
    <row r="356">
      <c r="A356" s="2" t="inlineStr">
        <is>
          <t>346</t>
        </is>
      </c>
      <c r="B356" s="2" t="inlineStr">
        <is>
          <t>CC-019</t>
        </is>
      </c>
      <c r="C356" s="2" t="inlineStr">
        <is>
          <t>Sentinel-2 10m Land Cover time series, 2017-2025</t>
        </is>
      </c>
      <c r="D356" s="2" t="inlineStr">
        <is>
          <t>Impact Observatory / Microsoft / Esri (Living Atlas)</t>
        </is>
      </c>
      <c r="E356" s="2" t="inlineStr">
        <is>
          <t>2026</t>
        </is>
      </c>
      <c r="F356" s="2" t="inlineStr">
        <is>
          <t>Satellite land cover</t>
        </is>
      </c>
      <c r="G356" s="2" t="inlineStr">
        <is>
          <t>Retrieved 5 Oct 2026; 2017-2023 identical to the Planetary Computer maps. data/cc-019/io_esri_series.csv.</t>
        </is>
      </c>
      <c r="H356" s="5" t="inlineStr">
        <is>
          <t>https://ic.imagery1.arcgis.com/arcgis/rest/services/Sentinel2_10m_LandCover/ImageServer</t>
        </is>
      </c>
    </row>
    <row r="357">
      <c r="A357" s="2" t="inlineStr">
        <is>
          <t>347</t>
        </is>
      </c>
      <c r="B357" s="2" t="inlineStr">
        <is>
          <t>CC-019</t>
        </is>
      </c>
      <c r="C357" s="2" t="inlineStr">
        <is>
          <t>CORINE Land Cover change 2006-2012 and 2012-2018 (CHA0612, CHA1218)</t>
        </is>
      </c>
      <c r="D357" s="2" t="inlineStr">
        <is>
          <t>European Environment Agency</t>
        </is>
      </c>
      <c r="E357" s="2" t="inlineStr">
        <is>
          <t>2020</t>
        </is>
      </c>
      <c r="F357" s="2" t="inlineStr">
        <is>
          <t>Dataset</t>
        </is>
      </c>
      <c r="G357" s="2" t="inlineStr">
        <is>
          <t>Queried 5 Oct 2026; 5 ha minimum mapping unit for change layers. data/cc-019/corine_change.csv.</t>
        </is>
      </c>
      <c r="H357" s="5" t="inlineStr">
        <is>
          <t>https://image.discomap.eea.europa.eu/arcgis/rest/services/Corine</t>
        </is>
      </c>
    </row>
    <row r="358">
      <c r="A358" s="2" t="inlineStr">
        <is>
          <t>348</t>
        </is>
      </c>
      <c r="B358" s="2" t="inlineStr">
        <is>
          <t>CC-019</t>
        </is>
      </c>
      <c r="C358" s="2" t="inlineStr">
        <is>
          <t>World Imagery Wayback (releases 2018-01-18, 2019-10-30, 2024-03-07, 2026-03-26)</t>
        </is>
      </c>
      <c r="D358" s="2" t="inlineStr">
        <is>
          <t>Esri (imagery: Maxar / Vantor)</t>
        </is>
      </c>
      <c r="E358" s="2" t="inlineStr">
        <is>
          <t>2014-2026</t>
        </is>
      </c>
      <c r="F358" s="2" t="inlineStr">
        <is>
          <t>Satellite imagery archive</t>
        </is>
      </c>
      <c r="G358" s="2" t="inlineStr">
        <is>
          <t>Viewed 5 Oct 2026 for the imagery spot-check of 40 PPS draws (39 polygons); imagery acquired Jul 2015-Aug 2016, 4 Sep 2018, 6 May 2023, Jun-Sep 2025, 0.3-0.5 m. Not redistributed (Esri terms); classes in data/cc-019/imagery_spotcheck.csv.</t>
        </is>
      </c>
      <c r="H358" s="5" t="inlineStr">
        <is>
          <t>https://wayback.maptiles.arcgis.com/arcgis/rest/services/World_Imagery</t>
        </is>
      </c>
    </row>
    <row r="359">
      <c r="A359" s="2" t="inlineStr">
        <is>
          <t>349</t>
        </is>
      </c>
      <c r="B359" s="2" t="inlineStr">
        <is>
          <t>CC-019</t>
        </is>
      </c>
      <c r="C359" s="2" t="inlineStr">
        <is>
          <t>World Imagery Wayback release list (waybackconfig.json) and per-release imagery metadata layers (SRC_DATE)</t>
        </is>
      </c>
      <c r="D359" s="2" t="inlineStr">
        <is>
          <t>Esri</t>
        </is>
      </c>
      <c r="E359" s="2" t="inlineStr">
        <is>
          <t>2026</t>
        </is>
      </c>
      <c r="F359" s="2" t="inlineStr">
        <is>
          <t>Service metadata</t>
        </is>
      </c>
      <c r="G359" s="2" t="inlineStr">
        <is>
          <t>Queried 5 Oct 2026: acquisition date, sensor and resolution of each imagery version at each sampled polygon's centroid; release found with the tilemap endpoint. Release list: https://s3-us-west-2.amazonaws.com/config.maptiles.arcgis.com/waybackconfig.json</t>
        </is>
      </c>
      <c r="H359" s="5" t="inlineStr">
        <is>
          <t>https://metadata.maptiles.arcgis.com/arcgis/rest/services</t>
        </is>
      </c>
    </row>
    <row r="360">
      <c r="A360" s="2" t="inlineStr">
        <is>
          <t>350</t>
        </is>
      </c>
      <c r="B360" s="2" t="inlineStr">
        <is>
          <t>CC-035</t>
        </is>
      </c>
      <c r="C360" s="2" t="inlineStr">
        <is>
          <t>Air pollution country fact sheets 2025: quick country facts</t>
        </is>
      </c>
      <c r="D360" s="2" t="inlineStr">
        <is>
          <t>European Environment Agency</t>
        </is>
      </c>
      <c r="E360" s="2" t="inlineStr">
        <is>
          <t>2025</t>
        </is>
      </c>
      <c r="F360" s="2" t="inlineStr">
        <is>
          <t>Official statistics (text)</t>
        </is>
      </c>
      <c r="G360" s="2" t="inlineStr">
        <is>
          <t>The claim. Malta sentence read in the page HTML on 6 Oct 2026 (page modified 1 Dec 2025): rate down 67.7% 2005-2023 (143.5 to 46.3 per 100 000 aged 30+), 172 (95% CI 131-192) deaths in 2023; all figures reproduce from the EEA's own table.</t>
        </is>
      </c>
      <c r="H360" s="5" t="inlineStr">
        <is>
          <t>https://www.eea.europa.eu/en/topics/in-depth/air-pollution/air-pollution-country-fact-sheets-2025/quick-country-facts</t>
        </is>
      </c>
    </row>
    <row r="361">
      <c r="A361" s="2" t="inlineStr">
        <is>
          <t>351</t>
        </is>
      </c>
      <c r="B361" s="2" t="inlineStr">
        <is>
          <t>CC-032</t>
        </is>
      </c>
      <c r="C361" s="2" t="inlineStr">
        <is>
          <t>First solar flowers in Europe installed at the Gozo Multi-Modal Hub in Ta' Xħajma</t>
        </is>
      </c>
      <c r="D361" s="2" t="inlineStr">
        <is>
          <t>TVM News</t>
        </is>
      </c>
      <c r="E361" s="2" t="inlineStr">
        <is>
          <t>21 Oct 2025</t>
        </is>
      </c>
      <c r="F361" s="2" t="inlineStr">
        <is>
          <t>News (public broadcaster)</t>
        </is>
      </c>
      <c r="G361" s="2" t="inlineStr">
        <is>
          <t>English version: the statement in indirect speech ('the first of its kind in Europe'); the minister's English quote on the buses drops 'first ... in Europe' (the Maltese version keeps it). Read 5 and 6 Oct 2026.</t>
        </is>
      </c>
      <c r="H361" s="5" t="inlineStr">
        <is>
          <t>https://tvmnews.mt/en/news/first-solar-flowers-in-europe-installed-at-the-gozo-multi-modal-hub-in-ta-xhajma/</t>
        </is>
      </c>
    </row>
    <row r="362">
      <c r="A362" s="2" t="inlineStr">
        <is>
          <t>352</t>
        </is>
      </c>
      <c r="B362" s="2" t="inlineStr">
        <is>
          <t>CC-032</t>
        </is>
      </c>
      <c r="C362" s="2" t="inlineStr">
        <is>
          <t>15 solar flowers installed in Gozo for electricity generation, the first project of its kind in Europe</t>
        </is>
      </c>
      <c r="D362" s="2" t="inlineStr">
        <is>
          <t>European Commission (Reforms and Investments)</t>
        </is>
      </c>
      <c r="E362" s="2" t="inlineStr">
        <is>
          <t>modified 2 Feb 2026</t>
        </is>
      </c>
      <c r="F362" s="2" t="inlineStr">
        <is>
          <t>EU project page</t>
        </is>
      </c>
      <c r="G362" s="2" t="inlineStr">
        <is>
          <t>The Commission page repeats the Government's claim in its own words (title: 'the first project of its kind in Europe'; body: 'They are the first of their kind in Europe' and a flat '40% more power'); RRP C1-I5, EUR 850,000. The Commission's own words are not rated: the claim is the Government's. Page read: the '-0_en' address (the '-1_en' page is identical; the suffix-less page has a different body). Read 5 and 6 Oct 2026.</t>
        </is>
      </c>
      <c r="H362" s="5" t="inlineStr">
        <is>
          <t>https://reforms-investments.ec.europa.eu/projects/15-solar-flowers-installed-gozo-electricity-generation-first-project-its-kind-europe-0_en</t>
        </is>
      </c>
    </row>
    <row r="363">
      <c r="A363" s="2" t="inlineStr">
        <is>
          <t>353</t>
        </is>
      </c>
      <c r="B363" s="2" t="inlineStr">
        <is>
          <t>CC-029</t>
        </is>
      </c>
      <c r="C363" s="2" t="inlineStr">
        <is>
          <t>Three submissions presented for the first offshore wind farm concession in Malta</t>
        </is>
      </c>
      <c r="D363" s="2" t="inlineStr">
        <is>
          <t>TVM News</t>
        </is>
      </c>
      <c r="E363" s="2" t="inlineStr">
        <is>
          <t>22 Jul 2025</t>
        </is>
      </c>
      <c r="F363" s="2" t="inlineStr">
        <is>
          <t>News (public broadcaster)</t>
        </is>
      </c>
      <c r="G363" s="2" t="inlineStr">
        <is>
          <t>Energy Ministry statement (about 300 MW) and direct quote from Minister Dalli. Read 5 Oct 2026.</t>
        </is>
      </c>
      <c r="H363" s="5" t="inlineStr">
        <is>
          <t>https://tvmnews.mt/en/news/three-submissions-presented-for-the-first-offshore-wind-farm-concession-in-malta/</t>
        </is>
      </c>
    </row>
    <row r="364">
      <c r="A364" s="2" t="inlineStr">
        <is>
          <t>354</t>
        </is>
      </c>
      <c r="B364" s="2" t="inlineStr">
        <is>
          <t>CC-029</t>
        </is>
      </c>
      <c r="C364" s="2" t="inlineStr">
        <is>
          <t>Three firms bid for Malta's first offshore wind farm concession</t>
        </is>
      </c>
      <c r="D364" s="2" t="inlineStr">
        <is>
          <t>Newsbook</t>
        </is>
      </c>
      <c r="E364" s="2" t="inlineStr">
        <is>
          <t>Jul 2025</t>
        </is>
      </c>
      <c r="F364" s="2" t="inlineStr">
        <is>
          <t>News</t>
        </is>
      </c>
      <c r="G364" s="2" t="inlineStr">
        <is>
          <t>Next stage due 'by early next year'; direct quote from Minister Dalli. Read 5 Oct 2026.</t>
        </is>
      </c>
      <c r="H364" s="5" t="inlineStr">
        <is>
          <t>https://newsbook.com.mt/en/three-firms-bid-for-maltas-first-offshore-wind-farm-concession/</t>
        </is>
      </c>
    </row>
    <row r="365">
      <c r="A365" s="2" t="inlineStr">
        <is>
          <t>355</t>
        </is>
      </c>
      <c r="B365" s="2" t="inlineStr">
        <is>
          <t>CC-037</t>
        </is>
      </c>
      <c r="C365" s="2" t="inlineStr">
        <is>
          <t>Quality of life indicators – natural and living environment (Statistics Explained)</t>
        </is>
      </c>
      <c r="D365" s="2" t="inlineStr">
        <is>
          <t>Eurostat</t>
        </is>
      </c>
      <c r="E365" s="2" t="inlineStr">
        <is>
          <t>last edited 14 Aug 2025</t>
        </is>
      </c>
      <c r="F365" s="2" t="inlineStr">
        <is>
          <t>Official statistics</t>
        </is>
      </c>
      <c r="G365" s="2" t="inlineStr">
        <is>
          <t>Likely source of Amphora's figures (Amphora names none): Malta 'by far the highest share' (34.7%); Malta among 9 countries where people at risk of poverty reported less (5.5 pp lower). Calls the indicator 'reporting exposure to pollution, grime or other environmental problems'. Read 5 Oct 2026. Grade C.</t>
        </is>
      </c>
      <c r="H365" s="5" t="inlineStr">
        <is>
          <t>https://ec.europa.eu/eurostat/statistics-explained/index.php?title=Quality_of_life_indicators_-_natural_and_living_environment</t>
        </is>
      </c>
    </row>
    <row r="366">
      <c r="A366" s="2" t="inlineStr">
        <is>
          <t>356</t>
        </is>
      </c>
      <c r="B366" s="2" t="inlineStr">
        <is>
          <t>CC-037</t>
        </is>
      </c>
      <c r="C366" s="2" t="inlineStr">
        <is>
          <t>12% of EU population reported pollution in their area (Eurostat news)</t>
        </is>
      </c>
      <c r="D366" s="2" t="inlineStr">
        <is>
          <t>Eurostat</t>
        </is>
      </c>
      <c r="E366" s="2" t="inlineStr">
        <is>
          <t>1 Sep 2025</t>
        </is>
      </c>
      <c r="F366" s="2" t="inlineStr">
        <is>
          <t>Press release</t>
        </is>
      </c>
      <c r="G366" s="2" t="inlineStr">
        <is>
          <t>Malta 34.7%, Greece 20.5%, Germany 16.8%; EU 12.2% (15.1% in 2019). Data from the 'Labour market and housing conditions' module, 'collected every 3 years'. Read 5 Oct 2026. Grade C.</t>
        </is>
      </c>
      <c r="H366" s="5" t="inlineStr">
        <is>
          <t>https://ec.europa.eu/eurostat/web/products-eurostat-news/w/ddn-20250901-1</t>
        </is>
      </c>
    </row>
    <row r="367">
      <c r="A367" s="2" t="inlineStr">
        <is>
          <t>357</t>
        </is>
      </c>
      <c r="B367" s="2" t="inlineStr">
        <is>
          <t>CC-037</t>
        </is>
      </c>
      <c r="C367" s="2" t="inlineStr">
        <is>
          <t>EU statistics on income and living conditions (EU-SILC) methodology – environment of the dwelling (Statistics Explained)</t>
        </is>
      </c>
      <c r="D367" s="2" t="inlineStr">
        <is>
          <t>Eurostat</t>
        </is>
      </c>
      <c r="E367" s="2" t="inlineStr">
        <is>
          <t>last edited 10 Aug 2023</t>
        </is>
      </c>
      <c r="F367" s="2" t="inlineStr">
        <is>
          <t>Official statistics</t>
        </is>
      </c>
      <c r="G367" s="2" t="inlineStr">
        <is>
          <t>Definition: weighted share of persons living in households where the respondent reports the problem (HS180 = 1); no common standard of what is a problem. Its line that the indicators are collected annually predates the 2021 change. Read 5 Oct 2026. Grade C.</t>
        </is>
      </c>
      <c r="H367" s="5" t="inlineStr">
        <is>
          <t>https://ec.europa.eu/eurostat/statistics-explained/index.php?title=EU_statistics_on_income_and_living_conditions_(EU-SILC)_methodology_-_environment_of_the_dwelling</t>
        </is>
      </c>
    </row>
    <row r="368">
      <c r="A368" s="2" t="inlineStr">
        <is>
          <t>358</t>
        </is>
      </c>
      <c r="B368" s="2" t="inlineStr">
        <is>
          <t>CC-037</t>
        </is>
      </c>
      <c r="C368" s="2" t="inlineStr">
        <is>
          <t>Regulation (EU) 2019/1700 establishing a common framework for European statistics relating to persons and households (IESS)</t>
        </is>
      </c>
      <c r="D368" s="2" t="inlineStr">
        <is>
          <t>European Parliament and Council</t>
        </is>
      </c>
      <c r="E368" s="2" t="inlineStr">
        <is>
          <t>10 Oct 2019</t>
        </is>
      </c>
      <c r="F368" s="2" t="inlineStr">
        <is>
          <t>EU law</t>
        </is>
      </c>
      <c r="G368" s="2" t="inlineStr">
        <is>
          <t>Annex IV point 2: income and living conditions data collected annually, every three years and every six years. OJ L 261I, 14.10.2019, p. 1. Read via the EU Publications Office (Cellar), 5 Oct 2026. Grade C.</t>
        </is>
      </c>
      <c r="H368" s="5" t="inlineStr">
        <is>
          <t>https://data.europa.eu/eli/reg/2019/1700/oj</t>
        </is>
      </c>
    </row>
    <row r="369">
      <c r="A369" s="2" t="inlineStr">
        <is>
          <t>359</t>
        </is>
      </c>
      <c r="B369" s="2" t="inlineStr">
        <is>
          <t>CC-037</t>
        </is>
      </c>
      <c r="C369" s="2" t="inlineStr">
        <is>
          <t>Commission Delegated Regulation (EU) 2022/29: variables on Labour market and housing (EU-SILC)</t>
        </is>
      </c>
      <c r="D369" s="2" t="inlineStr">
        <is>
          <t>European Commission</t>
        </is>
      </c>
      <c r="E369" s="2" t="inlineStr">
        <is>
          <t>28 Oct 2021</t>
        </is>
      </c>
      <c r="F369" s="2" t="inlineStr">
        <is>
          <t>EU law</t>
        </is>
      </c>
      <c r="G369" s="2" t="inlineStr">
        <is>
          <t>Annex: HS180 'Pollution, grime or other environment problems' is in the 'Labour market and housing' module. OJ L 7, 12.1.2022, p. 1. Read via Cellar, 5 Oct 2026. Grade C.</t>
        </is>
      </c>
      <c r="H369" s="5" t="inlineStr">
        <is>
          <t>https://data.europa.eu/eli/reg_del/2022/29/oj</t>
        </is>
      </c>
    </row>
    <row r="370">
      <c r="A370" s="2" t="inlineStr">
        <is>
          <t>360</t>
        </is>
      </c>
      <c r="B370" s="2" t="inlineStr">
        <is>
          <t>CC-037</t>
        </is>
      </c>
      <c r="C370" s="2" t="inlineStr">
        <is>
          <t>Commission Delegated Regulation (EU) 2020/256: multiannual rolling planning (IESS)</t>
        </is>
      </c>
      <c r="D370" s="2" t="inlineStr">
        <is>
          <t>European Commission</t>
        </is>
      </c>
      <c r="E370" s="2" t="inlineStr">
        <is>
          <t>16 Dec 2019</t>
        </is>
      </c>
      <c r="F370" s="2" t="inlineStr">
        <is>
          <t>EU law</t>
        </is>
      </c>
      <c r="G370" s="2" t="inlineStr">
        <is>
          <t>Annex I: 'Labour Market and Housing (ILC3YC)' collected in 2023 and 2026. OJ L 54, 26.2.2020, p. 1. Read via Cellar, 5 Oct 2026. Grade C.</t>
        </is>
      </c>
      <c r="H370" s="5" t="inlineStr">
        <is>
          <t>https://data.europa.eu/eli/reg_del/2020/256/oj</t>
        </is>
      </c>
    </row>
    <row r="371">
      <c r="A371" s="2" t="inlineStr">
        <is>
          <t>361</t>
        </is>
      </c>
      <c r="B371" s="2" t="inlineStr">
        <is>
          <t>CC-037</t>
        </is>
      </c>
      <c r="C371" s="2" t="inlineStr">
        <is>
          <t>At-risk-of-poverty rate by poverty threshold, age and sex (ilc_li02)</t>
        </is>
      </c>
      <c r="D371" s="2" t="inlineStr">
        <is>
          <t>Eurostat</t>
        </is>
      </c>
      <c r="E371" s="2" t="inlineStr">
        <is>
          <t>retrieved 2026-10-05</t>
        </is>
      </c>
      <c r="F371" s="2" t="inlineStr">
        <is>
          <t>Dataset (API)</t>
        </is>
      </c>
      <c r="G371" s="2" t="inlineStr">
        <is>
          <t>Malta 16.6% below 60% of median income in 2023 (EU-27 16.2%), so 83.4% are in the 'above 60%' group of ilc_mddw02. data/cc-037/eurostat_ilc_li02.csv. Grade C.</t>
        </is>
      </c>
      <c r="H371" s="5" t="inlineStr">
        <is>
          <t>https://ec.europa.eu/eurostat/databrowser/view/ilc_li02/default/table</t>
        </is>
      </c>
    </row>
    <row r="372">
      <c r="A372" s="2" t="inlineStr">
        <is>
          <t>362</t>
        </is>
      </c>
      <c r="B372" s="2" t="inlineStr">
        <is>
          <t>CC-030</t>
        </is>
      </c>
      <c r="C372" s="2" t="inlineStr">
        <is>
          <t>Accredited airport directory entry: Malta International Airport (level Level 3+; entry modified 20 Nov 2025)</t>
        </is>
      </c>
      <c r="D372" s="2" t="inlineStr">
        <is>
          <t>Airport Carbon Accreditation</t>
        </is>
      </c>
      <c r="E372" s="2" t="inlineStr">
        <is>
          <t>20 Nov 2025</t>
        </is>
      </c>
      <c r="F372" s="2" t="inlineStr">
        <is>
          <t>Accreditation register (API)</t>
        </is>
      </c>
      <c r="G372" s="2" t="inlineStr">
        <is>
          <t>Read 5 Oct 2026 through the website's public WordPress interface (level term 17 = Level 3+). Independent of MIA.</t>
        </is>
      </c>
      <c r="H372" s="5" t="inlineStr">
        <is>
          <t>https://www.airportcarbonaccreditation.org/wp-json/wp/v2/accredited-airport?slug=malta</t>
        </is>
      </c>
    </row>
    <row r="373">
      <c r="A373" s="2" t="inlineStr">
        <is>
          <t>363</t>
        </is>
      </c>
      <c r="B373" s="2" t="inlineStr">
        <is>
          <t>CC-030</t>
        </is>
      </c>
      <c r="C373" s="2" t="inlineStr">
        <is>
          <t>Malta International Airport reaches Level 3+</t>
        </is>
      </c>
      <c r="D373" s="2" t="inlineStr">
        <is>
          <t>Airport Carbon Accreditation</t>
        </is>
      </c>
      <c r="E373" s="2" t="inlineStr">
        <is>
          <t>18 Dec 2025</t>
        </is>
      </c>
      <c r="F373" s="2" t="inlineStr">
        <is>
          <t>Accreditation body notice</t>
        </is>
      </c>
      <c r="G373" s="2" t="inlineStr">
        <is>
          <t>Read 5 Oct 2026: carbon neutrality 'for emissions under its direct control'; 2024 residual emissions offset; -32% vs 2015.</t>
        </is>
      </c>
      <c r="H373" s="5" t="inlineStr">
        <is>
          <t>https://www.airportcarbonaccreditation.org/malta-international-airport-reaches-level-3/</t>
        </is>
      </c>
    </row>
    <row r="374">
      <c r="A374" s="2" t="inlineStr">
        <is>
          <t>364</t>
        </is>
      </c>
      <c r="B374" s="2" t="inlineStr">
        <is>
          <t>CC-030</t>
        </is>
      </c>
      <c r="C374" s="2" t="inlineStr">
        <is>
          <t>Credit block 585497 (GS1-1-UG-GS2296-16-2024-28441-244907-246526)</t>
        </is>
      </c>
      <c r="D374" s="2" t="inlineStr">
        <is>
          <t>Gold Standard registry</t>
        </is>
      </c>
      <c r="E374" s="2" t="inlineStr">
        <is>
          <t>4 Jun 2026</t>
        </is>
      </c>
      <c r="F374" s="2" t="inlineStr">
        <is>
          <t>Carbon registry record (API)</t>
        </is>
      </c>
      <c r="G374" s="2" t="inlineStr">
        <is>
          <t>1,620 credits, Uganda safe water and cookstoves PoA (GS2296), vintage 2024, retired for Malta International Airport 4 Jun 2026. Read 5 Oct 2026.</t>
        </is>
      </c>
      <c r="H374" s="5" t="inlineStr">
        <is>
          <t>https://public-api.goldstandard.org/credits/585497</t>
        </is>
      </c>
    </row>
    <row r="375">
      <c r="A375" s="2" t="inlineStr">
        <is>
          <t>365</t>
        </is>
      </c>
      <c r="B375" s="2" t="inlineStr">
        <is>
          <t>CC-030</t>
        </is>
      </c>
      <c r="C375" s="2" t="inlineStr">
        <is>
          <t>Retirement transaction 9e16ced5-8874-4ea6-8e0d-3f0344b137e8</t>
        </is>
      </c>
      <c r="D375" s="2" t="inlineStr">
        <is>
          <t>Rainbow registry</t>
        </is>
      </c>
      <c r="E375" s="2" t="inlineStr">
        <is>
          <t>4 Jun 2026</t>
        </is>
      </c>
      <c r="F375" s="2" t="inlineStr">
        <is>
          <t>Carbon registry record (API)</t>
        </is>
      </c>
      <c r="G375" s="2" t="inlineStr">
        <is>
          <t>2,160 credits, Chemin du Roi biogas (Oise, France), vintage 2022, retired on behalf of Malta International Airport 4 Jun 2026. Read 5 Oct 2026 (GraphQL TransactionByUuid).</t>
        </is>
      </c>
      <c r="H375" s="5" t="inlineStr">
        <is>
          <t>https://registry.rainbowstandard.io/ledger/transactions/9e16ced5-8874-4ea6-8e0d-3f0344b137e8</t>
        </is>
      </c>
    </row>
    <row r="376">
      <c r="A376" s="2" t="inlineStr">
        <is>
          <t>366</t>
        </is>
      </c>
      <c r="B376" s="2" t="inlineStr">
        <is>
          <t>CC-030</t>
        </is>
      </c>
      <c r="C376" s="2" t="inlineStr">
        <is>
          <t>CEF-T-2024-AFIF cut-off 2: evaluation outcome, list of selected projects</t>
        </is>
      </c>
      <c r="D376" s="2" t="inlineStr">
        <is>
          <t>European Climate, Infrastructure and Environment Executive Agency (CINEA)</t>
        </is>
      </c>
      <c r="E376" s="2" t="inlineStr">
        <is>
          <t>13 Nov 2025</t>
        </is>
      </c>
      <c r="F376" s="2" t="inlineStr">
        <is>
          <t>EU funding decision</t>
        </is>
      </c>
      <c r="G376" s="2" t="inlineStr">
        <is>
          <t>Read in full 5 Oct 2026. 24-MT-TC-AE-MIA: eligible costs EUR 10,783,000; CEF grant EUR 5,391,500; 35 stands, 20 eGPUs, 15 e-buses, other eGSE, 5 substations, 7.5 MVA.</t>
        </is>
      </c>
      <c r="H376" s="5" t="inlineStr">
        <is>
          <t>https://cinea.ec.europa.eu/document/download/c152fb88-a997-432a-b28c-5b33a1995abf_en?filename=CEF-T-2024-AFIF_Cut-off+2_Evaluation+outcome_Communication+item_list+of+projects.pdf</t>
        </is>
      </c>
    </row>
    <row r="377">
      <c r="A377" s="2" t="inlineStr">
        <is>
          <t>367</t>
        </is>
      </c>
      <c r="B377" s="2" t="inlineStr">
        <is>
          <t>CC-030</t>
        </is>
      </c>
      <c r="C377" s="2" t="inlineStr">
        <is>
          <t>Facts and Figures (webpage)</t>
        </is>
      </c>
      <c r="D377" s="2" t="inlineStr">
        <is>
          <t>Malta International Airport plc</t>
        </is>
      </c>
      <c r="E377" s="2" t="inlineStr">
        <is>
          <t>18 Aug 2025</t>
        </is>
      </c>
      <c r="F377" s="2" t="inlineStr">
        <is>
          <t>Primary statement</t>
        </is>
      </c>
      <c r="G377" s="2" t="inlineStr">
        <is>
          <t>Read 5 Oct 2026. Lists 'Reaching carbon neutral status in 2025' and -65% by 2030 vs 2015 as Net Zero Carbon Plan targets. Date is the page's last modification.</t>
        </is>
      </c>
      <c r="H377" s="5" t="inlineStr">
        <is>
          <t>https://maltairport.com/corporate/our-airport/facts-and-figures/</t>
        </is>
      </c>
    </row>
    <row r="378">
      <c r="A378" s="2" t="inlineStr">
        <is>
          <t>368</t>
        </is>
      </c>
      <c r="B378" s="2" t="inlineStr">
        <is>
          <t>CC-030</t>
        </is>
      </c>
      <c r="C378" s="2" t="inlineStr">
        <is>
          <t>At a Glance (webpage)</t>
        </is>
      </c>
      <c r="D378" s="2" t="inlineStr">
        <is>
          <t>Malta International Airport plc</t>
        </is>
      </c>
      <c r="E378" s="2" t="inlineStr">
        <is>
          <t>2 Sep 2026</t>
        </is>
      </c>
      <c r="F378" s="2" t="inlineStr">
        <is>
          <t>Primary statement</t>
        </is>
      </c>
      <c r="G378" s="2" t="inlineStr">
        <is>
          <t>Read 5 Oct 2026. '...to Level 3+ (neutrality)'; same sentence in company announcements (e.g. 495/2026, 24 Aug 2026, Ref 360). Date is the page's last modification.</t>
        </is>
      </c>
      <c r="H378" s="5" t="inlineStr">
        <is>
          <t>https://maltairport.com/corporate/our-airport/at-a-glance/</t>
        </is>
      </c>
    </row>
    <row r="379">
      <c r="A379" s="2" t="inlineStr">
        <is>
          <t>369</t>
        </is>
      </c>
      <c r="B379" s="2" t="inlineStr">
        <is>
          <t>CC-030</t>
        </is>
      </c>
      <c r="C379" s="2" t="inlineStr">
        <is>
          <t>Our Journey to Net Zero Carbon (Net Zero Carbon Plan)</t>
        </is>
      </c>
      <c r="D379" s="2" t="inlineStr">
        <is>
          <t>Malta International Airport plc</t>
        </is>
      </c>
      <c r="E379" s="2" t="inlineStr">
        <is>
          <t>2024</t>
        </is>
      </c>
      <c r="F379" s="2" t="inlineStr">
        <is>
          <t>Company plan</t>
        </is>
      </c>
      <c r="G379" s="2" t="inlineStr">
        <is>
          <t>Read 5 Oct 2026 (PDF, 2023 data). 2025: ACA Level 3+ Neutrality; 2030: -65% emissions; 2050 net zero; -31% by 2023.</t>
        </is>
      </c>
      <c r="H379" s="5" t="inlineStr">
        <is>
          <t>https://maltairport.com/app/uploads/2026/01/Net-Zero-Carbon-Plan.pdf</t>
        </is>
      </c>
    </row>
    <row r="380">
      <c r="A380" s="2" t="inlineStr">
        <is>
          <t>370</t>
        </is>
      </c>
      <c r="B380" s="2" t="inlineStr">
        <is>
          <t>CC-030</t>
        </is>
      </c>
      <c r="C380" s="2" t="inlineStr">
        <is>
          <t>Padhra A. (2018), accepted manuscript of TR-D 63:433-444 (Revised Manuscript.docx)</t>
        </is>
      </c>
      <c r="D380" s="2" t="inlineStr">
        <is>
          <t>University of West London repository (eprint 5214)</t>
        </is>
      </c>
      <c r="E380" s="2" t="inlineStr">
        <is>
          <t>18 Jul 2018</t>
        </is>
      </c>
      <c r="F380" s="2" t="inlineStr">
        <is>
          <t>Peer-reviewed (accepted manuscript)</t>
        </is>
      </c>
      <c r="G380" s="2" t="inlineStr">
        <is>
          <t>Read in full 5 Oct 2026. Licence CC BY-NC-ND (repository record). GPU 7.74 kg diesel/h is cited from Fleuti 2006 (second-hand). Copy in literature/CC-030/open-access/.</t>
        </is>
      </c>
      <c r="H380" s="5" t="inlineStr">
        <is>
          <t>https://repository.uwl.ac.uk/id/eprint/5214/</t>
        </is>
      </c>
    </row>
    <row r="381">
      <c r="A381" s="2" t="inlineStr">
        <is>
          <t>371</t>
        </is>
      </c>
      <c r="B381" s="2" t="inlineStr">
        <is>
          <t>CC-030</t>
        </is>
      </c>
      <c r="C381" s="2" t="inlineStr">
        <is>
          <t>Company announcement 461/2026: Full-Year Traffic Update</t>
        </is>
      </c>
      <c r="D381" s="2" t="inlineStr">
        <is>
          <t>Malta International Airport plc</t>
        </is>
      </c>
      <c r="E381" s="2" t="inlineStr">
        <is>
          <t>14 Jan 2026</t>
        </is>
      </c>
      <c r="F381" s="2" t="inlineStr">
        <is>
          <t>Company announcement</t>
        </is>
      </c>
      <c r="G381" s="2" t="inlineStr">
        <is>
          <t>Read in full 5 Oct 2026: 65,470 aircraft movements in 2025 (+11.4%).</t>
        </is>
      </c>
      <c r="H381" s="5" t="inlineStr">
        <is>
          <t>https://maltairport.com/app/uploads/2026/01/Full-Year-Traffic-Update.pdf</t>
        </is>
      </c>
    </row>
    <row r="382">
      <c r="A382" s="2" t="inlineStr">
        <is>
          <t>372</t>
        </is>
      </c>
      <c r="B382" s="2" t="inlineStr">
        <is>
          <t>CC-030</t>
        </is>
      </c>
      <c r="C382" s="2" t="inlineStr">
        <is>
          <t>Company announcement 495/2026: share buyback programme, week ended 21 August</t>
        </is>
      </c>
      <c r="D382" s="2" t="inlineStr">
        <is>
          <t>Malta International Airport plc</t>
        </is>
      </c>
      <c r="E382" s="2" t="inlineStr">
        <is>
          <t>24 Aug 2026</t>
        </is>
      </c>
      <c r="F382" s="2" t="inlineStr">
        <is>
          <t>Company announcement</t>
        </is>
      </c>
      <c r="G382" s="2" t="inlineStr">
        <is>
          <t>Read 5 Oct 2026. Company description: '...to Level 3+ (neutrality)'.</t>
        </is>
      </c>
      <c r="H382" s="5" t="inlineStr">
        <is>
          <t>https://maltairport.com/app/uploads/2026/08/MIA-CoAnn-495-2026-Buyback-Week-Ended-21-August.pdf</t>
        </is>
      </c>
    </row>
    <row r="383">
      <c r="A383" s="2" t="inlineStr">
        <is>
          <t>373</t>
        </is>
      </c>
      <c r="B383" s="2" t="inlineStr">
        <is>
          <t>CC-102</t>
        </is>
      </c>
      <c r="C383" s="2" t="inlineStr">
        <is>
          <t>Annual Report 2025 (Ombudsman, Malta)</t>
        </is>
      </c>
      <c r="D383" s="2" t="inlineStr">
        <is>
          <t>Office of the Ombudsman</t>
        </is>
      </c>
      <c r="E383" s="2" t="inlineStr">
        <is>
          <t>2026-06</t>
        </is>
      </c>
      <c r="F383" s="2" t="inlineStr">
        <is>
          <t>Official annual report</t>
        </is>
      </c>
      <c r="G383" s="2" t="inlineStr">
        <is>
          <t>Primary. Read in full 5 Oct 2026 (SHA-256 14fcc0c6aa6326cccf97d28721316d48a8454357b7789cff74551ac53fde42b0). Table 1.3, Table 1.22, Commissioner chapter. Not committed (copyright).</t>
        </is>
      </c>
      <c r="H383" s="5" t="inlineStr">
        <is>
          <t>https://ombudsman.org.mt/media/0ownfd4k/digital-annual-report-2025-en.pdf</t>
        </is>
      </c>
    </row>
    <row r="384">
      <c r="A384" s="2" t="inlineStr">
        <is>
          <t>374</t>
        </is>
      </c>
      <c r="B384" s="2" t="inlineStr">
        <is>
          <t>CC-102</t>
        </is>
      </c>
      <c r="C384" s="2" t="inlineStr">
        <is>
          <t>Annual Report 2024 (Ombudsman, Malta)</t>
        </is>
      </c>
      <c r="D384" s="2" t="inlineStr">
        <is>
          <t>Office of the Ombudsman</t>
        </is>
      </c>
      <c r="E384" s="2" t="inlineStr">
        <is>
          <t>2025</t>
        </is>
      </c>
      <c r="F384" s="2" t="inlineStr">
        <is>
          <t>Official annual report</t>
        </is>
      </c>
      <c r="G384" s="2" t="inlineStr">
        <is>
          <t>Read 5 Oct 2026 (SHA-256 39d21533ea2f451394f7bf7159201a052b1238ec81b91612604ce9f326486cdf). Table 1.3.</t>
        </is>
      </c>
      <c r="H384" s="5" t="inlineStr">
        <is>
          <t>https://ombudsman.org.mt/media/q4nbhpzv/annual-report-2024-ombudsman.pdf</t>
        </is>
      </c>
    </row>
    <row r="385">
      <c r="A385" s="2" t="inlineStr">
        <is>
          <t>375</t>
        </is>
      </c>
      <c r="B385" s="2" t="inlineStr">
        <is>
          <t>CC-102</t>
        </is>
      </c>
      <c r="C385" s="2" t="inlineStr">
        <is>
          <t>Annual Report 2023 (Ombudsman, Malta)</t>
        </is>
      </c>
      <c r="D385" s="2" t="inlineStr">
        <is>
          <t>Office of the Ombudsman</t>
        </is>
      </c>
      <c r="E385" s="2" t="inlineStr">
        <is>
          <t>2024</t>
        </is>
      </c>
      <c r="F385" s="2" t="inlineStr">
        <is>
          <t>Official annual report</t>
        </is>
      </c>
      <c r="G385" s="2" t="inlineStr">
        <is>
          <t>Read 5 Oct 2026 (SHA-256 cf92c4264c26f93112b9932843d9c4e935ca18a0ed2827a241b1ba0c13b688b5). Table 1.3.</t>
        </is>
      </c>
      <c r="H385" s="5" t="inlineStr">
        <is>
          <t>https://ombudsman.org.mt/media/fr1ndd4u/annual-report-2023-en.pdf</t>
        </is>
      </c>
    </row>
    <row r="386">
      <c r="A386" s="2" t="inlineStr">
        <is>
          <t>376</t>
        </is>
      </c>
      <c r="B386" s="2" t="inlineStr">
        <is>
          <t>CC-024; CC-094</t>
        </is>
      </c>
      <c r="C386" s="2" t="inlineStr">
        <is>
          <t>Malta - Final updated NECP 2021-2030 (submitted in 2025)</t>
        </is>
      </c>
      <c r="D386" s="2" t="inlineStr">
        <is>
          <t>European Commission</t>
        </is>
      </c>
      <c r="E386" s="2" t="inlineStr">
        <is>
          <t>Dec 2024 (submitted 7 Jan 2025)</t>
        </is>
      </c>
      <c r="F386" s="2" t="inlineStr">
        <is>
          <t>Primary statement (plan as submitted)</t>
        </is>
      </c>
      <c r="G386" s="2" t="inlineStr">
        <is>
          <t>PDF of 381 pages (created 27 Dec 2024), downloadable with a script. Read 5 Oct 2026; wording and page numbers in literature/CC-024/primary-source.md.</t>
        </is>
      </c>
      <c r="H386" s="5" t="inlineStr">
        <is>
          <t>https://commission.europa.eu/publications/malta-final-updated-necp-2021-2030-submitted-2025_en</t>
        </is>
      </c>
    </row>
    <row r="387">
      <c r="A387" s="2" t="inlineStr">
        <is>
          <t>377</t>
        </is>
      </c>
      <c r="B387" s="2" t="inlineStr">
        <is>
          <t>CC-034</t>
        </is>
      </c>
      <c r="C387" s="2" t="inlineStr">
        <is>
          <t>Air Quality Plan for Malta 2025 (web page, Wayback capture of 15 Aug 2025)</t>
        </is>
      </c>
      <c r="D387" s="2" t="inlineStr">
        <is>
          <t>ERA</t>
        </is>
      </c>
      <c r="E387" s="2" t="inlineStr">
        <is>
          <t>15 Aug 2025</t>
        </is>
      </c>
      <c r="F387" s="2" t="inlineStr">
        <is>
          <t>Primary statement (archived)</t>
        </is>
      </c>
      <c r="G387" s="2" t="inlineStr">
        <is>
          <t>Archived copy of the ERA page (403 to scripts) with the 'already yielded positive results' wording. Read in full 6 Oct 2026 from the copy saved 5 Oct 2026 (Wayback unreachable 6 Oct); SHA-256 8e7c7beb...3077607.</t>
        </is>
      </c>
      <c r="H387" s="5" t="inlineStr">
        <is>
          <t>https://web.archive.org/web/20250815211515/https://era.org.mt/air-quality-plan-for-malta-2024/</t>
        </is>
      </c>
    </row>
    <row r="388">
      <c r="A388" s="2" t="inlineStr">
        <is>
          <t>378</t>
        </is>
      </c>
      <c r="B388" s="2" t="inlineStr">
        <is>
          <t>CC-034</t>
        </is>
      </c>
      <c r="C388" s="2" t="inlineStr">
        <is>
          <t>Air Quality Plan for Malta (approved policy)</t>
        </is>
      </c>
      <c r="D388" s="2" t="inlineStr">
        <is>
          <t>ERA</t>
        </is>
      </c>
      <c r="E388" s="2" t="inlineStr">
        <is>
          <t>Jan 2025</t>
        </is>
      </c>
      <c r="F388" s="2" t="inlineStr">
        <is>
          <t>Primary statement (plan)</t>
        </is>
      </c>
      <c r="G388" s="2" t="inlineStr">
        <is>
          <t>104 pages, ISBN 978-9918-628-10-0; pages 3, 21-67, 91 and 95 read on 6 Oct 2026 from the Wayback copy saved 5 Oct 2026, SHA-256 56b99ee8...cf11c4; pp. 4-20, 68-90 and 96-104 skimmed for effect estimates of the six measures (none found). Evidence of effect only for power-sector reform (pp. 57-58) and free school transport (pp. 59-60).</t>
        </is>
      </c>
      <c r="H388" s="5" t="inlineStr">
        <is>
          <t>https://era.org.mt/wp-content/uploads/2025/02/DIGITAL-Air-Quality-Plan.pdf</t>
        </is>
      </c>
    </row>
    <row r="389">
      <c r="A389" s="2" t="inlineStr">
        <is>
          <t>379</t>
        </is>
      </c>
      <c r="B389" s="2" t="inlineStr">
        <is>
          <t>CC-027</t>
        </is>
      </c>
      <c r="C389" s="2" t="inlineStr">
        <is>
          <t>PM apologises over power cuts - stresses investment in distribution system will continue</t>
        </is>
      </c>
      <c r="D389" s="2" t="inlineStr">
        <is>
          <t>TVM News</t>
        </is>
      </c>
      <c r="E389" s="2" t="inlineStr">
        <is>
          <t>21 Jul 2026</t>
        </is>
      </c>
      <c r="F389" s="2" t="inlineStr">
        <is>
          <t>News (public broadcaster)</t>
        </is>
      </c>
      <c r="G389" s="2" t="inlineStr">
        <is>
          <t>Abela interviewed by TVM News; EUR 161 million and 'not generation capacity' in reported speech only. Read 5 Oct 2026; a transcript is needed.</t>
        </is>
      </c>
      <c r="H389" s="5" t="inlineStr">
        <is>
          <t>https://tvmnews.mt/en/news/pm-apologises-over-power-cuts-stresses-investment-in-distribution-system-will-continue/</t>
        </is>
      </c>
    </row>
    <row r="390">
      <c r="A390" s="2" t="inlineStr">
        <is>
          <t>380</t>
        </is>
      </c>
      <c r="B390" s="2" t="inlineStr">
        <is>
          <t>CC-031; CC-032</t>
        </is>
      </c>
      <c r="C390" s="2" t="inlineStr">
        <is>
          <t>Public transport in Gozo is now being completely operated with electric buses</t>
        </is>
      </c>
      <c r="D390" s="2" t="inlineStr">
        <is>
          <t>TVM News</t>
        </is>
      </c>
      <c r="E390" s="2" t="inlineStr">
        <is>
          <t>28 May 2026</t>
        </is>
      </c>
      <c r="F390" s="2" t="inlineStr">
        <is>
          <t>News (public broadcaster)</t>
        </is>
      </c>
      <c r="G390" s="2" t="inlineStr">
        <is>
          <t>Tests the fleet part (EUR 11 million, Ta' Xħajma depot). Read 5 Oct 2026.</t>
        </is>
      </c>
      <c r="H390" s="5" t="inlineStr">
        <is>
          <t>https://tvmnews.mt/en/news/public-transport-in-gozo-is-now-being-completely-operated-with-electric-buses/</t>
        </is>
      </c>
    </row>
    <row r="391">
      <c r="A391" s="2" t="inlineStr">
        <is>
          <t>381</t>
        </is>
      </c>
      <c r="B391" s="2" t="inlineStr">
        <is>
          <t>CC-025</t>
        </is>
      </c>
      <c r="C391" s="2" t="inlineStr">
        <is>
          <t>COP30 Malta National Statement (high-level segment)</t>
        </is>
      </c>
      <c r="D391" s="2" t="inlineStr">
        <is>
          <t>Government of Malta / UNFCCC</t>
        </is>
      </c>
      <c r="E391" s="2" t="inlineStr">
        <is>
          <t>Nov 2025</t>
        </is>
      </c>
      <c r="F391" s="2" t="inlineStr">
        <is>
          <t>Primary statement (Word file)</t>
        </is>
      </c>
      <c r="G391" s="2" t="inlineStr">
        <is>
          <t>Verbatim paragraph supplied by the maintainer 5 Oct 2026; our own download refused by a bot check.</t>
        </is>
      </c>
      <c r="H391" s="5" t="inlineStr">
        <is>
          <t>https://unfccc.int/sites/default/files/resource/MALTA_cop30cmp20cma7_HLS_ENG.pdf</t>
        </is>
      </c>
    </row>
    <row r="392">
      <c r="A392" s="2" t="inlineStr">
        <is>
          <t>382</t>
        </is>
      </c>
      <c r="B392" s="2" t="inlineStr">
        <is>
          <t>CC-025; CC-114</t>
        </is>
      </c>
      <c r="C392" s="2" t="inlineStr">
        <is>
          <t>GHG emissions (env_air_gge); GDP (nama_10_gdp); population (nama_10_pe)</t>
        </is>
      </c>
      <c r="D392" s="2" t="inlineStr">
        <is>
          <t>Eurostat</t>
        </is>
      </c>
      <c r="E392" s="2" t="inlineStr">
        <is>
          <t>retrieved 5 Oct 2026</t>
        </is>
      </c>
      <c r="F392" s="2" t="inlineStr">
        <is>
          <t>Official statistics</t>
        </is>
      </c>
      <c r="G392" s="2" t="inlineStr">
        <is>
          <t>Primary data; extract in data/cc-025/.</t>
        </is>
      </c>
      <c r="H392" s="5" t="inlineStr">
        <is>
          <t>https://ec.europa.eu/eurostat/databrowser/view/nama_10_gdp/default/table</t>
        </is>
      </c>
    </row>
    <row r="393">
      <c r="A393" s="2" t="inlineStr">
        <is>
          <t>383</t>
        </is>
      </c>
      <c r="B393" s="2" t="inlineStr">
        <is>
          <t>CC-025; CC-114</t>
        </is>
      </c>
      <c r="C393" s="2" t="inlineStr">
        <is>
          <t>A systematic review of the evidence on decoupling of GDP, resource use and GHG emissions, part II (Haberl et al.)</t>
        </is>
      </c>
      <c r="D393" s="2" t="inlineStr">
        <is>
          <t>Environmental Research Letters</t>
        </is>
      </c>
      <c r="E393" s="2" t="inlineStr">
        <is>
          <t>2020</t>
        </is>
      </c>
      <c r="F393" s="2" t="inlineStr">
        <is>
          <t>Peer-reviewed review (abstract read)</t>
        </is>
      </c>
      <c r="G393" s="2" t="inlineStr">
        <is>
          <t>doi:10.1088/1748-9326/ab842a, verified in Crossref; open access (CC BY). Context for 'decoupling'.</t>
        </is>
      </c>
      <c r="H393" s="5" t="inlineStr">
        <is>
          <t>https://doi.org/10.1088/1748-9326/ab842a</t>
        </is>
      </c>
    </row>
    <row r="394">
      <c r="A394" s="2" t="inlineStr">
        <is>
          <t>384</t>
        </is>
      </c>
      <c r="B394" s="2" t="inlineStr">
        <is>
          <t>CC-109</t>
        </is>
      </c>
      <c r="C394" s="2" t="inlineStr">
        <is>
          <t>2026 Country Report - Malta, SWD(2026) 218 final (Council doc. 10135/26 ADD 1)</t>
        </is>
      </c>
      <c r="D394" s="2" t="inlineStr">
        <is>
          <t>European Commission (via Council of the EU)</t>
        </is>
      </c>
      <c r="E394" s="2" t="inlineStr">
        <is>
          <t>2026-06-03</t>
        </is>
      </c>
      <c r="F394" s="2" t="inlineStr">
        <is>
          <t>Primary (read)</t>
        </is>
      </c>
      <c r="G394" s="2" t="inlineStr">
        <is>
          <t>The claim. Council copy read in full 6 Oct 2026: Annex 8 'Sustainable transport' p. 72 (quote; footnote 141 points to Table A8.1, p. 77, which gives no share), chapter 3 p. 15, Graph 3.1 p. 16, summary p. 6. Same wording as the Commission copy.</t>
        </is>
      </c>
      <c r="H394" s="5" t="inlineStr">
        <is>
          <t>https://data.consilium.europa.eu/doc/document/ST-10135-2026-ADD-1/en/pdf</t>
        </is>
      </c>
    </row>
    <row r="395">
      <c r="A395" s="2" t="inlineStr">
        <is>
          <t>385</t>
        </is>
      </c>
      <c r="B395" s="2" t="inlineStr">
        <is>
          <t>CC-110</t>
        </is>
      </c>
      <c r="C395" s="2" t="inlineStr">
        <is>
          <t>2026 Country Report - Malta, SWD(2026) 218 final (Council doc. 10135/26 ADD 1)</t>
        </is>
      </c>
      <c r="D395" s="2" t="inlineStr">
        <is>
          <t>European Commission (via Council of the EU)</t>
        </is>
      </c>
      <c r="E395" s="2" t="inlineStr">
        <is>
          <t>2026-06-03</t>
        </is>
      </c>
      <c r="F395" s="2" t="inlineStr">
        <is>
          <t>Primary (read)</t>
        </is>
      </c>
      <c r="G395" s="2" t="inlineStr">
        <is>
          <t>Primary text read 5 Oct 2026 (Sustainable transport section). Footnote (142) gives the data source.</t>
        </is>
      </c>
      <c r="H395" s="5" t="inlineStr">
        <is>
          <t>https://data.consilium.europa.eu/doc/document/ST-10135-2026-ADD-1/en/pdf</t>
        </is>
      </c>
    </row>
    <row r="396">
      <c r="A396" s="2" t="inlineStr">
        <is>
          <t>386</t>
        </is>
      </c>
      <c r="B396" s="2" t="inlineStr">
        <is>
          <t>CC-111</t>
        </is>
      </c>
      <c r="C396" s="2" t="inlineStr">
        <is>
          <t>2026 Country Report - Malta, SWD(2026) 218 final (Council doc. 10135/26 ADD 1)</t>
        </is>
      </c>
      <c r="D396" s="2" t="inlineStr">
        <is>
          <t>European Commission (via Council of the EU)</t>
        </is>
      </c>
      <c r="E396" s="2" t="inlineStr">
        <is>
          <t>2026-06-03</t>
        </is>
      </c>
      <c r="F396" s="2" t="inlineStr">
        <is>
          <t>Primary (read)</t>
        </is>
      </c>
      <c r="G396" s="2" t="inlineStr">
        <is>
          <t>Primary text read 5 Oct 2026 (circular economy section). Footnotes (156) and (158) give the data sources.</t>
        </is>
      </c>
      <c r="H396" s="5" t="inlineStr">
        <is>
          <t>https://data.consilium.europa.eu/doc/document/ST-10135-2026-ADD-1/en/pdf</t>
        </is>
      </c>
    </row>
    <row r="397">
      <c r="A397" s="2" t="inlineStr">
        <is>
          <t>387</t>
        </is>
      </c>
      <c r="B397" s="2" t="inlineStr">
        <is>
          <t>CC-112</t>
        </is>
      </c>
      <c r="C397" s="2" t="inlineStr">
        <is>
          <t>Malta: Selected Issues (IMF Country Report No. 26/30), Growth-at-Risk paper, para. 6</t>
        </is>
      </c>
      <c r="D397" s="2" t="inlineStr">
        <is>
          <t>International Monetary Fund</t>
        </is>
      </c>
      <c r="E397" s="2" t="inlineStr">
        <is>
          <t>Feb 2026</t>
        </is>
      </c>
      <c r="F397" s="2" t="inlineStr">
        <is>
          <t>Primary (read)</t>
        </is>
      </c>
      <c r="G397" s="2" t="inlineStr">
        <is>
          <t>Primary text read 5 Oct 2026. A background sentence on housing drivers; the window of 'a decade' is not stated. Selected Issues papers carry the views of their authors, not necessarily the IMF's.</t>
        </is>
      </c>
      <c r="H397" s="5" t="inlineStr">
        <is>
          <t>https://www.imf.org/-/media/files/publications/cr/2026/english/1mltea2026002-source-pdf.pdf</t>
        </is>
      </c>
    </row>
    <row r="398">
      <c r="A398" s="2" t="inlineStr">
        <is>
          <t>388</t>
        </is>
      </c>
      <c r="B398" s="2" t="inlineStr">
        <is>
          <t>CC-113</t>
        </is>
      </c>
      <c r="C398" s="2" t="inlineStr">
        <is>
          <t>Fossil fuel subsidies in Europe</t>
        </is>
      </c>
      <c r="D398" s="2" t="inlineStr">
        <is>
          <t>European Environment Agency</t>
        </is>
      </c>
      <c r="E398" s="2" t="inlineStr">
        <is>
          <t>2025-01-29</t>
        </is>
      </c>
      <c r="F398" s="2" t="inlineStr">
        <is>
          <t>Primary (read)</t>
        </is>
      </c>
      <c r="G398" s="2" t="inlineStr">
        <is>
          <t>Primary text read 5 and 6 Oct 2026 (published 29 Jan 2025, modified 29 Jul 2025); wording identical in EEA copies of 3 Feb 2025 and 26 Nov 2025. The text names no Malta figure; the linked chart gives Malta 3.37% of GDP (2023).</t>
        </is>
      </c>
      <c r="H398" s="5" t="inlineStr">
        <is>
          <t>https://www.eea.europa.eu/en/analysis/indicators/fossil-fuel-subsidies</t>
        </is>
      </c>
    </row>
    <row r="399">
      <c r="A399" s="2" t="inlineStr">
        <is>
          <t>389</t>
        </is>
      </c>
      <c r="B399" s="2" t="inlineStr">
        <is>
          <t>CC-114</t>
        </is>
      </c>
      <c r="C399" s="2" t="inlineStr">
        <is>
          <t>PN accuses government of climate 'apathy' as emissions intensity rises</t>
        </is>
      </c>
      <c r="D399" s="2" t="inlineStr">
        <is>
          <t>Newsbook</t>
        </is>
      </c>
      <c r="E399" s="2" t="inlineStr">
        <is>
          <t>2026-01-26</t>
        </is>
      </c>
      <c r="F399" s="2" t="inlineStr">
        <is>
          <t>News / locator</t>
        </is>
      </c>
      <c r="G399" s="2" t="inlineStr">
        <is>
          <t>Locator. English quotes of the PN release (Newsbook's translation); the 17% and 34% are Newsbook's paraphrase. Read in full 6 Oct 2026; Internet Archive capture 13 Feb 2026. Primary source found: the PN's own release (pn.org.mt).</t>
        </is>
      </c>
      <c r="H399" s="5" t="inlineStr">
        <is>
          <t>https://newsbook.com.mt/en/pn-accuses-government-of-climate-apathy-as-emissions-intensity-rises/</t>
        </is>
      </c>
    </row>
    <row r="400">
      <c r="A400" s="2" t="inlineStr">
        <is>
          <t>390</t>
        </is>
      </c>
      <c r="B400" s="2" t="inlineStr">
        <is>
          <t>CC-115</t>
        </is>
      </c>
      <c r="C400" s="2" t="inlineStr">
        <is>
          <t>Chamber tells political parties: Malta must address productivity crisis or face structural decline</t>
        </is>
      </c>
      <c r="D400" s="2" t="inlineStr">
        <is>
          <t>Lovin Malta</t>
        </is>
      </c>
      <c r="E400" s="2" t="inlineStr">
        <is>
          <t>n/d (2026 election campaign)</t>
        </is>
      </c>
      <c r="F400" s="2" t="inlineStr">
        <is>
          <t>News / locator</t>
        </is>
      </c>
      <c r="G400" s="2" t="inlineStr">
        <is>
          <t>News report quoting the Chamber's 'LEAD' proposals, read 5 Oct 2026; page undated in the text read. Locate the Chamber's own document and the date.</t>
        </is>
      </c>
      <c r="H400" s="5" t="inlineStr">
        <is>
          <t>https://lovinmalta.com/news/general-election-2026/chamber-tells-political-parties-malta-must-address-productivity-crisis-or-face-structural-decline/</t>
        </is>
      </c>
    </row>
    <row r="401">
      <c r="A401" s="2" t="inlineStr">
        <is>
          <t>391</t>
        </is>
      </c>
      <c r="B401" s="2" t="inlineStr">
        <is>
          <t>CC-116</t>
        </is>
      </c>
      <c r="C401" s="2" t="inlineStr">
        <is>
          <t>State of Conservation (SOC 2025): City of Valletta (Malta)</t>
        </is>
      </c>
      <c r="D401" s="2" t="inlineStr">
        <is>
          <t>UNESCO World Heritage Centre</t>
        </is>
      </c>
      <c r="E401" s="2" t="inlineStr">
        <is>
          <t>2025</t>
        </is>
      </c>
      <c r="F401" s="2" t="inlineStr">
        <is>
          <t>Primary (not retrieved)</t>
        </is>
      </c>
      <c r="G401" s="2" t="inlineStr">
        <is>
          <t>Primary page; returned 403 to automated reading on 5 Oct 2026. Record the decision number and exact wording.</t>
        </is>
      </c>
      <c r="H401" s="5" t="inlineStr">
        <is>
          <t>https://whc.unesco.org/en/soc/4677</t>
        </is>
      </c>
    </row>
    <row r="402">
      <c r="A402" s="2" t="inlineStr">
        <is>
          <t>392</t>
        </is>
      </c>
      <c r="B402" s="2" t="inlineStr">
        <is>
          <t>CC-116</t>
        </is>
      </c>
      <c r="C402" s="2" t="inlineStr">
        <is>
          <t>UNESCO: 15 years of chasing Malta for Valletta's conservation report</t>
        </is>
      </c>
      <c r="D402" s="2" t="inlineStr">
        <is>
          <t>The Shift News</t>
        </is>
      </c>
      <c r="E402" s="2" t="inlineStr">
        <is>
          <t>2026-06-18</t>
        </is>
      </c>
      <c r="F402" s="2" t="inlineStr">
        <is>
          <t>News / locator</t>
        </is>
      </c>
      <c r="G402" s="2" t="inlineStr">
        <is>
          <t>Locator: reports the Committee's requests; wording not verified against the decision text.</t>
        </is>
      </c>
      <c r="H402" s="5" t="inlineStr">
        <is>
          <t>https://theshiftnews.com/2026/06/18/unesco-15-years-of-chasing-malta-for-vallettas-conservation-report/</t>
        </is>
      </c>
    </row>
    <row r="403">
      <c r="A403" s="2" t="inlineStr">
        <is>
          <t>393</t>
        </is>
      </c>
      <c r="B403" s="2" t="inlineStr">
        <is>
          <t>CC-111</t>
        </is>
      </c>
      <c r="C403" s="2" t="inlineStr">
        <is>
          <t>Municipal waste by waste management operations (env_wasmun)</t>
        </is>
      </c>
      <c r="D403" s="2" t="inlineStr">
        <is>
          <t>Eurostat</t>
        </is>
      </c>
      <c r="E403" s="2" t="inlineStr">
        <is>
          <t>30 Mar 2026</t>
        </is>
      </c>
      <c r="F403" s="2" t="inlineStr">
        <is>
          <t>Independent dataset</t>
        </is>
      </c>
      <c r="G403" s="2" t="inlineStr">
        <is>
          <t>Retrieved 5 Oct 2026 by API (data/cc-111/).</t>
        </is>
      </c>
      <c r="H403" s="5" t="inlineStr">
        <is>
          <t>https://ec.europa.eu/eurostat/databrowser/view/env_wasmun/default/table</t>
        </is>
      </c>
    </row>
    <row r="404">
      <c r="A404" s="2" t="inlineStr">
        <is>
          <t>394</t>
        </is>
      </c>
      <c r="B404" s="2" t="inlineStr">
        <is>
          <t>CC-110</t>
        </is>
      </c>
      <c r="C404" s="2" t="inlineStr">
        <is>
          <t>New passenger cars by type of motor energy (road_eqr_carpda)</t>
        </is>
      </c>
      <c r="D404" s="2" t="inlineStr">
        <is>
          <t>Eurostat</t>
        </is>
      </c>
      <c r="E404" s="2" t="inlineStr">
        <is>
          <t>1 Sep 2026</t>
        </is>
      </c>
      <c r="F404" s="2" t="inlineStr">
        <is>
          <t>Independent dataset</t>
        </is>
      </c>
      <c r="G404" s="2" t="inlineStr">
        <is>
          <t>Retrieved 5 Oct 2026 by API (data/cc-110/).</t>
        </is>
      </c>
      <c r="H404" s="5" t="inlineStr">
        <is>
          <t>https://ec.europa.eu/eurostat/databrowser/view/road_eqr_carpda/default/table</t>
        </is>
      </c>
    </row>
    <row r="405">
      <c r="A405" s="2" t="inlineStr">
        <is>
          <t>395</t>
        </is>
      </c>
      <c r="B405" s="2" t="inlineStr">
        <is>
          <t>CC-112; CC-075</t>
        </is>
      </c>
      <c r="C405" s="2" t="inlineStr">
        <is>
          <t>Population change - demographic balance (demo_gind)</t>
        </is>
      </c>
      <c r="D405" s="2" t="inlineStr">
        <is>
          <t>Eurostat</t>
        </is>
      </c>
      <c r="E405" s="2" t="inlineStr">
        <is>
          <t>30 Sep 2026</t>
        </is>
      </c>
      <c r="F405" s="2" t="inlineStr">
        <is>
          <t>Independent dataset</t>
        </is>
      </c>
      <c r="G405" s="2" t="inlineStr">
        <is>
          <t>Retrieved 5 Oct 2026 by API (data/cc-112/).</t>
        </is>
      </c>
      <c r="H405" s="5" t="inlineStr">
        <is>
          <t>https://ec.europa.eu/eurostat/databrowser/view/demo_gind/default/table</t>
        </is>
      </c>
    </row>
    <row r="406">
      <c r="A406" s="2" t="inlineStr">
        <is>
          <t>396</t>
        </is>
      </c>
      <c r="B406" s="2" t="inlineStr">
        <is>
          <t>CC-115</t>
        </is>
      </c>
      <c r="C406" s="2" t="inlineStr">
        <is>
          <t>LEAD - The Malta Chamber Proposals for the 2026-2031 Legislature</t>
        </is>
      </c>
      <c r="D406" s="2" t="inlineStr">
        <is>
          <t>The Malta Chamber</t>
        </is>
      </c>
      <c r="E406" s="2" t="inlineStr">
        <is>
          <t>14 May 2026</t>
        </is>
      </c>
      <c r="F406" s="2" t="inlineStr">
        <is>
          <t>Primary (read)</t>
        </is>
      </c>
      <c r="G406" s="2" t="inlineStr">
        <is>
          <t>The claim, page 3. Read 5 Oct 2026.</t>
        </is>
      </c>
      <c r="H406" s="5" t="inlineStr">
        <is>
          <t>https://maltachamber.org.mt/wp-content/uploads/2026/05/LEAD-The-Malta-Chamber-Proposals-for-2026-2031-Legislature.pdf</t>
        </is>
      </c>
    </row>
    <row r="407">
      <c r="A407" s="2" t="inlineStr">
        <is>
          <t>397</t>
        </is>
      </c>
      <c r="B407" s="2" t="inlineStr">
        <is>
          <t>CC-115</t>
        </is>
      </c>
      <c r="C407" s="2" t="inlineStr">
        <is>
          <t>National Transport Master Plan 2030</t>
        </is>
      </c>
      <c r="D407" s="2" t="inlineStr">
        <is>
          <t>Ministry for Transport / Transport Malta</t>
        </is>
      </c>
      <c r="E407" s="2" t="inlineStr">
        <is>
          <t>Jan 2026</t>
        </is>
      </c>
      <c r="F407" s="2" t="inlineStr">
        <is>
          <t>Official plan</t>
        </is>
      </c>
      <c r="G407" s="2" t="inlineStr">
        <is>
          <t>p. 124 (EUR 770m, EUR 917m). Live site 403; read from Internet Archive copy of 21 Mar 2026.</t>
        </is>
      </c>
      <c r="H407" s="5" t="inlineStr">
        <is>
          <t>https://infrastructure.gov.mt/wp-content/uploads/2026/01/NATIONAL-TRANSPORT-MASTERPLAN-2030.pdf</t>
        </is>
      </c>
    </row>
    <row r="408">
      <c r="A408" s="2" t="inlineStr">
        <is>
          <t>398</t>
        </is>
      </c>
      <c r="B408" s="2" t="inlineStr">
        <is>
          <t>CC-115; CC-113</t>
        </is>
      </c>
      <c r="C408" s="2" t="inlineStr">
        <is>
          <t>GDP and main components (nama_10_gdp)</t>
        </is>
      </c>
      <c r="D408" s="2" t="inlineStr">
        <is>
          <t>Eurostat</t>
        </is>
      </c>
      <c r="E408" s="2" t="inlineStr">
        <is>
          <t>6 Oct 2026</t>
        </is>
      </c>
      <c r="F408" s="2" t="inlineStr">
        <is>
          <t>Independent dataset</t>
        </is>
      </c>
      <c r="G408" s="2" t="inlineStr">
        <is>
          <t>Retrieved 5 Oct 2026 by API (data/cc-115/).</t>
        </is>
      </c>
      <c r="H408" s="5" t="inlineStr">
        <is>
          <t>https://ec.europa.eu/eurostat/databrowser/view/nama_10_gdp/default/table</t>
        </is>
      </c>
    </row>
    <row r="409">
      <c r="A409" s="2" t="inlineStr">
        <is>
          <t>399</t>
        </is>
      </c>
      <c r="B409" s="2" t="inlineStr">
        <is>
          <t>CC-100</t>
        </is>
      </c>
      <c r="C409" s="2" t="inlineStr">
        <is>
          <t>Full-Year Traffic Update (company announcement 461/2026)</t>
        </is>
      </c>
      <c r="D409" s="2" t="inlineStr">
        <is>
          <t>Malta International Airport plc</t>
        </is>
      </c>
      <c r="E409" s="2" t="inlineStr">
        <is>
          <t>14 Jan 2026</t>
        </is>
      </c>
      <c r="F409" s="2" t="inlineStr">
        <is>
          <t>Primary (read)</t>
        </is>
      </c>
      <c r="G409" s="2" t="inlineStr">
        <is>
          <t>The claim. Read 5 Oct 2026.</t>
        </is>
      </c>
      <c r="H409" s="5" t="inlineStr">
        <is>
          <t>https://maltairport.com/app/uploads/2026/01/Full-Year-Traffic-Update.pdf</t>
        </is>
      </c>
    </row>
    <row r="410">
      <c r="A410" s="2" t="inlineStr">
        <is>
          <t>400</t>
        </is>
      </c>
      <c r="B410" s="2" t="inlineStr">
        <is>
          <t>CC-100</t>
        </is>
      </c>
      <c r="C410" s="2" t="inlineStr">
        <is>
          <t>Air passenger transport (avia_paoc)</t>
        </is>
      </c>
      <c r="D410" s="2" t="inlineStr">
        <is>
          <t>Eurostat</t>
        </is>
      </c>
      <c r="E410" s="2" t="inlineStr">
        <is>
          <t>2 Oct 2026</t>
        </is>
      </c>
      <c r="F410" s="2" t="inlineStr">
        <is>
          <t>Independent dataset</t>
        </is>
      </c>
      <c r="G410" s="2" t="inlineStr">
        <is>
          <t>Retrieved 5 Oct 2026 by API (data/cc-100/).</t>
        </is>
      </c>
      <c r="H410" s="5" t="inlineStr">
        <is>
          <t>https://ec.europa.eu/eurostat/databrowser/view/avia_paoc/default/table</t>
        </is>
      </c>
    </row>
    <row r="411">
      <c r="A411" s="2" t="inlineStr">
        <is>
          <t>401</t>
        </is>
      </c>
      <c r="B411" s="2" t="inlineStr">
        <is>
          <t>CC-106</t>
        </is>
      </c>
      <c r="C411" s="2" t="inlineStr">
        <is>
          <t>Malta Yelkouan Shearwater Species Action Plan 2022-2030 (page)</t>
        </is>
      </c>
      <c r="D411" s="2" t="inlineStr">
        <is>
          <t>Environment and Resources Authority</t>
        </is>
      </c>
      <c r="E411" s="2" t="inlineStr">
        <is>
          <t>n/d</t>
        </is>
      </c>
      <c r="F411" s="2" t="inlineStr">
        <is>
          <t>Official plan</t>
        </is>
      </c>
      <c r="G411" s="2" t="inlineStr">
        <is>
          <t>1,795-2,635 pairs. Live site 403; Internet Archive copy of 8 Aug 2025.</t>
        </is>
      </c>
      <c r="H411" s="5" t="inlineStr">
        <is>
          <t>https://era.org.mt/malta-yelkouan-shearwater-species-ap-2022-2030/</t>
        </is>
      </c>
    </row>
    <row r="412">
      <c r="A412" s="2" t="inlineStr">
        <is>
          <t>402</t>
        </is>
      </c>
      <c r="B412" s="2" t="inlineStr">
        <is>
          <t>CC-106</t>
        </is>
      </c>
      <c r="C412" s="2" t="inlineStr">
        <is>
          <t>The endemic Mediterranean yelkouan shearwater (Oryx 42:187-194)</t>
        </is>
      </c>
      <c r="D412" s="2" t="inlineStr">
        <is>
          <t>Bourgeois &amp; Vidal</t>
        </is>
      </c>
      <c r="E412" s="2" t="inlineStr">
        <is>
          <t>2008</t>
        </is>
      </c>
      <c r="F412" s="2" t="inlineStr">
        <is>
          <t>Peer-reviewed review</t>
        </is>
      </c>
      <c r="G412" s="2" t="inlineStr">
        <is>
          <t>Global 11,355-54,524 pairs. Crossref verified.</t>
        </is>
      </c>
      <c r="H412" s="5" t="inlineStr">
        <is>
          <t>https://doi.org/10.1017/S0030605308006467</t>
        </is>
      </c>
    </row>
    <row r="413">
      <c r="A413" s="2" t="inlineStr">
        <is>
          <t>403</t>
        </is>
      </c>
      <c r="B413" s="2" t="inlineStr">
        <is>
          <t>CC-106</t>
        </is>
      </c>
      <c r="C413" s="2" t="inlineStr">
        <is>
          <t>Yelkouan shearwater (seabird guide)</t>
        </is>
      </c>
      <c r="D413" s="2" t="inlineStr">
        <is>
          <t>CIESM</t>
        </is>
      </c>
      <c r="E413" s="2" t="inlineStr">
        <is>
          <t>n/d</t>
        </is>
      </c>
      <c r="F413" s="2" t="inlineStr">
        <is>
          <t>Scientific guide (second-hand)</t>
        </is>
      </c>
      <c r="G413" s="2" t="inlineStr">
        <is>
          <t>Global 21,000-36,000 pairs; source not given.</t>
        </is>
      </c>
      <c r="H413" s="5" t="inlineStr">
        <is>
          <t>https://ciesm.org/seabird-guide/yelkouan-shearwater/</t>
        </is>
      </c>
    </row>
    <row r="414">
      <c r="A414" s="2" t="inlineStr">
        <is>
          <t>404</t>
        </is>
      </c>
      <c r="B414" s="2" t="inlineStr">
        <is>
          <t>CC-049</t>
        </is>
      </c>
      <c r="C414" s="2" t="inlineStr">
        <is>
          <t>Illegal hunting soars as enforcement collapses</t>
        </is>
      </c>
      <c r="D414" s="2" t="inlineStr">
        <is>
          <t>BirdLife Malta</t>
        </is>
      </c>
      <c r="E414" s="2" t="inlineStr">
        <is>
          <t>10 Oct 2025</t>
        </is>
      </c>
      <c r="F414" s="2" t="inlineStr">
        <is>
          <t>Primary (read)</t>
        </is>
      </c>
      <c r="G414" s="2" t="inlineStr">
        <is>
          <t>The claim, verbatim. Read 5 Oct 2026.</t>
        </is>
      </c>
      <c r="H414" s="5" t="inlineStr">
        <is>
          <t>https://birdlifemalta.org/2025/10/illegal-hunting-soars-as-enforcement-collapses/</t>
        </is>
      </c>
    </row>
    <row r="415">
      <c r="A415" s="2" t="inlineStr">
        <is>
          <t>405</t>
        </is>
      </c>
      <c r="B415" s="2" t="inlineStr">
        <is>
          <t>CC-053</t>
        </is>
      </c>
      <c r="C415" s="2" t="inlineStr">
        <is>
          <t>A photometric mapping of the night sky brightness of the Maltese islands (J. Environ. Manage. 261:110196)</t>
        </is>
      </c>
      <c r="D415" s="2" t="inlineStr">
        <is>
          <t>Caruana et al.</t>
        </is>
      </c>
      <c r="E415" s="2" t="inlineStr">
        <is>
          <t>2020</t>
        </is>
      </c>
      <c r="F415" s="2" t="inlineStr">
        <is>
          <t>Peer-reviewed study</t>
        </is>
      </c>
      <c r="G415" s="2" t="inlineStr">
        <is>
          <t>The claim. Crossref verified; accepted manuscript read (arXiv:2002.04435).</t>
        </is>
      </c>
      <c r="H415" s="5" t="inlineStr">
        <is>
          <t>https://doi.org/10.1016/j.jenvman.2020.110196</t>
        </is>
      </c>
    </row>
    <row r="416">
      <c r="A416" s="2" t="inlineStr">
        <is>
          <t>406</t>
        </is>
      </c>
      <c r="B416" s="2" t="inlineStr">
        <is>
          <t>CC-104</t>
        </is>
      </c>
      <c r="C416" s="2" t="inlineStr">
        <is>
          <t>MEP Peter Agius calls on the European Commission to investigate the implementation of the Noise Pollution Directive in Malta</t>
        </is>
      </c>
      <c r="D416" s="2" t="inlineStr">
        <is>
          <t>EPP Group</t>
        </is>
      </c>
      <c r="E416" s="2" t="inlineStr">
        <is>
          <t>20 Feb 2025</t>
        </is>
      </c>
      <c r="F416" s="2" t="inlineStr">
        <is>
          <t>Party statement (read)</t>
        </is>
      </c>
      <c r="G416" s="2" t="inlineStr">
        <is>
          <t>Agius quoted in general terms. Read 5 Oct 2026.</t>
        </is>
      </c>
      <c r="H416" s="5" t="inlineStr">
        <is>
          <t>https://www.eppgroup.eu/what-we-do/with-eu-countries/malta/commission-investigation-on-noise-pollution-in-malta</t>
        </is>
      </c>
    </row>
    <row r="417">
      <c r="A417" s="2" t="inlineStr">
        <is>
          <t>407</t>
        </is>
      </c>
      <c r="B417" s="2" t="inlineStr">
        <is>
          <t>CC-097</t>
        </is>
      </c>
      <c r="C417" s="2" t="inlineStr">
        <is>
          <t>There is no place for discrimination between workers</t>
        </is>
      </c>
      <c r="D417" s="2" t="inlineStr">
        <is>
          <t>General Workers' Union</t>
        </is>
      </c>
      <c r="E417" s="2" t="inlineStr">
        <is>
          <t>17 Jul 2026</t>
        </is>
      </c>
      <c r="F417" s="2" t="inlineStr">
        <is>
          <t>Primary (read)</t>
        </is>
      </c>
      <c r="G417" s="2" t="inlineStr">
        <is>
          <t>The claim, verbatim. Read 5 Oct 2026.</t>
        </is>
      </c>
      <c r="H417" s="5" t="inlineStr">
        <is>
          <t>https://gwu.org.mt/en/there-is-no-place-for-discrimination-between-workers/</t>
        </is>
      </c>
    </row>
    <row r="418">
      <c r="A418" s="2" t="inlineStr">
        <is>
          <t>408</t>
        </is>
      </c>
      <c r="B418" s="2" t="inlineStr">
        <is>
          <t>CC-024; CC-094</t>
        </is>
      </c>
      <c r="C418" s="2" t="inlineStr">
        <is>
          <t>Assessment of the final updated NECPs, SWD(2025) 140: Malta extract</t>
        </is>
      </c>
      <c r="D418" s="2" t="inlineStr">
        <is>
          <t>European Commission</t>
        </is>
      </c>
      <c r="E418" s="2" t="inlineStr">
        <is>
          <t>May 2025</t>
        </is>
      </c>
      <c r="F418" s="2" t="inlineStr">
        <is>
          <t>Official assessment</t>
        </is>
      </c>
      <c r="G418" s="2" t="inlineStr">
        <is>
          <t>Table 1 and section 2.2: 24.5% below the 28% formula; PV support not quantified. Read 5 Oct 2026.</t>
        </is>
      </c>
      <c r="H418" s="5" t="inlineStr">
        <is>
          <t>https://commission.europa.eu/document/download/bf1c1e17-293c-4c50-92ca-1ae663ab6cae_en?filename=MT_Extract_SWD+2025_140.pdf</t>
        </is>
      </c>
    </row>
    <row r="419">
      <c r="A419" s="2" t="inlineStr">
        <is>
          <t>409</t>
        </is>
      </c>
      <c r="B419" s="2" t="inlineStr">
        <is>
          <t>CC-024; CC-114</t>
        </is>
      </c>
      <c r="C419" s="2" t="inlineStr">
        <is>
          <t>Share of energy from renewable sources (nrg_ind_ren)</t>
        </is>
      </c>
      <c r="D419" s="2" t="inlineStr">
        <is>
          <t>Eurostat</t>
        </is>
      </c>
      <c r="E419" s="2" t="inlineStr">
        <is>
          <t>15 Sep 2026</t>
        </is>
      </c>
      <c r="F419" s="2" t="inlineStr">
        <is>
          <t>Independent dataset</t>
        </is>
      </c>
      <c r="G419" s="2" t="inlineStr">
        <is>
          <t>Retrieved 5 Oct 2026 by API (data/cc-024/).</t>
        </is>
      </c>
      <c r="H419" s="5" t="inlineStr">
        <is>
          <t>https://ec.europa.eu/eurostat/databrowser/view/nrg_ind_ren/default/table</t>
        </is>
      </c>
    </row>
    <row r="420">
      <c r="A420" s="2" t="inlineStr">
        <is>
          <t>410</t>
        </is>
      </c>
      <c r="B420" s="2" t="inlineStr">
        <is>
          <t>CC-024</t>
        </is>
      </c>
      <c r="C420" s="2" t="inlineStr">
        <is>
          <t>Renewable Energy from Photovoltaic Panels (PVs): 2024 (NR 111/2025)</t>
        </is>
      </c>
      <c r="D420" s="2" t="inlineStr">
        <is>
          <t>National Statistics Office</t>
        </is>
      </c>
      <c r="E420" s="2" t="inlineStr">
        <is>
          <t>24 Jun 2025</t>
        </is>
      </c>
      <c r="F420" s="2" t="inlineStr">
        <is>
          <t>Official statistics</t>
        </is>
      </c>
      <c r="G420" s="2" t="inlineStr">
        <is>
          <t>SECOND-HAND: page returns 403; 252.255 MWp read from a search summary.</t>
        </is>
      </c>
      <c r="H420" s="5" t="inlineStr">
        <is>
          <t>https://nso.gov.mt/energy/renewable-energy-from-photovoltaic-panels-pvs-2024/</t>
        </is>
      </c>
    </row>
    <row r="421">
      <c r="A421" s="2" t="inlineStr">
        <is>
          <t>411</t>
        </is>
      </c>
      <c r="B421" s="2" t="inlineStr">
        <is>
          <t>CC-024</t>
        </is>
      </c>
      <c r="C421" s="2" t="inlineStr">
        <is>
          <t>Recommendation on the draft updated NECP of Malta, C(2023) 9610</t>
        </is>
      </c>
      <c r="D421" s="2" t="inlineStr">
        <is>
          <t>European Commission</t>
        </is>
      </c>
      <c r="E421" s="2" t="inlineStr">
        <is>
          <t>18 Dec 2023</t>
        </is>
      </c>
      <c r="F421" s="2" t="inlineStr">
        <is>
          <t>Official assessment</t>
        </is>
      </c>
      <c r="G421" s="2" t="inlineStr">
        <is>
          <t>Context for the 28% formula (Annex II Governance Regulation). Read 5 Oct 2026.</t>
        </is>
      </c>
      <c r="H421" s="5" t="inlineStr">
        <is>
          <t>https://commission.europa.eu/system/files/2023-12/Recommendation_draft_updated_NECP_Malta_2023.pdf</t>
        </is>
      </c>
    </row>
    <row r="422">
      <c r="A422" s="2" t="inlineStr">
        <is>
          <t>412</t>
        </is>
      </c>
      <c r="B422" s="2" t="inlineStr">
        <is>
          <t>CC-039</t>
        </is>
      </c>
      <c r="C422" s="2" t="inlineStr">
        <is>
          <t>European Commission Endorses WSC's 'Net Zero-Impact' Utility Project</t>
        </is>
      </c>
      <c r="D422" s="2" t="inlineStr">
        <is>
          <t>Water Services Corporation</t>
        </is>
      </c>
      <c r="E422" s="2" t="inlineStr">
        <is>
          <t>2 Apr 2019</t>
        </is>
      </c>
      <c r="F422" s="2" t="inlineStr">
        <is>
          <t>Primary statement</t>
        </is>
      </c>
      <c r="G422" s="2" t="inlineStr">
        <is>
          <t>Verbatim 4 billion litre statement. Read in Wayback copy (10 Sep 2024); live site shows a bot challenge.</t>
        </is>
      </c>
      <c r="H422" s="5" t="inlineStr">
        <is>
          <t>https://www.wsc.com.mt/european-commission-endorses-wscs-net-zero-impact-utility-project/</t>
        </is>
      </c>
    </row>
    <row r="423">
      <c r="A423" s="2" t="inlineStr">
        <is>
          <t>413</t>
        </is>
      </c>
      <c r="B423" s="2" t="inlineStr">
        <is>
          <t>CC-039</t>
        </is>
      </c>
      <c r="C423" s="2" t="inlineStr">
        <is>
          <t>Integrated Water Resources Management in the Maltese Islands (Sapiano)</t>
        </is>
      </c>
      <c r="D423" s="2" t="inlineStr">
        <is>
          <t>Acque Sotterranee</t>
        </is>
      </c>
      <c r="E423" s="2" t="inlineStr">
        <is>
          <t>2020</t>
        </is>
      </c>
      <c r="F423" s="2" t="inlineStr">
        <is>
          <t>Peer-reviewed overview (full text read)</t>
        </is>
      </c>
      <c r="G423" s="2" t="inlineStr">
        <is>
          <t>Describes the framework's energy aim, p. 30; author at the Energy and Water Agency.</t>
        </is>
      </c>
      <c r="H423" s="5" t="inlineStr">
        <is>
          <t>https://doi.org/10.7343/as-2020-477</t>
        </is>
      </c>
    </row>
    <row r="424">
      <c r="A424" s="2" t="inlineStr">
        <is>
          <t>414</t>
        </is>
      </c>
      <c r="B424" s="2" t="inlineStr">
        <is>
          <t>CC-039</t>
        </is>
      </c>
      <c r="C424" s="2" t="inlineStr">
        <is>
          <t>WSC Annual Report 2016</t>
        </is>
      </c>
      <c r="D424" s="2" t="inlineStr">
        <is>
          <t>Water Services Corporation</t>
        </is>
      </c>
      <c r="E424" s="2" t="inlineStr">
        <is>
          <t>2017</t>
        </is>
      </c>
      <c r="F424" s="2" t="inlineStr">
        <is>
          <t>Annual report (read in Wayback copy)</t>
        </is>
      </c>
      <c r="G424" s="2" t="inlineStr">
        <is>
          <t>2016 groundwater and RO production, specific power 4.85 kWh/m3, electricity cost.</t>
        </is>
      </c>
      <c r="H424" s="5" t="inlineStr">
        <is>
          <t>https://www.wsc.com.mt/wp-content/uploads/2018/03/Annual_Report_-_16.pdf</t>
        </is>
      </c>
    </row>
    <row r="425">
      <c r="A425" s="2" t="inlineStr">
        <is>
          <t>415</t>
        </is>
      </c>
      <c r="B425" s="2" t="inlineStr">
        <is>
          <t>CC-039</t>
        </is>
      </c>
      <c r="C425" s="2" t="inlineStr">
        <is>
          <t>WSC Annual Report 2022</t>
        </is>
      </c>
      <c r="D425" s="2" t="inlineStr">
        <is>
          <t>Water Services Corporation</t>
        </is>
      </c>
      <c r="E425" s="2" t="inlineStr">
        <is>
          <t>2023</t>
        </is>
      </c>
      <c r="F425" s="2" t="inlineStr">
        <is>
          <t>Annual report (read in Wayback copy)</t>
        </is>
      </c>
      <c r="G425" s="2" t="inlineStr">
        <is>
          <t>Groundwater 12.7 million m3 in 2022; energy spend up about EUR 2M after more RO.</t>
        </is>
      </c>
      <c r="H425" s="5" t="inlineStr">
        <is>
          <t>https://www.wsc.com.mt/wp-content/uploads/2023/06/WSC-Annual-Report-2022.pdf</t>
        </is>
      </c>
    </row>
    <row r="426">
      <c r="A426" s="2" t="inlineStr">
        <is>
          <t>416</t>
        </is>
      </c>
      <c r="B426" s="2" t="inlineStr">
        <is>
          <t>CC-039; CC-101</t>
        </is>
      </c>
      <c r="C426" s="2" t="inlineStr">
        <is>
          <t>Water abstraction by source and sector (env_wat_abs)</t>
        </is>
      </c>
      <c r="D426" s="2" t="inlineStr">
        <is>
          <t>Eurostat</t>
        </is>
      </c>
      <c r="E426" s="2" t="inlineStr">
        <is>
          <t>16 Sep 2026</t>
        </is>
      </c>
      <c r="F426" s="2" t="inlineStr">
        <is>
          <t>Official statistics</t>
        </is>
      </c>
      <c r="G426" s="2" t="inlineStr">
        <is>
          <t>Public-supply groundwater 2018, 2019, 2024 (estimated). For CC-101: Malta 2024 fresh groundwater 38.46, fresh surface water 2.96 (flat 2019-2024), total 41.42 million m3, all flagged e; extract in data/cc-101/eurostat_env_wat_abs.csv.</t>
        </is>
      </c>
      <c r="H426" s="5" t="inlineStr">
        <is>
          <t>https://ec.europa.eu/eurostat/databrowser/view/env_wat_abs/default/table</t>
        </is>
      </c>
    </row>
    <row r="427">
      <c r="A427" s="2" t="inlineStr">
        <is>
          <t>417</t>
        </is>
      </c>
      <c r="B427" s="2" t="inlineStr">
        <is>
          <t>CC-084</t>
        </is>
      </c>
      <c r="C427" s="2" t="inlineStr">
        <is>
          <t>4,000,000! L-effetti tat-turiżmu eċċessiv f'Malta huma ċarissimi</t>
        </is>
      </c>
      <c r="D427" s="2" t="inlineStr">
        <is>
          <t>ADPD - The Green Party</t>
        </is>
      </c>
      <c r="E427" s="2" t="inlineStr">
        <is>
          <t>14 Feb 2026</t>
        </is>
      </c>
      <c r="F427" s="2" t="inlineStr">
        <is>
          <t>Primary (read)</t>
        </is>
      </c>
      <c r="G427" s="2" t="inlineStr">
        <is>
          <t>Gauci quoted on 4 million; no tripling. Read 5 Oct 2026.</t>
        </is>
      </c>
      <c r="H427" s="5" t="inlineStr">
        <is>
          <t>https://adpd.mt/4000000-l-effetti-tat-turizmu-eccessiv-fmalta-huma-carissimi/</t>
        </is>
      </c>
    </row>
    <row r="428">
      <c r="A428" s="2" t="inlineStr">
        <is>
          <t>418</t>
        </is>
      </c>
      <c r="B428" s="2" t="inlineStr">
        <is>
          <t>CC-084</t>
        </is>
      </c>
      <c r="C428" s="2" t="inlineStr">
        <is>
          <t>The impact of overtourism in Malta is clear</t>
        </is>
      </c>
      <c r="D428" s="2" t="inlineStr">
        <is>
          <t>Newsbook</t>
        </is>
      </c>
      <c r="E428" s="2" t="inlineStr">
        <is>
          <t>14 Feb 2026</t>
        </is>
      </c>
      <c r="F428" s="2" t="inlineStr">
        <is>
          <t>News / locator</t>
        </is>
      </c>
      <c r="G428" s="2" t="inlineStr">
        <is>
          <t>Outlet's own unquoted sentence carries the tripling.</t>
        </is>
      </c>
      <c r="H428" s="5" t="inlineStr">
        <is>
          <t>https://newsbook.com.mt/en/the-impact-of-overtourism-in-malta-is-clear-adpd/</t>
        </is>
      </c>
    </row>
    <row r="429">
      <c r="A429" s="2" t="inlineStr">
        <is>
          <t>419</t>
        </is>
      </c>
      <c r="B429" s="2" t="inlineStr">
        <is>
          <t>CC-042</t>
        </is>
      </c>
      <c r="C429" s="2" t="inlineStr">
        <is>
          <t>Fajtata Bay closed to bathers after public toilet overflow spills into sea</t>
        </is>
      </c>
      <c r="D429" s="2" t="inlineStr">
        <is>
          <t>MaltaToday</t>
        </is>
      </c>
      <c r="E429" s="2" t="inlineStr">
        <is>
          <t>30 Jun 2025</t>
        </is>
      </c>
      <c r="F429" s="2" t="inlineStr">
        <is>
          <t>News (EHD notice)</t>
        </is>
      </c>
      <c r="G429" s="2" t="inlineStr">
        <is>
          <t>Reproduces the EHD notice. Read 5 Oct 2026.</t>
        </is>
      </c>
      <c r="H429" s="5" t="inlineStr">
        <is>
          <t>https://www.maltatoday.com.mt/news/national/135697/fajtata_bay_closed_to_bathers_after_public_toilet_overflow_spills_into_sea_</t>
        </is>
      </c>
    </row>
    <row r="430">
      <c r="A430" s="2" t="inlineStr">
        <is>
          <t>420</t>
        </is>
      </c>
      <c r="B430" s="2" t="inlineStr">
        <is>
          <t>CC-042</t>
        </is>
      </c>
      <c r="C430" s="2" t="inlineStr">
        <is>
          <t>Fajtata Bay open to swimmers again</t>
        </is>
      </c>
      <c r="D430" s="2" t="inlineStr">
        <is>
          <t>MaltaToday</t>
        </is>
      </c>
      <c r="E430" s="2" t="inlineStr">
        <is>
          <t>2 Jul 2025</t>
        </is>
      </c>
      <c r="F430" s="2" t="inlineStr">
        <is>
          <t>News (EHD statement)</t>
        </is>
      </c>
      <c r="G430" s="2" t="inlineStr">
        <is>
          <t>Warning lifted. Read 5 Oct 2026.</t>
        </is>
      </c>
      <c r="H430" s="5" t="inlineStr">
        <is>
          <t>https://www.maltatoday.com.mt/news/national/135753/fajtata_bay_open_to_swimmers_again</t>
        </is>
      </c>
    </row>
    <row r="431">
      <c r="A431" s="2" t="inlineStr">
        <is>
          <t>421</t>
        </is>
      </c>
      <c r="B431" s="2" t="inlineStr">
        <is>
          <t>CC-042</t>
        </is>
      </c>
      <c r="C431" s="2" t="inlineStr">
        <is>
          <t>Marsascala beach goes from Blue Flag to Red Alert in 48 hours, PN says; PL responds</t>
        </is>
      </c>
      <c r="D431" s="2" t="inlineStr">
        <is>
          <t>The Malta Independent</t>
        </is>
      </c>
      <c r="E431" s="2" t="inlineStr">
        <is>
          <t>1 Jul 2025</t>
        </is>
      </c>
      <c r="F431" s="2" t="inlineStr">
        <is>
          <t>News / PN statement</t>
        </is>
      </c>
      <c r="G431" s="2" t="inlineStr">
        <is>
          <t>PN statement and PL reply. Read 5 Oct 2026 (Wayback).</t>
        </is>
      </c>
      <c r="H431" s="5" t="inlineStr">
        <is>
          <t>https://www.independent.com.mt/articles/2025-07-01/local-news/Marsascala-beach-goes-from-Blue-Flag-to-Red-Alert-in-48-hours-PN-says-6736271331</t>
        </is>
      </c>
    </row>
    <row r="432">
      <c r="A432" s="2" t="inlineStr">
        <is>
          <t>422</t>
        </is>
      </c>
      <c r="B432" s="2" t="inlineStr">
        <is>
          <t>CC-042</t>
        </is>
      </c>
      <c r="C432" s="2" t="inlineStr">
        <is>
          <t>Fajtata Beach Closed Due To Sewage Leak Days After Earning Blue Flag Status</t>
        </is>
      </c>
      <c r="D432" s="2" t="inlineStr">
        <is>
          <t>Lovin Malta</t>
        </is>
      </c>
      <c r="E432" s="2" t="inlineStr">
        <is>
          <t>30 Jun 2025</t>
        </is>
      </c>
      <c r="F432" s="2" t="inlineStr">
        <is>
          <t>News</t>
        </is>
      </c>
      <c r="G432" s="2" t="inlineStr">
        <is>
          <t>Blue Flag and closure dates. Read 5 Oct 2026.</t>
        </is>
      </c>
      <c r="H432" s="5" t="inlineStr">
        <is>
          <t>https://lovinmalta.com/lifestyle/announcements/fajtata-beach-closed-due-to-sewage-leak-days-after-earning-blue-flag-status/</t>
        </is>
      </c>
    </row>
    <row r="433">
      <c r="A433" s="2" t="inlineStr">
        <is>
          <t>423</t>
        </is>
      </c>
      <c r="B433" s="2" t="inlineStr">
        <is>
          <t>CC-042</t>
        </is>
      </c>
      <c r="C433" s="2" t="inlineStr">
        <is>
          <t>Factcheck: Sea Water Quality</t>
        </is>
      </c>
      <c r="D433" s="2" t="inlineStr">
        <is>
          <t>Partit Nazzjonalista</t>
        </is>
      </c>
      <c r="E433" s="2" t="inlineStr">
        <is>
          <t>2026</t>
        </is>
      </c>
      <c r="F433" s="2" t="inlineStr">
        <is>
          <t>Party page (lead)</t>
        </is>
      </c>
      <c r="G433" s="2" t="inlineStr">
        <is>
          <t>Lead to EHD closure-report URLs; not evidence.</t>
        </is>
      </c>
      <c r="H433" s="5" t="inlineStr">
        <is>
          <t>https://pn.org.mt/facts-seawater/</t>
        </is>
      </c>
    </row>
    <row r="434">
      <c r="A434" s="2" t="inlineStr">
        <is>
          <t>424</t>
        </is>
      </c>
      <c r="B434" s="2" t="inlineStr">
        <is>
          <t>CC-047</t>
        </is>
      </c>
      <c r="C434" s="2" t="inlineStr">
        <is>
          <t>Tracing nitrate fate in Malta's hydrogeological system (J. Hydrol.: Reg. Stud. 64:103162)</t>
        </is>
      </c>
      <c r="D434" s="2" t="inlineStr">
        <is>
          <t>Laudi et al.</t>
        </is>
      </c>
      <c r="E434" s="2" t="inlineStr">
        <is>
          <t>2026</t>
        </is>
      </c>
      <c r="F434" s="2" t="inlineStr">
        <is>
          <t>Peer-reviewed study</t>
        </is>
      </c>
      <c r="G434" s="2" t="inlineStr">
        <is>
          <t>The study behind the claim. Crossref verified; abstract read; full text not retrieved.</t>
        </is>
      </c>
      <c r="H434" s="5" t="inlineStr">
        <is>
          <t>https://doi.org/10.1016/j.ejrh.2026.103162</t>
        </is>
      </c>
    </row>
    <row r="435">
      <c r="A435" s="2" t="inlineStr">
        <is>
          <t>425</t>
        </is>
      </c>
      <c r="B435" s="2" t="inlineStr">
        <is>
          <t>CC-047</t>
        </is>
      </c>
      <c r="C435" s="2" t="inlineStr">
        <is>
          <t>Using vadose zone data to determine agricultural impact on groundwater pollution (EGU25-13344)</t>
        </is>
      </c>
      <c r="D435" s="2" t="inlineStr">
        <is>
          <t>Laudi et al.</t>
        </is>
      </c>
      <c r="E435" s="2" t="inlineStr">
        <is>
          <t>2025</t>
        </is>
      </c>
      <c r="F435" s="2" t="inlineStr">
        <is>
          <t>Conference abstract</t>
        </is>
      </c>
      <c r="G435" s="2" t="inlineStr">
        <is>
          <t>Same team: 75-200 mg/L under potato/forage fields; 25-100 mg/L regional aquifer.</t>
        </is>
      </c>
      <c r="H435" s="5" t="inlineStr">
        <is>
          <t>https://doi.org/10.5194/egusphere-egu25-13344</t>
        </is>
      </c>
    </row>
    <row r="436">
      <c r="A436" s="2" t="inlineStr">
        <is>
          <t>426</t>
        </is>
      </c>
      <c r="B436" s="2" t="inlineStr">
        <is>
          <t>CC-047</t>
        </is>
      </c>
      <c r="C436" s="2" t="inlineStr">
        <is>
          <t>Malta country fiche, Nitrates Directive 2020-2023, SWD(2026) 232 final Part 20/27</t>
        </is>
      </c>
      <c r="D436" s="2" t="inlineStr">
        <is>
          <t>European Commission</t>
        </is>
      </c>
      <c r="E436" s="2" t="inlineStr">
        <is>
          <t>2026-07-15</t>
        </is>
      </c>
      <c r="F436" s="2" t="inlineStr">
        <is>
          <t>EU regulator report</t>
        </is>
      </c>
      <c r="G436" s="2" t="inlineStr">
        <is>
          <t>30 of 44 groundwater points average 50 mg/L or more (2020-2023).</t>
        </is>
      </c>
      <c r="H436" s="5" t="inlineStr">
        <is>
          <t>https://data.consilium.europa.eu/doc/document/ST-12018-2026-ADD-19/en/pdf</t>
        </is>
      </c>
    </row>
    <row r="437">
      <c r="A437" s="2" t="inlineStr">
        <is>
          <t>427</t>
        </is>
      </c>
      <c r="B437" s="2" t="inlineStr">
        <is>
          <t>CC-050</t>
        </is>
      </c>
      <c r="C437" s="2" t="inlineStr">
        <is>
          <t>BirdLife Malta condemns dangerous political race to weaken environmental enforcement</t>
        </is>
      </c>
      <c r="D437" s="2" t="inlineStr">
        <is>
          <t>BirdLife Malta</t>
        </is>
      </c>
      <c r="E437" s="2" t="inlineStr">
        <is>
          <t>27 May 2026</t>
        </is>
      </c>
      <c r="F437" s="2" t="inlineStr">
        <is>
          <t>Primary (read)</t>
        </is>
      </c>
      <c r="G437" s="2" t="inlineStr">
        <is>
          <t>The claim, headline and body read 5 Oct 2026.</t>
        </is>
      </c>
      <c r="H437" s="5" t="inlineStr">
        <is>
          <t>https://birdlifemalta.org/2026/05/birdlife-malta-condemns-dangerous-political-race-to-weaken-environmental-enforcement/</t>
        </is>
      </c>
    </row>
    <row r="438">
      <c r="A438" s="2" t="inlineStr">
        <is>
          <t>428</t>
        </is>
      </c>
      <c r="B438" s="2" t="inlineStr">
        <is>
          <t>CC-050</t>
        </is>
      </c>
      <c r="C438" s="2" t="inlineStr">
        <is>
          <t>Borg pledges hunting and trapping 'will be safeguarded' during Gozo mass meeting</t>
        </is>
      </c>
      <c r="D438" s="2" t="inlineStr">
        <is>
          <t>Lovin Malta</t>
        </is>
      </c>
      <c r="E438" s="2" t="inlineStr">
        <is>
          <t>26 May 2026</t>
        </is>
      </c>
      <c r="F438" s="2" t="inlineStr">
        <is>
          <t>News (second-hand)</t>
        </is>
      </c>
      <c r="G438" s="2" t="inlineStr">
        <is>
          <t>Borg's words as transcribed.</t>
        </is>
      </c>
      <c r="H438" s="5" t="inlineStr">
        <is>
          <t>https://lovinmalta.com/news/general-election-2026/watch-borg-pledges-hunting-and-trapping-will-be-safeguarded-during-gozo-mass-meeting/</t>
        </is>
      </c>
    </row>
    <row r="439">
      <c r="A439" s="2" t="inlineStr">
        <is>
          <t>429</t>
        </is>
      </c>
      <c r="B439" s="2" t="inlineStr">
        <is>
          <t>CC-050</t>
        </is>
      </c>
      <c r="C439" s="2" t="inlineStr">
        <is>
          <t>Government should fight wildlife crime, not reward it, 10 NGOs warn</t>
        </is>
      </c>
      <c r="D439" s="2" t="inlineStr">
        <is>
          <t>Newsbook</t>
        </is>
      </c>
      <c r="E439" s="2" t="inlineStr">
        <is>
          <t>28 May 2026</t>
        </is>
      </c>
      <c r="F439" s="2" t="inlineStr">
        <is>
          <t>News (second-hand)</t>
        </is>
      </c>
      <c r="G439" s="2" t="inlineStr">
        <is>
          <t>Minister's statement and government-FKNK agreement.</t>
        </is>
      </c>
      <c r="H439" s="5" t="inlineStr">
        <is>
          <t>https://newsbook.com.mt/en/government-should-fight-wildlife-crime-not-reward-it-10-ngos-warn/</t>
        </is>
      </c>
    </row>
    <row r="440">
      <c r="A440" s="2" t="inlineStr">
        <is>
          <t>430</t>
        </is>
      </c>
      <c r="B440" s="2" t="inlineStr">
        <is>
          <t>CC-050</t>
        </is>
      </c>
      <c r="C440" s="2" t="inlineStr">
        <is>
          <t>BirdLife warns reduced hunting fines would reward those who break the law</t>
        </is>
      </c>
      <c r="D440" s="2" t="inlineStr">
        <is>
          <t>Newsbook</t>
        </is>
      </c>
      <c r="E440" s="2" t="inlineStr">
        <is>
          <t>24 Sep 2026</t>
        </is>
      </c>
      <c r="F440" s="2" t="inlineStr">
        <is>
          <t>News (second-hand)</t>
        </is>
      </c>
      <c r="G440" s="2" t="inlineStr">
        <is>
          <t>ORNIS proposal, fines.</t>
        </is>
      </c>
      <c r="H440" s="5" t="inlineStr">
        <is>
          <t>https://newsbook.com.mt/en/birdlife-warns-reduced-hunting-fines-would-reward-those-who-break-the-law/</t>
        </is>
      </c>
    </row>
    <row r="441">
      <c r="A441" s="2" t="inlineStr">
        <is>
          <t>431</t>
        </is>
      </c>
      <c r="B441" s="2" t="inlineStr">
        <is>
          <t>CC-050</t>
        </is>
      </c>
      <c r="C441" s="2" t="inlineStr">
        <is>
          <t>BirdLife Malta rejects FKNK President's statement as false</t>
        </is>
      </c>
      <c r="D441" s="2" t="inlineStr">
        <is>
          <t>BirdLife Malta</t>
        </is>
      </c>
      <c r="E441" s="2" t="inlineStr">
        <is>
          <t>2 Oct 2026</t>
        </is>
      </c>
      <c r="F441" s="2" t="inlineStr">
        <is>
          <t>NGO release</t>
        </is>
      </c>
      <c r="G441" s="2" t="inlineStr">
        <is>
          <t>Describes the ORNIS PowerPoint.</t>
        </is>
      </c>
      <c r="H441" s="5" t="inlineStr">
        <is>
          <t>https://birdlifemalta.org/2026/10/birdlife-malta-rejects-fknk-presidents-statement-as-false/</t>
        </is>
      </c>
    </row>
    <row r="442">
      <c r="A442" s="2" t="inlineStr">
        <is>
          <t>432</t>
        </is>
      </c>
      <c r="B442" s="2" t="inlineStr">
        <is>
          <t>CC-050</t>
        </is>
      </c>
      <c r="C442" s="2" t="inlineStr">
        <is>
          <t>Conservation of Wild Birds Regulations, S.L. 549.42 (consolidated)</t>
        </is>
      </c>
      <c r="D442" s="2" t="inlineStr">
        <is>
          <t>Government of Malta</t>
        </is>
      </c>
      <c r="E442" s="2" t="inlineStr">
        <is>
          <t>retrieved 5 Oct 2026</t>
        </is>
      </c>
      <c r="F442" s="2" t="inlineStr">
        <is>
          <t>Primary law</t>
        </is>
      </c>
      <c r="G442" s="2" t="inlineStr">
        <is>
          <t>Amended to L.N. 251 of 2025.</t>
        </is>
      </c>
      <c r="H442" s="5" t="inlineStr">
        <is>
          <t>https://legislation.mt/eli/sl/549.42/eng</t>
        </is>
      </c>
    </row>
    <row r="443">
      <c r="A443" s="2" t="inlineStr">
        <is>
          <t>433</t>
        </is>
      </c>
      <c r="B443" s="2" t="inlineStr">
        <is>
          <t>CC-063</t>
        </is>
      </c>
      <c r="C443" s="2" t="inlineStr">
        <is>
          <t>Crippling construction waste dumping costs behind road works standstill, MDA says</t>
        </is>
      </c>
      <c r="D443" s="2" t="inlineStr">
        <is>
          <t>BusinessToday</t>
        </is>
      </c>
      <c r="E443" s="2" t="inlineStr">
        <is>
          <t>17 Jun 2021</t>
        </is>
      </c>
      <c r="F443" s="2" t="inlineStr">
        <is>
          <t>News / context</t>
        </is>
      </c>
      <c r="G443" s="2" t="inlineStr">
        <is>
          <t>Repeats the warning; EUR 12/t. Read via Internet Archive 5 Oct 2026.</t>
        </is>
      </c>
      <c r="H443" s="5" t="inlineStr">
        <is>
          <t>https://www.businesstoday.com.mt/business/business/1503/crippling_construction_waste_dumping_costs_behind_road_works_standstill_mda_says</t>
        </is>
      </c>
    </row>
    <row r="444">
      <c r="A444" s="2" t="inlineStr">
        <is>
          <t>434</t>
        </is>
      </c>
      <c r="B444" s="2" t="inlineStr">
        <is>
          <t>CC-063</t>
        </is>
      </c>
      <c r="C444" s="2" t="inlineStr">
        <is>
          <t>Construction drive produced unprecedented levels of construction waste, Farrugia says</t>
        </is>
      </c>
      <c r="D444" s="2" t="inlineStr">
        <is>
          <t>MaltaToday</t>
        </is>
      </c>
      <c r="E444" s="2" t="inlineStr">
        <is>
          <t>9 Oct 2021</t>
        </is>
      </c>
      <c r="F444" s="2" t="inlineStr">
        <is>
          <t>News / context</t>
        </is>
      </c>
      <c r="G444" s="2" t="inlineStr">
        <is>
          <t>C&amp;D waste strategy, 15 measures. Read via Internet Archive 5 Oct 2026.</t>
        </is>
      </c>
      <c r="H444" s="5" t="inlineStr">
        <is>
          <t>https://www.maltatoday.com.mt/news/national/112566/construction_drive_produced_unprecedented_levels_of_construction_waste_farrugia_says</t>
        </is>
      </c>
    </row>
    <row r="445">
      <c r="A445" s="2" t="inlineStr">
        <is>
          <t>435</t>
        </is>
      </c>
      <c r="B445" s="2" t="inlineStr">
        <is>
          <t>CC-063</t>
        </is>
      </c>
      <c r="C445" s="2" t="inlineStr">
        <is>
          <t>Production in construction, annual data (sts_copr_a)</t>
        </is>
      </c>
      <c r="D445" s="2" t="inlineStr">
        <is>
          <t>Eurostat</t>
        </is>
      </c>
      <c r="E445" s="2" t="inlineStr">
        <is>
          <t>2 Oct 2026</t>
        </is>
      </c>
      <c r="F445" s="2" t="inlineStr">
        <is>
          <t>Independent dataset</t>
        </is>
      </c>
      <c r="G445" s="2" t="inlineStr">
        <is>
          <t>Retrieved 5 Oct 2026 by API (data/cc-063/).</t>
        </is>
      </c>
      <c r="H445" s="5" t="inlineStr">
        <is>
          <t>https://ec.europa.eu/eurostat/databrowser/view/sts_copr_a/default/table</t>
        </is>
      </c>
    </row>
    <row r="446">
      <c r="A446" s="2" t="inlineStr">
        <is>
          <t>436</t>
        </is>
      </c>
      <c r="B446" s="2" t="inlineStr">
        <is>
          <t>CC-063</t>
        </is>
      </c>
      <c r="C446" s="2" t="inlineStr">
        <is>
          <t>Generation of waste by NACE activity (env_wasgen); Treatment of waste (env_wastrt)</t>
        </is>
      </c>
      <c r="D446" s="2" t="inlineStr">
        <is>
          <t>Eurostat</t>
        </is>
      </c>
      <c r="E446" s="2" t="inlineStr">
        <is>
          <t>Sep 2025</t>
        </is>
      </c>
      <c r="F446" s="2" t="inlineStr">
        <is>
          <t>Independent dataset</t>
        </is>
      </c>
      <c r="G446" s="2" t="inlineStr">
        <is>
          <t>Retrieved 5 Oct 2026 by API (data/cc-063/).</t>
        </is>
      </c>
      <c r="H446" s="5" t="inlineStr">
        <is>
          <t>https://ec.europa.eu/eurostat/databrowser/view/env_wasgen/default/table</t>
        </is>
      </c>
    </row>
    <row r="447">
      <c r="A447" s="2" t="inlineStr">
        <is>
          <t>437</t>
        </is>
      </c>
      <c r="B447" s="2" t="inlineStr">
        <is>
          <t>CC-076</t>
        </is>
      </c>
      <c r="C447" s="2" t="inlineStr">
        <is>
          <t>Motor Vehicles: Q1/2026, NR 085/2026</t>
        </is>
      </c>
      <c r="D447" s="2" t="inlineStr">
        <is>
          <t>National Statistics Office, Malta</t>
        </is>
      </c>
      <c r="E447" s="2" t="inlineStr">
        <is>
          <t>13 May 2026</t>
        </is>
      </c>
      <c r="F447" s="2" t="inlineStr">
        <is>
          <t>Official statistics</t>
        </is>
      </c>
      <c r="G447" s="2" t="inlineStr">
        <is>
          <t>Read via Internet Archive copy (site blocks bots).</t>
        </is>
      </c>
      <c r="H447" s="5" t="inlineStr">
        <is>
          <t>https://nso.gov.mt/motor-vehicles-q1-2026/</t>
        </is>
      </c>
    </row>
    <row r="448">
      <c r="A448" s="2" t="inlineStr">
        <is>
          <t>438</t>
        </is>
      </c>
      <c r="B448" s="2" t="inlineStr">
        <is>
          <t>CC-076</t>
        </is>
      </c>
      <c r="C448" s="2" t="inlineStr">
        <is>
          <t>Over 3,200 new vehicles added to Malta's roads in three months</t>
        </is>
      </c>
      <c r="D448" s="2" t="inlineStr">
        <is>
          <t>Newsbook</t>
        </is>
      </c>
      <c r="E448" s="2" t="inlineStr">
        <is>
          <t>14 May 2026</t>
        </is>
      </c>
      <c r="F448" s="2" t="inlineStr">
        <is>
          <t>News / locator</t>
        </is>
      </c>
      <c r="G448" s="2" t="inlineStr">
        <is>
          <t>Locates the Q1 2026 release.</t>
        </is>
      </c>
      <c r="H448" s="5" t="inlineStr">
        <is>
          <t>https://newsbook.com.mt/en/over-3200-new-vehicles-added-to-maltas-roads-in-three-months/</t>
        </is>
      </c>
    </row>
    <row r="449">
      <c r="A449" s="2" t="inlineStr">
        <is>
          <t>439</t>
        </is>
      </c>
      <c r="B449" s="2" t="inlineStr">
        <is>
          <t>CC-088 / 099</t>
        </is>
      </c>
      <c r="C449" s="2" t="inlineStr">
        <is>
          <t>World Population Day: 11 July 2026 (NR 120/2026)</t>
        </is>
      </c>
      <c r="D449" s="2" t="inlineStr">
        <is>
          <t>National Statistics Office, Malta</t>
        </is>
      </c>
      <c r="E449" s="2" t="inlineStr">
        <is>
          <t>9 Jul 2026</t>
        </is>
      </c>
      <c r="F449" s="2" t="inlineStr">
        <is>
          <t>Official statistics</t>
        </is>
      </c>
      <c r="G449" s="2" t="inlineStr">
        <is>
          <t>Primary release; read via Internet Archive copy 5 Oct 2026 (CC-088). For CC-099 its citizenship figures (31.1%; 182,693) were known only second-hand (archive unreachable 6 Oct 2026).</t>
        </is>
      </c>
      <c r="H449" s="5" t="inlineStr">
        <is>
          <t>https://nso.gov.mt/world-population-day-11-july-2026/</t>
        </is>
      </c>
    </row>
    <row r="450">
      <c r="A450" s="2" t="inlineStr">
        <is>
          <t>440</t>
        </is>
      </c>
      <c r="B450" s="2" t="inlineStr">
        <is>
          <t>CC-088 / 099</t>
        </is>
      </c>
      <c r="C450" s="2" t="inlineStr">
        <is>
          <t>Population change - demographic balance (demo_gind)</t>
        </is>
      </c>
      <c r="D450" s="2" t="inlineStr">
        <is>
          <t>Eurostat</t>
        </is>
      </c>
      <c r="E450" s="2" t="inlineStr">
        <is>
          <t>30 Sep 2026</t>
        </is>
      </c>
      <c r="F450" s="2" t="inlineStr">
        <is>
          <t>Independent dataset</t>
        </is>
      </c>
      <c r="G450" s="2" t="inlineStr">
        <is>
          <t>Retrieved 5 Oct 2026 by API (data/cc-088/) and 6 Oct 2026 (data/cc-099/); data supplied by the NSO.</t>
        </is>
      </c>
      <c r="H450" s="5" t="inlineStr">
        <is>
          <t>https://ec.europa.eu/eurostat/databrowser/view/demo_gind/default/table</t>
        </is>
      </c>
    </row>
    <row r="451">
      <c r="A451" s="2" t="inlineStr">
        <is>
          <t>441</t>
        </is>
      </c>
      <c r="B451" s="2" t="inlineStr">
        <is>
          <t>CC-091</t>
        </is>
      </c>
      <c r="C451" s="2" t="inlineStr">
        <is>
          <t>Annual Report 2025</t>
        </is>
      </c>
      <c r="D451" s="2" t="inlineStr">
        <is>
          <t>Occupational Health and Safety Authority</t>
        </is>
      </c>
      <c r="E451" s="2" t="inlineStr">
        <is>
          <t>1 Jul 2026</t>
        </is>
      </c>
      <c r="F451" s="2" t="inlineStr">
        <is>
          <t>Primary (read)</t>
        </is>
      </c>
      <c r="G451" s="2" t="inlineStr">
        <is>
          <t>The claim, verbatim (s.4.3.1, s.8.3, s.4.2.6). Read 5 Oct 2026.</t>
        </is>
      </c>
      <c r="H451" s="5" t="inlineStr">
        <is>
          <t>https://ohsa.mt/sites/default/files/2026-05/AR-OHSA-2025.pdf</t>
        </is>
      </c>
    </row>
    <row r="452">
      <c r="A452" s="2" t="inlineStr">
        <is>
          <t>442</t>
        </is>
      </c>
      <c r="B452" s="2" t="inlineStr">
        <is>
          <t>CC-091</t>
        </is>
      </c>
      <c r="C452" s="2" t="inlineStr">
        <is>
          <t>Annual Report 2024</t>
        </is>
      </c>
      <c r="D452" s="2" t="inlineStr">
        <is>
          <t>Occupational Health and Safety Authority</t>
        </is>
      </c>
      <c r="E452" s="2" t="inlineStr">
        <is>
          <t>2025</t>
        </is>
      </c>
      <c r="F452" s="2" t="inlineStr">
        <is>
          <t>Official report</t>
        </is>
      </c>
      <c r="G452" s="2" t="inlineStr">
        <is>
          <t>Context: five fatal accidents, 9,381 inspections in 2024.</t>
        </is>
      </c>
      <c r="H452" s="5" t="inlineStr">
        <is>
          <t>https://www.ohsa.mt/sites/default/files/2025-05/AR-OHSA-2024.pdf</t>
        </is>
      </c>
    </row>
    <row r="453">
      <c r="A453" s="2" t="inlineStr">
        <is>
          <t>443</t>
        </is>
      </c>
      <c r="B453" s="2" t="inlineStr">
        <is>
          <t>CC-091</t>
        </is>
      </c>
      <c r="C453" s="2" t="inlineStr">
        <is>
          <t>Fatal accidents at work (hsw_n2_02)</t>
        </is>
      </c>
      <c r="D453" s="2" t="inlineStr">
        <is>
          <t>Eurostat</t>
        </is>
      </c>
      <c r="E453" s="2" t="inlineStr">
        <is>
          <t>25 Sep 2026</t>
        </is>
      </c>
      <c r="F453" s="2" t="inlineStr">
        <is>
          <t>Independent dataset</t>
        </is>
      </c>
      <c r="G453" s="2" t="inlineStr">
        <is>
          <t>Retrieved 5 Oct 2026 by API (data/cc-091/); 2025 not yet published.</t>
        </is>
      </c>
      <c r="H453" s="5" t="inlineStr">
        <is>
          <t>https://ec.europa.eu/eurostat/databrowser/view/hsw_n2_02/default/table</t>
        </is>
      </c>
    </row>
    <row r="454">
      <c r="A454" s="2" t="inlineStr">
        <is>
          <t>444</t>
        </is>
      </c>
      <c r="B454" s="2" t="inlineStr">
        <is>
          <t>CC-105</t>
        </is>
      </c>
      <c r="C454" s="2" t="inlineStr">
        <is>
          <t>It-tniġġis qiegħed iħassrilna saħħitna / Pollution is negatively affecting our health</t>
        </is>
      </c>
      <c r="D454" s="2" t="inlineStr">
        <is>
          <t>ADPD - The Green Party</t>
        </is>
      </c>
      <c r="E454" s="2" t="inlineStr">
        <is>
          <t>26 May 2026</t>
        </is>
      </c>
      <c r="F454" s="2" t="inlineStr">
        <is>
          <t>Primary (read)</t>
        </is>
      </c>
      <c r="G454" s="2" t="inlineStr">
        <is>
          <t>Verbatim wording, Maltese and English. Read 5 Oct 2026.</t>
        </is>
      </c>
      <c r="H454" s="5" t="inlineStr">
        <is>
          <t>https://adpd.mt/it-tniggis-qieghed-ihassrilna-sahhitna-adpd/</t>
        </is>
      </c>
    </row>
    <row r="455">
      <c r="A455" s="2" t="inlineStr">
        <is>
          <t>445</t>
        </is>
      </c>
      <c r="B455" s="2" t="inlineStr">
        <is>
          <t>CC-105</t>
        </is>
      </c>
      <c r="C455" s="2" t="inlineStr">
        <is>
          <t>Round 4 Final Project Report, Strategic Noise Mapping in Malta</t>
        </is>
      </c>
      <c r="D455" s="2" t="inlineStr">
        <is>
          <t>ERA / Lemitor</t>
        </is>
      </c>
      <c r="E455" s="2" t="inlineStr">
        <is>
          <t>Nov 2024</t>
        </is>
      </c>
      <c r="F455" s="2" t="inlineStr">
        <is>
          <t>Regulator (primary)</t>
        </is>
      </c>
      <c r="G455" s="2" t="inlineStr">
        <is>
          <t>Industrial sites mapped; no Freeport. Internet Archive copy.</t>
        </is>
      </c>
      <c r="H455" s="5" t="inlineStr">
        <is>
          <t>https://era.org.mt/wp-content/uploads/2024/12/R4_Noise_Maps_Malta_Final_Report_compressed.pdf</t>
        </is>
      </c>
    </row>
    <row r="456">
      <c r="A456" s="2" t="inlineStr">
        <is>
          <t>446</t>
        </is>
      </c>
      <c r="B456" s="2" t="inlineStr">
        <is>
          <t>CC-105</t>
        </is>
      </c>
      <c r="C456" s="2" t="inlineStr">
        <is>
          <t>Noise Action Plan, Malta Agglomeration 2019-2024</t>
        </is>
      </c>
      <c r="D456" s="2" t="inlineStr">
        <is>
          <t>ERA</t>
        </is>
      </c>
      <c r="E456" s="2" t="inlineStr">
        <is>
          <t>2023</t>
        </is>
      </c>
      <c r="F456" s="2" t="inlineStr">
        <is>
          <t>Regulator (primary)</t>
        </is>
      </c>
      <c r="G456" s="2" t="inlineStr">
        <is>
          <t>WHO levels and agglomeration exposure; no Freeport. Internet Archive copy.</t>
        </is>
      </c>
      <c r="H456" s="5" t="inlineStr">
        <is>
          <t>https://era.org.mt/wp-content/uploads/2023/12/Noise-Action-Plan-Agglomeration-Interactive.pdf</t>
        </is>
      </c>
    </row>
    <row r="457">
      <c r="A457" s="2" t="inlineStr">
        <is>
          <t>447</t>
        </is>
      </c>
      <c r="B457" s="2" t="inlineStr">
        <is>
          <t>CC-105</t>
        </is>
      </c>
      <c r="C457" s="2" t="inlineStr">
        <is>
          <t>Malta International Airport Noise Modelling, Final Report (round 3)</t>
        </is>
      </c>
      <c r="D457" s="2" t="inlineStr">
        <is>
          <t>ERA / Acustica</t>
        </is>
      </c>
      <c r="E457" s="2" t="inlineStr">
        <is>
          <t>Mar 2019</t>
        </is>
      </c>
      <c r="F457" s="2" t="inlineStr">
        <is>
          <t>Regulator (primary)</t>
        </is>
      </c>
      <c r="G457" s="2" t="inlineStr">
        <is>
          <t>Table 9.2 exposure counts (2016). Internet Archive copy.</t>
        </is>
      </c>
      <c r="H457" s="5" t="inlineStr">
        <is>
          <t>https://era.org.mt/wp-content/uploads/2019/10/593-14-2v3-1_Malta-International-Airport-R3-Final-Report.pdf</t>
        </is>
      </c>
    </row>
    <row r="458">
      <c r="A458" s="2" t="inlineStr">
        <is>
          <t>448</t>
        </is>
      </c>
      <c r="B458" s="2" t="inlineStr">
        <is>
          <t>CC-105</t>
        </is>
      </c>
      <c r="C458" s="2" t="inlineStr">
        <is>
          <t>Effects of Noise Pollution on Residents Living in Birzebbuga (Falzon et al., doi:10.18280/ijsdp.170732)</t>
        </is>
      </c>
      <c r="D458" s="2" t="inlineStr">
        <is>
          <t>Int. J. Sustainable Development and Planning</t>
        </is>
      </c>
      <c r="E458" s="2" t="inlineStr">
        <is>
          <t>2022</t>
        </is>
      </c>
      <c r="F458" s="2" t="inlineStr">
        <is>
          <t>Peer-reviewed</t>
        </is>
      </c>
      <c r="G458" s="2" t="inlineStr">
        <is>
          <t>Open access; Crossref verified; read in full.</t>
        </is>
      </c>
      <c r="H458" s="5" t="inlineStr">
        <is>
          <t>https://doi.org/10.18280/ijsdp.170732</t>
        </is>
      </c>
    </row>
    <row r="459">
      <c r="A459" s="2" t="inlineStr">
        <is>
          <t>449</t>
        </is>
      </c>
      <c r="B459" s="2" t="inlineStr">
        <is>
          <t>CC-105</t>
        </is>
      </c>
      <c r="C459" s="2" t="inlineStr">
        <is>
          <t>Level of noise disturbance at Birżebbuġa is higher than that established by WHO</t>
        </is>
      </c>
      <c r="D459" s="2" t="inlineStr">
        <is>
          <t>TVM news</t>
        </is>
      </c>
      <c r="E459" s="2" t="inlineStr">
        <is>
          <t>29 Dec 2015</t>
        </is>
      </c>
      <c r="F459" s="2" t="inlineStr">
        <is>
          <t>News (second-hand)</t>
        </is>
      </c>
      <c r="G459" s="2" t="inlineStr">
        <is>
          <t>Reports a Freeport-commissioned study; the study not seen.</t>
        </is>
      </c>
      <c r="H459" s="5" t="inlineStr">
        <is>
          <t>https://tvmnews.mt/en/news/level-of-noise-disturbance-at-birzebbuga-is-higher-than-that-established-by-who/</t>
        </is>
      </c>
    </row>
    <row r="460">
      <c r="A460" s="2" t="inlineStr">
        <is>
          <t>450</t>
        </is>
      </c>
      <c r="B460" s="2" t="inlineStr">
        <is>
          <t>CC-031</t>
        </is>
      </c>
      <c r="C460" s="2" t="inlineStr">
        <is>
          <t>Gozo Towards Climate Neutrality Conference</t>
        </is>
      </c>
      <c r="D460" s="2" t="inlineStr">
        <is>
          <t>Gozo Regional Development Authority</t>
        </is>
      </c>
      <c r="E460" s="2" t="inlineStr">
        <is>
          <t>30 Sep 2026</t>
        </is>
      </c>
      <c r="F460" s="2" t="inlineStr">
        <is>
          <t>Regulator (primary)</t>
        </is>
      </c>
      <c r="G460" s="2" t="inlineStr">
        <is>
          <t>Says KPMG presented the plan as a strategic reference framework; the plan itself not found. Read 6 Oct 2026.</t>
        </is>
      </c>
      <c r="H460" s="5" t="inlineStr">
        <is>
          <t>https://grda.mt/gozo-towards-climate-neutrality-conference/</t>
        </is>
      </c>
    </row>
    <row r="461">
      <c r="A461" s="2" t="inlineStr">
        <is>
          <t>451</t>
        </is>
      </c>
      <c r="B461" s="2" t="inlineStr">
        <is>
          <t>CC-031</t>
        </is>
      </c>
      <c r="C461" s="2" t="inlineStr">
        <is>
          <t>11% increase in public transport use in Gozo since full transition to electric buses</t>
        </is>
      </c>
      <c r="D461" s="2" t="inlineStr">
        <is>
          <t>TVM News</t>
        </is>
      </c>
      <c r="E461" s="2" t="inlineStr">
        <is>
          <t>4 Jul 2026</t>
        </is>
      </c>
      <c r="F461" s="2" t="inlineStr">
        <is>
          <t>News (public broadcaster)</t>
        </is>
      </c>
      <c r="G461" s="2" t="inlineStr">
        <is>
          <t>Operator's estimate of 1,300 t CO2 a year; end of diesel buses. Read 6 Oct 2026.</t>
        </is>
      </c>
      <c r="H461" s="5" t="inlineStr">
        <is>
          <t>https://tvmnews.mt/en/news/11-increase-in-public-transport-use-in-gozo-since-full-transition-to-electric-buses/</t>
        </is>
      </c>
    </row>
    <row r="462">
      <c r="A462" s="2" t="inlineStr">
        <is>
          <t>452</t>
        </is>
      </c>
      <c r="B462" s="2" t="inlineStr">
        <is>
          <t>CC-031</t>
        </is>
      </c>
      <c r="C462" s="2" t="inlineStr">
        <is>
          <t>Greenhouse gas emissions by source sector (env_air_gge) and Population by NUTS 3 (demo_r_pjangrp3)</t>
        </is>
      </c>
      <c r="D462" s="2" t="inlineStr">
        <is>
          <t>Eurostat</t>
        </is>
      </c>
      <c r="E462" s="2" t="inlineStr">
        <is>
          <t>retrieved 6 Oct 2026</t>
        </is>
      </c>
      <c r="F462" s="2" t="inlineStr">
        <is>
          <t>Official statistics</t>
        </is>
      </c>
      <c r="G462" s="2" t="inlineStr">
        <is>
          <t>Scale check: data/cc-031/.</t>
        </is>
      </c>
      <c r="H462" s="5" t="inlineStr">
        <is>
          <t>https://ec.europa.eu/eurostat/databrowser/view/env_air_gge/default/table</t>
        </is>
      </c>
    </row>
    <row r="463">
      <c r="A463" s="2" t="inlineStr">
        <is>
          <t>453</t>
        </is>
      </c>
      <c r="B463" s="2" t="inlineStr">
        <is>
          <t>CC-029</t>
        </is>
      </c>
      <c r="C463" s="2" t="inlineStr">
        <is>
          <t>InterConnect Malta: Offshore Renewable Energy Project (project page)</t>
        </is>
      </c>
      <c r="D463" s="2" t="inlineStr">
        <is>
          <t>InterConnect Malta</t>
        </is>
      </c>
      <c r="E463" s="2" t="inlineStr">
        <is>
          <t>read 6 Oct 2026</t>
        </is>
      </c>
      <c r="F463" s="2" t="inlineStr">
        <is>
          <t>Government company (primary)</t>
        </is>
      </c>
      <c r="G463" s="2" t="inlineStr">
        <is>
          <t>Project description: about 300 MW, beyond 12 nautical miles, up to 0.8 TWh a year, competitive dialogue.</t>
        </is>
      </c>
      <c r="H463" s="5" t="inlineStr">
        <is>
          <t>https://icm.mt/projects/offshore-renewable-energy-project/</t>
        </is>
      </c>
    </row>
    <row r="464">
      <c r="A464" s="2" t="inlineStr">
        <is>
          <t>454</t>
        </is>
      </c>
      <c r="B464" s="2" t="inlineStr">
        <is>
          <t>CC-029</t>
        </is>
      </c>
      <c r="C464" s="2" t="inlineStr">
        <is>
          <t>Offshore floating wind farm: ICM issues tender to collect data on wind, wave conditions</t>
        </is>
      </c>
      <c r="D464" s="2" t="inlineStr">
        <is>
          <t>InterConnect Malta</t>
        </is>
      </c>
      <c r="E464" s="2" t="inlineStr">
        <is>
          <t>22 Apr 2026</t>
        </is>
      </c>
      <c r="F464" s="2" t="inlineStr">
        <is>
          <t>Government company (primary)</t>
        </is>
      </c>
      <c r="G464" s="2" t="inlineStr">
        <is>
          <t>EUR 3.6 million metocean tender; about 25% of 2025 demand. News list read to 3 Oct 2026: no notice of the next stage.</t>
        </is>
      </c>
      <c r="H464" s="5" t="inlineStr">
        <is>
          <t>https://icm.mt/offshore-floating-wind-farm-icm-issues-tender-to-collect-data-on-wind-wave-conditions/</t>
        </is>
      </c>
    </row>
    <row r="465">
      <c r="A465" s="2" t="inlineStr">
        <is>
          <t>455</t>
        </is>
      </c>
      <c r="B465" s="2" t="inlineStr">
        <is>
          <t>CC-029; CC-113</t>
        </is>
      </c>
      <c r="C465" s="2" t="inlineStr">
        <is>
          <t>Supply, transformation and consumption of electricity (nrg_cb_e), Malta</t>
        </is>
      </c>
      <c r="D465" s="2" t="inlineStr">
        <is>
          <t>Eurostat</t>
        </is>
      </c>
      <c r="E465" s="2" t="inlineStr">
        <is>
          <t>retrieved 6 Oct 2026</t>
        </is>
      </c>
      <c r="F465" s="2" t="inlineStr">
        <is>
          <t>Official statistics</t>
        </is>
      </c>
      <c r="G465" s="2" t="inlineStr">
        <is>
          <t>Scale check: data/cc-029/.</t>
        </is>
      </c>
      <c r="H465" s="5" t="inlineStr">
        <is>
          <t>https://ec.europa.eu/eurostat/databrowser/view/nrg_cb_e/default/table</t>
        </is>
      </c>
    </row>
    <row r="466">
      <c r="A466" s="2" t="inlineStr">
        <is>
          <t>456</t>
        </is>
      </c>
      <c r="B466" s="2" t="inlineStr">
        <is>
          <t>CC-029</t>
        </is>
      </c>
      <c r="C466" s="2" t="inlineStr">
        <is>
          <t>Miriam Dalli: offshore wind farm contractor to be selected by start of 2028</t>
        </is>
      </c>
      <c r="D466" s="2" t="inlineStr">
        <is>
          <t>MaltaToday</t>
        </is>
      </c>
      <c r="E466" s="2" t="inlineStr">
        <is>
          <t>2025-2026</t>
        </is>
      </c>
      <c r="F466" s="2" t="inlineStr">
        <is>
          <t>News (second-hand)</t>
        </is>
      </c>
      <c r="G466" s="2" t="inlineStr">
        <is>
          <t>Lead, not retrieved: 403; seen only in a search summary (dialogue stage around April 2026).</t>
        </is>
      </c>
      <c r="H466" s="5" t="inlineStr">
        <is>
          <t>https://www.maltatoday.com.mt/news/national/136333/miriam_dalli_offshore_wind_farm_contractor_to_be_selected_by_end_2027</t>
        </is>
      </c>
    </row>
    <row r="467">
      <c r="A467" s="2" t="inlineStr">
        <is>
          <t>457</t>
        </is>
      </c>
      <c r="B467" s="2" t="inlineStr">
        <is>
          <t>CC-045</t>
        </is>
      </c>
      <c r="C467" s="2" t="inlineStr">
        <is>
          <t>TVM News: 2,400 tonnes of waste removed from 16 km of stormwater tunnels</t>
        </is>
      </c>
      <c r="D467" s="2" t="inlineStr">
        <is>
          <t>TVM News</t>
        </is>
      </c>
      <c r="E467" s="2" t="inlineStr">
        <is>
          <t>4 Jul 2025</t>
        </is>
      </c>
      <c r="F467" s="2" t="inlineStr">
        <is>
          <t>Primary statement (reported)</t>
        </is>
      </c>
      <c r="G467" s="2" t="inlineStr">
        <is>
          <t>Read in full 6 Oct 2026; 16 km in use, 20 km planned; Ellul quote.</t>
        </is>
      </c>
      <c r="H467" s="5" t="inlineStr">
        <is>
          <t>https://tvmnews.mt/en/news/2400-tonnes-of-waste-removed-from-16-km-of-stormwater-tunnels/</t>
        </is>
      </c>
    </row>
    <row r="468">
      <c r="A468" s="2" t="inlineStr">
        <is>
          <t>458</t>
        </is>
      </c>
      <c r="B468" s="2" t="inlineStr">
        <is>
          <t>CC-045</t>
        </is>
      </c>
      <c r="C468" s="2" t="inlineStr">
        <is>
          <t>Press release: 2,400 tonnes from 16 km of stormwater tunnels</t>
        </is>
      </c>
      <c r="D468" s="2" t="inlineStr">
        <is>
          <t>Government of Malta (DOI)</t>
        </is>
      </c>
      <c r="E468" s="2" t="inlineStr">
        <is>
          <t>4 Jul 2025</t>
        </is>
      </c>
      <c r="F468" s="2" t="inlineStr">
        <is>
          <t>Primary statement</t>
        </is>
      </c>
      <c r="G468" s="2" t="inlineStr">
        <is>
          <t>Lead, not retrieved (403).</t>
        </is>
      </c>
      <c r="H468" s="5" t="inlineStr">
        <is>
          <t>https://www.gov.mt/en/Government/DOI/Press%20Releases/Pages/2025/07/04/pr251213en.aspx</t>
        </is>
      </c>
    </row>
    <row r="469">
      <c r="A469" s="2" t="inlineStr">
        <is>
          <t>459</t>
        </is>
      </c>
      <c r="B469" s="2" t="inlineStr">
        <is>
          <t>CC-045</t>
        </is>
      </c>
      <c r="C469" s="2" t="inlineStr">
        <is>
          <t>Fighting floods in Malta</t>
        </is>
      </c>
      <c r="D469" s="2" t="inlineStr">
        <is>
          <t>European Commission, Inforegio</t>
        </is>
      </c>
      <c r="E469" s="2" t="inlineStr">
        <is>
          <t>15 Oct 2013</t>
        </is>
      </c>
      <c r="F469" s="2" t="inlineStr">
        <is>
          <t>Regulator / EU report</t>
        </is>
      </c>
      <c r="G469" s="2" t="inlineStr">
        <is>
          <t>Design figures: 65 km2, 5-year storm.</t>
        </is>
      </c>
      <c r="H469" s="5" t="inlineStr">
        <is>
          <t>https://ec.europa.eu/regional_policy/projects/projects-database/fighting-floods-in-malta_en</t>
        </is>
      </c>
    </row>
    <row r="470">
      <c r="A470" s="2" t="inlineStr">
        <is>
          <t>460</t>
        </is>
      </c>
      <c r="B470" s="2" t="inlineStr">
        <is>
          <t>CC-045</t>
        </is>
      </c>
      <c r="C470" s="2" t="inlineStr">
        <is>
          <t>An underground tunnel and millions in road investment later, Malta is still flooding</t>
        </is>
      </c>
      <c r="D470" s="2" t="inlineStr">
        <is>
          <t>Lovin Malta</t>
        </is>
      </c>
      <c r="E470" s="2" t="inlineStr">
        <is>
          <t>15 Sep 2020</t>
        </is>
      </c>
      <c r="F470" s="2" t="inlineStr">
        <is>
          <t>News</t>
        </is>
      </c>
      <c r="G470" s="2" t="inlineStr">
        <is>
          <t>Flooding in project localities; 16 km.</t>
        </is>
      </c>
      <c r="H470" s="5" t="inlineStr">
        <is>
          <t>https://lovinmalta.com/opinion/analysis/an-underground-tunnel-and-millions-in-road-investment-later-but-malta-is-still-flooding/</t>
        </is>
      </c>
    </row>
    <row r="471">
      <c r="A471" s="2" t="inlineStr">
        <is>
          <t>461</t>
        </is>
      </c>
      <c r="B471" s="2" t="inlineStr">
        <is>
          <t>CC-045</t>
        </is>
      </c>
      <c r="C471" s="2" t="inlineStr">
        <is>
          <t>Underground tunnels being excavated to alleviate flooding</t>
        </is>
      </c>
      <c r="D471" s="2" t="inlineStr">
        <is>
          <t>TVM News</t>
        </is>
      </c>
      <c r="E471" s="2" t="inlineStr">
        <is>
          <t>28 Aug 2022</t>
        </is>
      </c>
      <c r="F471" s="2" t="inlineStr">
        <is>
          <t>News</t>
        </is>
      </c>
      <c r="G471" s="2" t="inlineStr">
        <is>
          <t>Two further tunnels planned.</t>
        </is>
      </c>
      <c r="H471" s="5" t="inlineStr">
        <is>
          <t>https://tvmnews.mt/en/news/underground-tunnels-being-excavated-to-alleviate-flooding/</t>
        </is>
      </c>
    </row>
    <row r="472">
      <c r="A472" s="2" t="inlineStr">
        <is>
          <t>462</t>
        </is>
      </c>
      <c r="B472" s="2" t="inlineStr">
        <is>
          <t>CC-045</t>
        </is>
      </c>
      <c r="C472" s="2" t="inlineStr">
        <is>
          <t>GHCN-Daily Luqa precipitation (MT000016597)</t>
        </is>
      </c>
      <c r="D472" s="2" t="inlineStr">
        <is>
          <t>NOAA NCEI</t>
        </is>
      </c>
      <c r="E472" s="2" t="inlineStr">
        <is>
          <t>retrieved 6 Oct 2026</t>
        </is>
      </c>
      <c r="F472" s="2" t="inlineStr">
        <is>
          <t>Official statistics</t>
        </is>
      </c>
      <c r="G472" s="2" t="inlineStr">
        <is>
          <t>Context only.</t>
        </is>
      </c>
      <c r="H472" s="5" t="inlineStr">
        <is>
          <t>https://www.ncei.noaa.gov/access/services/data/v1?dataset=daily-summaries&amp;stations=MT000016597&amp;dataTypes=PRCP&amp;format=csv</t>
        </is>
      </c>
    </row>
    <row r="473">
      <c r="A473" s="2" t="inlineStr">
        <is>
          <t>463</t>
        </is>
      </c>
      <c r="B473" s="2" t="inlineStr">
        <is>
          <t>CC-075</t>
        </is>
      </c>
      <c r="C473" s="2" t="inlineStr">
        <is>
          <t>Passenger cars - per thousand inhabitants (road_eqs_carhab), all countries and years</t>
        </is>
      </c>
      <c r="D473" s="2" t="inlineStr">
        <is>
          <t>Eurostat</t>
        </is>
      </c>
      <c r="E473" s="2" t="inlineStr">
        <is>
          <t>updated 30 Jul 2026</t>
        </is>
      </c>
      <c r="F473" s="2" t="inlineStr">
        <is>
          <t>Dataset (API)</t>
        </is>
      </c>
      <c r="G473" s="2" t="inlineStr">
        <is>
          <t>Primary evidence. Retrieved 6 Oct 2026 with flags (data/cc-075/). 2022: Malta 585, 7th of 27; rebuilt from road_eqs_carmot and demo_gind for all 27.</t>
        </is>
      </c>
      <c r="H473" s="5" t="inlineStr">
        <is>
          <t>https://ec.europa.eu/eurostat/databrowser/view/road_eqs_carhab/default/table?lang=en</t>
        </is>
      </c>
    </row>
    <row r="474">
      <c r="A474" s="2" t="inlineStr">
        <is>
          <t>464</t>
        </is>
      </c>
      <c r="B474" s="2" t="inlineStr">
        <is>
          <t>CC-075</t>
        </is>
      </c>
      <c r="C474" s="2" t="inlineStr">
        <is>
          <t>Passenger cars, by type of motor energy and size of engine (road_eqs_carmot)</t>
        </is>
      </c>
      <c r="D474" s="2" t="inlineStr">
        <is>
          <t>Eurostat</t>
        </is>
      </c>
      <c r="E474" s="2" t="inlineStr">
        <is>
          <t>updated 1 Sep 2026</t>
        </is>
      </c>
      <c r="F474" s="2" t="inlineStr">
        <is>
          <t>Dataset (API)</t>
        </is>
      </c>
      <c r="G474" s="2" t="inlineStr">
        <is>
          <t>Stock at 31 Dec (numerator). Retrieved 6 Oct 2026 with flags (data/cc-075/). Malta 317,234 (2022).</t>
        </is>
      </c>
      <c r="H474" s="5" t="inlineStr">
        <is>
          <t>https://ec.europa.eu/eurostat/databrowser/view/road_eqs_carmot/default/table?lang=en</t>
        </is>
      </c>
    </row>
    <row r="475">
      <c r="A475" s="2" t="inlineStr">
        <is>
          <t>465</t>
        </is>
      </c>
      <c r="B475" s="2" t="inlineStr">
        <is>
          <t>CC-075</t>
        </is>
      </c>
      <c r="C475" s="2" t="inlineStr">
        <is>
          <t>Area by NUTS 3 region (reg_area3), land area</t>
        </is>
      </c>
      <c r="D475" s="2" t="inlineStr">
        <is>
          <t>Eurostat</t>
        </is>
      </c>
      <c r="E475" s="2" t="inlineStr">
        <is>
          <t>updated 22 Jan 2026</t>
        </is>
      </c>
      <c r="F475" s="2" t="inlineStr">
        <is>
          <t>Dataset (API)</t>
        </is>
      </c>
      <c r="G475" s="2" t="inlineStr">
        <is>
          <t>Retrieved 6 Oct 2026 (data/cc-075/). Malta 313 km2 of land; Malta island (MT001) 245.</t>
        </is>
      </c>
      <c r="H475" s="5" t="inlineStr">
        <is>
          <t>https://ec.europa.eu/eurostat/databrowser/view/reg_area3/default/table?lang=en</t>
        </is>
      </c>
    </row>
    <row r="476">
      <c r="A476" s="2" t="inlineStr">
        <is>
          <t>466</t>
        </is>
      </c>
      <c r="B476" s="2" t="inlineStr">
        <is>
          <t>CC-075</t>
        </is>
      </c>
      <c r="C476" s="2" t="inlineStr">
        <is>
          <t>Passenger cars per 1 000 inhabitants reached 560 in 2022</t>
        </is>
      </c>
      <c r="D476" s="2" t="inlineStr">
        <is>
          <t>Eurostat</t>
        </is>
      </c>
      <c r="E476" s="2" t="inlineStr">
        <is>
          <t>17 Jan 2024</t>
        </is>
      </c>
      <c r="F476" s="2" t="inlineStr">
        <is>
          <t>Official statistics</t>
        </is>
      </c>
      <c r="G476" s="2" t="inlineStr">
        <is>
          <t>Eurostat's release of the 2022 figures (EU 560; Italy 684; Latvia 414); its chart shows Malta sixth at about 602, later revised to 585. Read 6 Oct 2026.</t>
        </is>
      </c>
      <c r="H476" s="5" t="inlineStr">
        <is>
          <t>https://ec.europa.eu/eurostat/web/products-eurostat-news/w/ddn-20240117-1</t>
        </is>
      </c>
    </row>
    <row r="477">
      <c r="A477" s="2" t="inlineStr">
        <is>
          <t>467</t>
        </is>
      </c>
      <c r="B477" s="2" t="inlineStr">
        <is>
          <t>CC-075</t>
        </is>
      </c>
      <c r="C477" s="2" t="inlineStr">
        <is>
          <t>Passenger cars per inhabitant remain stable in 2022</t>
        </is>
      </c>
      <c r="D477" s="2" t="inlineStr">
        <is>
          <t>Eurostat</t>
        </is>
      </c>
      <c r="E477" s="2" t="inlineStr">
        <is>
          <t>6 May 2024</t>
        </is>
      </c>
      <c r="F477" s="2" t="inlineStr">
        <is>
          <t>Official statistics</t>
        </is>
      </c>
      <c r="G477" s="2" t="inlineStr">
        <is>
          <t>Regional release (tran_r_vehst, a different dataset); no Malta figure; consulted, not cited. Read 6 Oct 2026.</t>
        </is>
      </c>
      <c r="H477" s="5" t="inlineStr">
        <is>
          <t>https://ec.europa.eu/eurostat/web/products-eurostat-news/w/ddn-20240506-2</t>
        </is>
      </c>
    </row>
    <row r="478">
      <c r="A478" s="2" t="inlineStr">
        <is>
          <t>468</t>
        </is>
      </c>
      <c r="B478" s="2" t="inlineStr">
        <is>
          <t>CC-075</t>
        </is>
      </c>
      <c r="C478" s="2" t="inlineStr">
        <is>
          <t>Passenger cars per inhabitant stable in 2023</t>
        </is>
      </c>
      <c r="D478" s="2" t="inlineStr">
        <is>
          <t>Eurostat</t>
        </is>
      </c>
      <c r="E478" s="2" t="inlineStr">
        <is>
          <t>21 May 2025</t>
        </is>
      </c>
      <c r="F478" s="2" t="inlineStr">
        <is>
          <t>Official statistics</t>
        </is>
      </c>
      <c r="G478" s="2" t="inlineStr">
        <is>
          <t>Regional release for 2023 (tran_r_vehst, a different dataset); consulted, not cited. Read 6 Oct 2026.</t>
        </is>
      </c>
      <c r="H478" s="5" t="inlineStr">
        <is>
          <t>https://ec.europa.eu/eurostat/web/products-eurostat-news/w/ddn-20250521-1</t>
        </is>
      </c>
    </row>
    <row r="479">
      <c r="A479" s="2" t="inlineStr">
        <is>
          <t>469</t>
        </is>
      </c>
      <c r="B479" s="2" t="inlineStr">
        <is>
          <t>CC-075</t>
        </is>
      </c>
      <c r="C479" s="2" t="inlineStr">
        <is>
          <t>Passenger cars in the EU (Statistics Explained)</t>
        </is>
      </c>
      <c r="D479" s="2" t="inlineStr">
        <is>
          <t>Eurostat</t>
        </is>
      </c>
      <c r="E479" s="2" t="inlineStr">
        <is>
          <t>data extracted Jul 2026</t>
        </is>
      </c>
      <c r="F479" s="2" t="inlineStr">
        <is>
          <t>Official statistics</t>
        </is>
      </c>
      <c r="G479" s="2" t="inlineStr">
        <is>
          <t>Definition of passenger cars (includes taxis, hire, shared and rented cars); methods not harmonised; registers may include inactive vehicles. Read 6 Oct 2026 (PDF).</t>
        </is>
      </c>
      <c r="H479" s="5" t="inlineStr">
        <is>
          <t>https://ec.europa.eu/eurostat/statistics-explained/index.php?title=Passenger_cars_in_the_EU</t>
        </is>
      </c>
    </row>
    <row r="480">
      <c r="A480" s="2" t="inlineStr">
        <is>
          <t>470</t>
        </is>
      </c>
      <c r="B480" s="2" t="inlineStr">
        <is>
          <t>CC-075</t>
        </is>
      </c>
      <c r="C480" s="2" t="inlineStr">
        <is>
          <t>Transport equipment statistics (Statistics Explained)</t>
        </is>
      </c>
      <c r="D480" s="2" t="inlineStr">
        <is>
          <t>Eurostat</t>
        </is>
      </c>
      <c r="E480" s="2" t="inlineStr">
        <is>
          <t>data extracted Dec 2025</t>
        </is>
      </c>
      <c r="F480" s="2" t="inlineStr">
        <is>
          <t>Official statistics</t>
        </is>
      </c>
      <c r="G480" s="2" t="inlineStr">
        <is>
          <t>2024: EU 578; notes that inactive vehicles may linger in registers. Read 6 Oct 2026 (PDF).</t>
        </is>
      </c>
      <c r="H480" s="5" t="inlineStr">
        <is>
          <t>https://ec.europa.eu/eurostat/statistics-explained/index.php?title=Transport_equipment_statistics</t>
        </is>
      </c>
    </row>
    <row r="481">
      <c r="A481" s="2" t="inlineStr">
        <is>
          <t>471</t>
        </is>
      </c>
      <c r="B481" s="2" t="inlineStr">
        <is>
          <t>CC-075</t>
        </is>
      </c>
      <c r="C481" s="2" t="inlineStr">
        <is>
          <t>Island Transport, Car Ownership and Use: A Focus on Practices in Cuba, Malta, Mauritius and Singapore (Warren and Enoch)</t>
        </is>
      </c>
      <c r="D481" s="2" t="inlineStr">
        <is>
          <t>Island Studies Journal 5(2):193-216</t>
        </is>
      </c>
      <c r="E481" s="2" t="inlineStr">
        <is>
          <t>2010</t>
        </is>
      </c>
      <c r="F481" s="2" t="inlineStr">
        <is>
          <t>Peer-reviewed</t>
        </is>
      </c>
      <c r="G481" s="2" t="inlineStr">
        <is>
          <t>Full text read; DOI verified in Crossref. Context: Malta's car ownership then 'the highest in the European Union' (different measure and years).</t>
        </is>
      </c>
      <c r="H481" s="5" t="inlineStr">
        <is>
          <t>https://doi.org/10.24043/isj.244</t>
        </is>
      </c>
    </row>
    <row r="482">
      <c r="A482" s="2" t="inlineStr">
        <is>
          <t>472</t>
        </is>
      </c>
      <c r="B482" s="2" t="inlineStr">
        <is>
          <t>CC-075</t>
        </is>
      </c>
      <c r="C482" s="2" t="inlineStr">
        <is>
          <t>Motor Vehicles: Q4/2022 (News Release 023/2023)</t>
        </is>
      </c>
      <c r="D482" s="2" t="inlineStr">
        <is>
          <t>NSO Malta</t>
        </is>
      </c>
      <c r="E482" s="2" t="inlineStr">
        <is>
          <t>15 Feb 2023</t>
        </is>
      </c>
      <c r="F482" s="2" t="inlineStr">
        <is>
          <t>Official statistics</t>
        </is>
      </c>
      <c r="G482" s="2" t="inlineStr">
        <is>
          <t>Second-hand: 403 to scripts and WebFetch; 424,904 licensed vehicles, 74.7% passenger cars from a search summary. Lead, not retrieved.</t>
        </is>
      </c>
      <c r="H482" s="5" t="inlineStr">
        <is>
          <t>https://nso.gov.mt/wp-content/uploads/News2023_023.pdf</t>
        </is>
      </c>
    </row>
    <row r="483">
      <c r="A483" s="2" t="inlineStr">
        <is>
          <t>473</t>
        </is>
      </c>
      <c r="B483" s="2" t="inlineStr">
        <is>
          <t>CC-075</t>
        </is>
      </c>
      <c r="C483" s="2" t="inlineStr">
        <is>
          <t>Over 450,000 licensed vehicles on Malta's roads, NSO confirms (J. Balzan)</t>
        </is>
      </c>
      <c r="D483" s="2" t="inlineStr">
        <is>
          <t>Newsbook</t>
        </is>
      </c>
      <c r="E483" s="2" t="inlineStr">
        <is>
          <t>30 Jul 2025</t>
        </is>
      </c>
      <c r="F483" s="2" t="inlineStr">
        <is>
          <t>News (second-hand)</t>
        </is>
      </c>
      <c r="G483" s="2" t="inlineStr">
        <is>
          <t>Read in full 6 Oct 2026; report of NSO Q2/2025 (licensed stock; vehicles taken off the road). Its passenger-car counts are inconsistent; not used.</t>
        </is>
      </c>
      <c r="H483" s="5" t="inlineStr">
        <is>
          <t>https://newsbook.com.mt/en/over-450000-licensed-vehicles-on-maltas-roads-nso-confirms/</t>
        </is>
      </c>
    </row>
    <row r="484">
      <c r="A484" s="2" t="inlineStr">
        <is>
          <t>474</t>
        </is>
      </c>
      <c r="B484" s="2" t="inlineStr">
        <is>
          <t>CC-075</t>
        </is>
      </c>
      <c r="C484" s="2" t="inlineStr">
        <is>
          <t>Passenger cars in the EU (Statistics Explained), revision 647912, with Figure 3 'Motorisation rate, 2023'</t>
        </is>
      </c>
      <c r="D484" s="2" t="inlineStr">
        <is>
          <t>Eurostat</t>
        </is>
      </c>
      <c r="E484" s="2" t="inlineStr">
        <is>
          <t>19 Aug 2024 (live until 5 Nov 2024)</t>
        </is>
      </c>
      <c r="F484" s="2" t="inlineStr">
        <is>
          <t>Official statistics</t>
        </is>
      </c>
      <c r="G484" s="2" t="inlineStr">
        <is>
          <t>Read 6 Oct 2026 via the MediaWiki API; the version online on the article's date. 'Data extracted in July 2024'; 2023 for all 27: Malta about 575, 12th (Figure 3 file uploaded 25 Jul 2024, sha1 7dd8b8d6c18bfdce7c98b5baf50fff8743d2125b); text Italy 694, EU 571. Saved in data/cc-075/.</t>
        </is>
      </c>
      <c r="H484" s="5" t="inlineStr">
        <is>
          <t>https://ec.europa.eu/eurostat/statistics-explained/api.php?action=query&amp;prop=revisions&amp;revids=647912&amp;rvprop=content|timestamp&amp;rvslots=main&amp;format=json</t>
        </is>
      </c>
    </row>
    <row r="485">
      <c r="A485" s="2" t="inlineStr">
        <is>
          <t>475</t>
        </is>
      </c>
      <c r="B485" s="2" t="inlineStr">
        <is>
          <t>CC-075</t>
        </is>
      </c>
      <c r="C485" s="2" t="inlineStr">
        <is>
          <t>Passenger cars in the EU (Statistics Explained), revision 627098, with Figure 3 'Motorisation rate, 2022'</t>
        </is>
      </c>
      <c r="D485" s="2" t="inlineStr">
        <is>
          <t>Eurostat</t>
        </is>
      </c>
      <c r="E485" s="2" t="inlineStr">
        <is>
          <t>31 Jan 2024</t>
        </is>
      </c>
      <c r="F485" s="2" t="inlineStr">
        <is>
          <t>Official statistics</t>
        </is>
      </c>
      <c r="G485" s="2" t="inlineStr">
        <is>
          <t>Read 6 Oct 2026 via the MediaWiki API. 'Data extracted in December 2023'; Malta's 2022 value about 602, sixth (Figure 3 uploaded 16 Jan 2024, sha1 2eb4c04f87a2be0c844e324e0dd5aa44a81c01a7).</t>
        </is>
      </c>
      <c r="H485" s="5" t="inlineStr">
        <is>
          <t>https://ec.europa.eu/eurostat/statistics-explained/api.php?action=query&amp;prop=revisions&amp;revids=627098&amp;rvprop=content|timestamp&amp;rvslots=main&amp;format=json</t>
        </is>
      </c>
    </row>
    <row r="486">
      <c r="A486" s="2" t="inlineStr">
        <is>
          <t>476</t>
        </is>
      </c>
      <c r="B486" s="2" t="inlineStr">
        <is>
          <t>CC-075</t>
        </is>
      </c>
      <c r="C486" s="2" t="inlineStr">
        <is>
          <t>Motorisation rate of passenger cars in the EU, 2012 and 2022 (chart in news release ddn-20240117-1)</t>
        </is>
      </c>
      <c r="D486" s="2" t="inlineStr">
        <is>
          <t>Eurostat</t>
        </is>
      </c>
      <c r="E486" s="2" t="inlineStr">
        <is>
          <t>17 Jan 2024</t>
        </is>
      </c>
      <c r="F486" s="2" t="inlineStr">
        <is>
          <t>Official statistics</t>
        </is>
      </c>
      <c r="G486" s="2" t="inlineStr">
        <is>
          <t>Chart of the January 2024 release; Malta sixth at about 602 for 2022 (pixel reading; sha1 236d45653d90aafb00b253f37cf51029bd678a2d). Saved as data/cc-075/news_20240117_infographic.png.</t>
        </is>
      </c>
      <c r="H486" s="5" t="inlineStr">
        <is>
          <t>https://ec.europa.eu/eurostat/documents/4187653/18057933/Transport-equipment-passenger-cars.png/49ac26b9-94c8-9c35-a073-faa0cf8ed5eb?t=1705416759660</t>
        </is>
      </c>
    </row>
    <row r="487">
      <c r="A487" s="2" t="inlineStr">
        <is>
          <t>477</t>
        </is>
      </c>
      <c r="B487" s="2" t="inlineStr">
        <is>
          <t>CC-094; CC-109</t>
        </is>
      </c>
      <c r="C487" s="2" t="inlineStr">
        <is>
          <t>Greenhouse gas emissions under the Effort Sharing Legislation, 2005-2024 (GHG_ESD-ESR_2025.xlsx)</t>
        </is>
      </c>
      <c r="D487" s="2" t="inlineStr">
        <is>
          <t>European Environment Agency</t>
        </is>
      </c>
      <c r="E487" s="2" t="inlineStr">
        <is>
          <t>4 Nov 2025 (retrieved 2026-10-06)</t>
        </is>
      </c>
      <c r="F487" s="2" t="inlineStr">
        <is>
          <t>Independent dataset</t>
        </is>
      </c>
      <c r="G487" s="2" t="inlineStr">
        <is>
          <t>Primary data: Malta ESR 2021-2023 reviewed in 2025, 2024 approximated; 2005-2020 on the older ESD basis (AR4). Downloaded from the EEA datastore (public WebDAV share); extract in data/cc-094/eea_esr_emissions.csv.</t>
        </is>
      </c>
      <c r="H487" s="5" t="inlineStr">
        <is>
          <t>https://sdi.eea.europa.eu/catalogue/srv/api/records/f80bebef-447e-4882-b3e9-c4a91cbae4f5</t>
        </is>
      </c>
    </row>
    <row r="488">
      <c r="A488" s="2" t="inlineStr">
        <is>
          <t>478</t>
        </is>
      </c>
      <c r="B488" s="2" t="inlineStr">
        <is>
          <t>CC-094</t>
        </is>
      </c>
      <c r="C488" s="2" t="inlineStr">
        <is>
          <t>Member States' greenhouse gas (GHG) emission projections 2025 (GHG_projections_2025_EEA_incl_pivots.xlsx)</t>
        </is>
      </c>
      <c r="D488" s="2" t="inlineStr">
        <is>
          <t>European Environment Agency</t>
        </is>
      </c>
      <c r="E488" s="2" t="inlineStr">
        <is>
          <t>2025 (file of 13 Apr 2026)</t>
        </is>
      </c>
      <c r="F488" s="2" t="inlineStr">
        <is>
          <t>Independent dataset</t>
        </is>
      </c>
      <c r="G488" s="2" t="inlineStr">
        <is>
          <t>Primary data: Malta's March 2025 WEM/WAM projections (ESR 2030: 1,450.1 / 1,323.8 kt) and all EU-27; values in the 'Gapfilled' column. DataCite DOI 10.2909/d6938865-05e5-4016-a15c-a09bb898421d. Extract in data/cc-094/.</t>
        </is>
      </c>
      <c r="H488" s="5" t="inlineStr">
        <is>
          <t>https://doi.org/10.2909/d6938865-05e5-4016-a15c-a09bb898421d</t>
        </is>
      </c>
    </row>
    <row r="489">
      <c r="A489" s="2" t="inlineStr">
        <is>
          <t>479</t>
        </is>
      </c>
      <c r="B489" s="2" t="inlineStr">
        <is>
          <t>CC-094</t>
        </is>
      </c>
      <c r="C489" s="2" t="inlineStr">
        <is>
          <t>NECPR: Progress to targets for GHG emissions and removals (Annex I), 2025</t>
        </is>
      </c>
      <c r="D489" s="2" t="inlineStr">
        <is>
          <t>European Environment Agency</t>
        </is>
      </c>
      <c r="E489" s="2" t="inlineStr">
        <is>
          <t>20 Feb 2026 (retrieved 2026-10-06)</t>
        </is>
      </c>
      <c r="F489" s="2" t="inlineStr">
        <is>
          <t>Independent dataset</t>
        </is>
      </c>
      <c r="G489" s="2" t="inlineStr">
        <is>
          <t>Malta rows only. Pitfall: allocation rows in Mt under a ktCO2e label, so the 'difference' rows are wrong by 1,000x; not used for figures.</t>
        </is>
      </c>
      <c r="H489" s="5" t="inlineStr">
        <is>
          <t>https://sdi.eea.europa.eu/catalogue/srv/api/records/fb3f4e09-0318-400d-beae-f1082153b2bb</t>
        </is>
      </c>
    </row>
    <row r="490">
      <c r="A490" s="2" t="inlineStr">
        <is>
          <t>480</t>
        </is>
      </c>
      <c r="B490" s="2" t="inlineStr">
        <is>
          <t>CC-094; CC-109</t>
        </is>
      </c>
      <c r="C490" s="2" t="inlineStr">
        <is>
          <t>Regulation (EU) 2018/842 (Effort Sharing Regulation)</t>
        </is>
      </c>
      <c r="D490" s="2" t="inlineStr">
        <is>
          <t>EU Official Journal</t>
        </is>
      </c>
      <c r="E490" s="2" t="inlineStr">
        <is>
          <t>30 May 2018</t>
        </is>
      </c>
      <c r="F490" s="2" t="inlineStr">
        <is>
          <t>Legislation</t>
        </is>
      </c>
      <c r="G490" s="2" t="inlineStr">
        <is>
          <t>Articles 4-11, Annexes II-IV (Malta ETS flexibility 2%, LULUCF maximum 0.03 Mt, 774,000 t added to the 2021 allocation). Read via the Publications Office (Cellar), 6 Oct 2026.</t>
        </is>
      </c>
      <c r="H490" s="5" t="inlineStr">
        <is>
          <t>https://data.europa.eu/eli/reg/2018/842/oj</t>
        </is>
      </c>
    </row>
    <row r="491">
      <c r="A491" s="2" t="inlineStr">
        <is>
          <t>481</t>
        </is>
      </c>
      <c r="B491" s="2" t="inlineStr">
        <is>
          <t>CC-094; CC-109</t>
        </is>
      </c>
      <c r="C491" s="2" t="inlineStr">
        <is>
          <t>Regulation (EU) 2023/857 amending the Effort Sharing Regulation</t>
        </is>
      </c>
      <c r="D491" s="2" t="inlineStr">
        <is>
          <t>EU Official Journal</t>
        </is>
      </c>
      <c r="E491" s="2" t="inlineStr">
        <is>
          <t>19 Apr 2023</t>
        </is>
      </c>
      <c r="F491" s="2" t="inlineStr">
        <is>
          <t>Legislation</t>
        </is>
      </c>
      <c r="G491" s="2" t="inlineStr">
        <is>
          <t>Annex I: Malta -19% (unchanged); Annex II: Malta 7%; recital on Malta's cost-effective potential; amended Articles 4-9. Read via Cellar, 6 Oct 2026.</t>
        </is>
      </c>
      <c r="H491" s="5" t="inlineStr">
        <is>
          <t>https://data.europa.eu/eli/reg/2023/857/oj</t>
        </is>
      </c>
    </row>
    <row r="492">
      <c r="A492" s="2" t="inlineStr">
        <is>
          <t>482</t>
        </is>
      </c>
      <c r="B492" s="2" t="inlineStr">
        <is>
          <t>CC-094; CC-109</t>
        </is>
      </c>
      <c r="C492" s="2" t="inlineStr">
        <is>
          <t>Commission Implementing Decision (EU) 2020/2126 (annual emission allocations 2021-2030; 2005 values)</t>
        </is>
      </c>
      <c r="D492" s="2" t="inlineStr">
        <is>
          <t>EU Official Journal</t>
        </is>
      </c>
      <c r="E492" s="2" t="inlineStr">
        <is>
          <t>16 Dec 2020</t>
        </is>
      </c>
      <c r="F492" s="2" t="inlineStr">
        <is>
          <t>Legislation</t>
        </is>
      </c>
      <c r="G492" s="2" t="inlineStr">
        <is>
          <t>Annex I: Malta 2005 ESR emissions 1,020,601 t. Read via Cellar, 6 Oct 2026.</t>
        </is>
      </c>
      <c r="H492" s="5" t="inlineStr">
        <is>
          <t>https://data.europa.eu/eli/dec_impl/2020/2126/oj</t>
        </is>
      </c>
    </row>
    <row r="493">
      <c r="A493" s="2" t="inlineStr">
        <is>
          <t>483</t>
        </is>
      </c>
      <c r="B493" s="2" t="inlineStr">
        <is>
          <t>CC-094</t>
        </is>
      </c>
      <c r="C493" s="2" t="inlineStr">
        <is>
          <t>Commission Implementing Decision (EU) 2023/1319 (revised allocations 2023-2025)</t>
        </is>
      </c>
      <c r="D493" s="2" t="inlineStr">
        <is>
          <t>EU Official Journal</t>
        </is>
      </c>
      <c r="E493" s="2" t="inlineStr">
        <is>
          <t>28 Jun 2023</t>
        </is>
      </c>
      <c r="F493" s="2" t="inlineStr">
        <is>
          <t>Legislation</t>
        </is>
      </c>
      <c r="G493" s="2" t="inlineStr">
        <is>
          <t>Malta 2023-2025 allocations; 2026-2030 left undetermined until the 2025 review. Read via Cellar, 6 Oct 2026.</t>
        </is>
      </c>
      <c r="H493" s="5" t="inlineStr">
        <is>
          <t>https://data.europa.eu/eli/dec_impl/2023/1319/oj</t>
        </is>
      </c>
    </row>
    <row r="494">
      <c r="A494" s="2" t="inlineStr">
        <is>
          <t>484</t>
        </is>
      </c>
      <c r="B494" s="2" t="inlineStr">
        <is>
          <t>CC-094</t>
        </is>
      </c>
      <c r="C494" s="2" t="inlineStr">
        <is>
          <t>Commission Implementing Decision (EU) 2024/1884 (ETS flexibility quantities)</t>
        </is>
      </c>
      <c r="D494" s="2" t="inlineStr">
        <is>
          <t>EU Official Journal</t>
        </is>
      </c>
      <c r="E494" s="2" t="inlineStr">
        <is>
          <t>10 Jul 2024</t>
        </is>
      </c>
      <c r="F494" s="2" t="inlineStr">
        <is>
          <t>Legislation</t>
        </is>
      </c>
      <c r="G494" s="2" t="inlineStr">
        <is>
          <t>Malta 510,300 t (2% 2021-24, 7% 2025-30). Read via Cellar, 6 Oct 2026.</t>
        </is>
      </c>
      <c r="H494" s="5" t="inlineStr">
        <is>
          <t>https://data.europa.eu/eli/dec_impl/2024/1884/oj</t>
        </is>
      </c>
    </row>
    <row r="495">
      <c r="A495" s="2" t="inlineStr">
        <is>
          <t>485</t>
        </is>
      </c>
      <c r="B495" s="2" t="inlineStr">
        <is>
          <t>CC-094</t>
        </is>
      </c>
      <c r="C495" s="2" t="inlineStr">
        <is>
          <t>Commission Implementing Decision (EU) 2026/895 (annual emission allocations 2026-2030)</t>
        </is>
      </c>
      <c r="D495" s="2" t="inlineStr">
        <is>
          <t>EU Official Journal</t>
        </is>
      </c>
      <c r="E495" s="2" t="inlineStr">
        <is>
          <t>24 Apr 2026</t>
        </is>
      </c>
      <c r="F495" s="2" t="inlineStr">
        <is>
          <t>Legislation</t>
        </is>
      </c>
      <c r="G495" s="2" t="inlineStr">
        <is>
          <t>Malta 2026-2030 allocations 1,199,907 to 826,687 t, set after the 2025 comprehensive review. Located by web search; read via Cellar, 6 Oct 2026.</t>
        </is>
      </c>
      <c r="H495" s="5" t="inlineStr">
        <is>
          <t>https://data.europa.eu/eli/dec_impl/2026/895/oj</t>
        </is>
      </c>
    </row>
    <row r="496">
      <c r="A496" s="2" t="inlineStr">
        <is>
          <t>486</t>
        </is>
      </c>
      <c r="B496" s="2" t="inlineStr">
        <is>
          <t>CC-094</t>
        </is>
      </c>
      <c r="C496" s="2" t="inlineStr">
        <is>
          <t>Commission Decision (EU) 2023/863 (effort-sharing safety reserve)</t>
        </is>
      </c>
      <c r="D496" s="2" t="inlineStr">
        <is>
          <t>EU Official Journal</t>
        </is>
      </c>
      <c r="E496" s="2" t="inlineStr">
        <is>
          <t>26 Apr 2023</t>
        </is>
      </c>
      <c r="F496" s="2" t="inlineStr">
        <is>
          <t>Legislation</t>
        </is>
      </c>
      <c r="G496" s="2" t="inlineStr">
        <is>
          <t>Recital (5): Malta's 2013-2020 emissions exceeded its allocations, so it is not eligible for the safety reserve. Read via Cellar, 6 Oct 2026.</t>
        </is>
      </c>
      <c r="H496" s="5" t="inlineStr">
        <is>
          <t>https://data.europa.eu/eli/dec/2023/863/oj</t>
        </is>
      </c>
    </row>
    <row r="497">
      <c r="A497" s="2" t="inlineStr">
        <is>
          <t>487</t>
        </is>
      </c>
      <c r="B497" s="2" t="inlineStr">
        <is>
          <t>CC-094</t>
        </is>
      </c>
      <c r="C497" s="2" t="inlineStr">
        <is>
          <t>Effort sharing 2021-2030: targets and flexibilities</t>
        </is>
      </c>
      <c r="D497" s="2" t="inlineStr">
        <is>
          <t>European Commission</t>
        </is>
      </c>
      <c r="E497" s="2" t="inlineStr">
        <is>
          <t>read 6 Oct 2026</t>
        </is>
      </c>
      <c r="F497" s="2" t="inlineStr">
        <is>
          <t>EU web page</t>
        </is>
      </c>
      <c r="G497" s="2" t="inlineStr">
        <is>
          <t>Table of notified ETS flexibility percentages (Malta 2% / 7%, 510,300 t); safety reserve conditions. Readable with curl.</t>
        </is>
      </c>
      <c r="H497" s="5" t="inlineStr">
        <is>
          <t>https://climate.ec.europa.eu/areas-action/carbon-removals-and-carbon-farming/effort-sharing-member-states-emission-targets/effort-sharing-2021-2030-targets-and-flexibilities_en</t>
        </is>
      </c>
    </row>
    <row r="498">
      <c r="A498" s="2" t="inlineStr">
        <is>
          <t>488</t>
        </is>
      </c>
      <c r="B498" s="2" t="inlineStr">
        <is>
          <t>CC-094; CC-109</t>
        </is>
      </c>
      <c r="C498" s="2" t="inlineStr">
        <is>
          <t>Participatory Policy Packaging for Transport Backcasting: A Pathway for Reducing CO2 Emissions from Transport in Malta (Camilleri, Attard, Hickman)</t>
        </is>
      </c>
      <c r="D498" s="2" t="inlineStr">
        <is>
          <t>Sustainability (MDPI)</t>
        </is>
      </c>
      <c r="E498" s="2" t="inlineStr">
        <is>
          <t>2024</t>
        </is>
      </c>
      <c r="F498" s="2" t="inlineStr">
        <is>
          <t>Peer-reviewed article (abstract read)</t>
        </is>
      </c>
      <c r="G498" s="2" t="inlineStr">
        <is>
          <t>doi:10.3390/su16010430 verified in Crossref 6 Oct 2026 (CC BY 4.0). Context only: car dependence.</t>
        </is>
      </c>
      <c r="H498" s="5" t="inlineStr">
        <is>
          <t>https://doi.org/10.3390/su16010430</t>
        </is>
      </c>
    </row>
    <row r="499">
      <c r="A499" s="2" t="inlineStr">
        <is>
          <t>489</t>
        </is>
      </c>
      <c r="B499" s="2" t="inlineStr">
        <is>
          <t>CC-094</t>
        </is>
      </c>
      <c r="C499" s="2" t="inlineStr">
        <is>
          <t>Population and employment (nama_10_pe)</t>
        </is>
      </c>
      <c r="D499" s="2" t="inlineStr">
        <is>
          <t>Eurostat</t>
        </is>
      </c>
      <c r="E499" s="2" t="inlineStr">
        <is>
          <t>retrieved 2 Oct 2026 (for CC-003)</t>
        </is>
      </c>
      <c r="F499" s="2" t="inlineStr">
        <is>
          <t>Official statistics</t>
        </is>
      </c>
      <c r="G499" s="2" t="inlineStr">
        <is>
          <t>Reused from data/cc-003/eurostat_ghg_population.csv for effort-sharing emissions per person.</t>
        </is>
      </c>
      <c r="H499" s="5" t="inlineStr">
        <is>
          <t>https://ec.europa.eu/eurostat/databrowser/view/nama_10_pe/default/table</t>
        </is>
      </c>
    </row>
    <row r="500">
      <c r="A500" s="2" t="inlineStr">
        <is>
          <t>490</t>
        </is>
      </c>
      <c r="B500" s="2" t="inlineStr">
        <is>
          <t>CC-109</t>
        </is>
      </c>
      <c r="C500" s="2" t="inlineStr">
        <is>
          <t>2026 Country Report - Malta, SWD(2026) 218 final (Commission copy)</t>
        </is>
      </c>
      <c r="D500" s="2" t="inlineStr">
        <is>
          <t>European Commission</t>
        </is>
      </c>
      <c r="E500" s="2" t="inlineStr">
        <is>
          <t>2026-06-03</t>
        </is>
      </c>
      <c r="F500" s="2" t="inlineStr">
        <is>
          <t>Primary (read)</t>
        </is>
      </c>
      <c r="G500" s="2" t="inlineStr">
        <is>
          <t>The claim. Commission copy read in full 6 Oct 2026; same wording as the Council copy. Pages: summary 6, chapter 3 and Graph 3.1 14, Annex 8 quote and footnotes 140-141 66, Table A8.1 71. Commission document; the PDF carries no licence notice; reuse under Decision 2011/833/EU and the Commission legal notice (CC BY 4.0 unless otherwise indicated). Copy in literature/CC-109/open-access/.</t>
        </is>
      </c>
      <c r="H500" s="5" t="inlineStr">
        <is>
          <t>https://economy-finance.ec.europa.eu/document/download/b0bb0c3b-1b52-4ac5-8090-ee21edf1e039_en?filename=MT_SWD_2026_218_1_EN_autre_document_travail_service_part1_v1.pdf</t>
        </is>
      </c>
    </row>
    <row r="501">
      <c r="A501" s="2" t="inlineStr">
        <is>
          <t>491</t>
        </is>
      </c>
      <c r="B501" s="2" t="inlineStr">
        <is>
          <t>CC-109</t>
        </is>
      </c>
      <c r="C501" s="2" t="inlineStr">
        <is>
          <t>GovReg: Approximated estimates for greenhouse gas emissions, 2024</t>
        </is>
      </c>
      <c r="D501" s="2" t="inlineStr">
        <is>
          <t>European Environment Agency</t>
        </is>
      </c>
      <c r="E501" s="2" t="inlineStr">
        <is>
          <t>2025-11-05</t>
        </is>
      </c>
      <c r="F501" s="2" t="inlineStr">
        <is>
          <t>Dataset</t>
        </is>
      </c>
      <c r="G501" s="2" t="inlineStr">
        <is>
          <t>Primary data, retrieved 6 Oct 2026. Malta 2024: ESR transport 0.766 Mt (1.A.3 total 0.767 Mt minus 0.924 kt domestic-aviation CO2, the same figure the EEA uses to build the ESR total) of an ESR total of 1.437 Mt: 53.3%, +45.0% on 2005. The file's non-ETS 1.A.3 row (0.761 Mt) is not used. Preliminary data (EEA metadata). DataCite title reads '..., 2025' (reporting year).</t>
        </is>
      </c>
      <c r="H501" s="5" t="inlineStr">
        <is>
          <t>https://doi.org/10.2909/cd572015-4d0d-408a-abf8-290ed2057bf7</t>
        </is>
      </c>
    </row>
    <row r="502">
      <c r="A502" s="2" t="inlineStr">
        <is>
          <t>492</t>
        </is>
      </c>
      <c r="B502" s="2" t="inlineStr">
        <is>
          <t>CC-109</t>
        </is>
      </c>
      <c r="C502" s="2" t="inlineStr">
        <is>
          <t>GovReg: National emissions reported to the UNFCCC and to the EU under the Governance Regulation, 2026 ver. 1.0</t>
        </is>
      </c>
      <c r="D502" s="2" t="inlineStr">
        <is>
          <t>European Environment Agency</t>
        </is>
      </c>
      <c r="E502" s="2" t="inlineStr">
        <is>
          <t>2026-04-17</t>
        </is>
      </c>
      <c r="F502" s="2" t="inlineStr">
        <is>
          <t>Dataset</t>
        </is>
      </c>
      <c r="G502" s="2" t="inlineStr">
        <is>
          <t>Inventory of 15 Mar 2026, retrieved 6 Oct 2026 (Malta transport rows). Identical to Eurostat env_air_gge (2 Jun 2026) to 0.005 kt.</t>
        </is>
      </c>
      <c r="H502" s="5" t="inlineStr">
        <is>
          <t>https://doi.org/10.2909/83ee8f8c-1422-4e3f-af63-ba88146811e5</t>
        </is>
      </c>
    </row>
    <row r="503">
      <c r="A503" s="2" t="inlineStr">
        <is>
          <t>493</t>
        </is>
      </c>
      <c r="B503" s="2" t="inlineStr">
        <is>
          <t>CC-109</t>
        </is>
      </c>
      <c r="C503" s="2" t="inlineStr">
        <is>
          <t>Climate Action Progress Report 2025: country profile Malta</t>
        </is>
      </c>
      <c r="D503" s="2" t="inlineStr">
        <is>
          <t>European Commission (DG Climate Action)</t>
        </is>
      </c>
      <c r="E503" s="2" t="inlineStr">
        <is>
          <t>Jan 2026</t>
        </is>
      </c>
      <c r="F503" s="2" t="inlineStr">
        <is>
          <t>EU report</t>
        </is>
      </c>
      <c r="G503" s="2" t="inlineStr">
        <is>
          <t>Read in full 6 Oct 2026. Figure 11 (p. 10): transport 53% of Malta's ESR emissions in 2024 (EU-27 39%), excluding aviation CO2. CC BY 4.0 copy in literature/CC-109/open-access/.</t>
        </is>
      </c>
      <c r="H503" s="5" t="inlineStr">
        <is>
          <t>https://climate.ec.europa.eu/document/download/acb92e05-4220-44c3-9483-b3524c326f59_en?filename=mt_2025_factsheet_en.pdf</t>
        </is>
      </c>
    </row>
    <row r="504">
      <c r="A504" s="2" t="inlineStr">
        <is>
          <t>494</t>
        </is>
      </c>
      <c r="B504" s="2" t="inlineStr">
        <is>
          <t>CC-109</t>
        </is>
      </c>
      <c r="C504" s="2" t="inlineStr">
        <is>
          <t>Climate Action Progress Report 2024: country profile Malta</t>
        </is>
      </c>
      <c r="D504" s="2" t="inlineStr">
        <is>
          <t>European Commission (DG Climate Action)</t>
        </is>
      </c>
      <c r="E504" s="2" t="inlineStr">
        <is>
          <t>Jan 2025</t>
        </is>
      </c>
      <c r="F504" s="2" t="inlineStr">
        <is>
          <t>EU report</t>
        </is>
      </c>
      <c r="G504" s="2" t="inlineStr">
        <is>
          <t>Read 6 Oct 2026. p. 6: transport 52% of ESR emissions in 2023 and -3.4% on 2022 (approximated; final inventory +5.7%). Cover dated 'January 2024'; PDF created 27 Jan 2025.</t>
        </is>
      </c>
      <c r="H504" s="5" t="inlineStr">
        <is>
          <t>https://climate.ec.europa.eu/document/download/4c335e40-6961-4473-9cc0-5b6367f75a6e_en?filename=mt_2024_factsheet_en.pdf</t>
        </is>
      </c>
    </row>
    <row r="505">
      <c r="A505" s="2" t="inlineStr">
        <is>
          <t>495</t>
        </is>
      </c>
      <c r="B505" s="2" t="inlineStr">
        <is>
          <t>CC-109</t>
        </is>
      </c>
      <c r="C505" s="2" t="inlineStr">
        <is>
          <t>2025 Country Report - Malta, SWD(2025) 218 final</t>
        </is>
      </c>
      <c r="D505" s="2" t="inlineStr">
        <is>
          <t>European Commission</t>
        </is>
      </c>
      <c r="E505" s="2" t="inlineStr">
        <is>
          <t>2025-06-04</t>
        </is>
      </c>
      <c r="F505" s="2" t="inlineStr">
        <is>
          <t>EU report</t>
        </is>
      </c>
      <c r="G505" s="2" t="inlineStr">
        <is>
          <t>Read 6 Oct 2026 (text p. 67, Table A7.1 p. 69): 2023 road transport +32% since 2005 on approximated data; the 2026 report gives +44.8% for 2023 on final data.</t>
        </is>
      </c>
      <c r="H505" s="5" t="inlineStr">
        <is>
          <t>https://economy-finance.ec.europa.eu/document/download/be493fbf-cb70-432c-a68a-13067176ff38_en?filename=MT_CR_SWD_2025_218_1_EN_autre_document_travail_service_part1_v5.pdf</t>
        </is>
      </c>
    </row>
    <row r="506">
      <c r="A506" s="2" t="inlineStr">
        <is>
          <t>496</t>
        </is>
      </c>
      <c r="B506" s="2" t="inlineStr">
        <is>
          <t>CC-035</t>
        </is>
      </c>
      <c r="C506" s="2" t="inlineStr">
        <is>
          <t>Burden of disease of air pollution (Countries &amp; NUTS), Table publisher</t>
        </is>
      </c>
      <c r="D506" s="2" t="inlineStr">
        <is>
          <t>European Environment Agency</t>
        </is>
      </c>
      <c r="E506" s="2" t="inlineStr">
        <is>
          <t>retrieved 6 Oct 2026</t>
        </is>
      </c>
      <c r="F506" s="2" t="inlineStr">
        <is>
          <t>Official dataset</t>
        </is>
      </c>
      <c r="G506" s="2" t="inlineStr">
        <is>
          <t>The EEA's own estimates behind the quick-facts sentence: Malta rate 143.5 (2005) and 46.3 (2023) per 100 000 aged 30+, 348 and 172 (131-192) deaths, population-weighted PM2.5 21.0 and 10.9 ug/m3; every scenario. CSV export via the app's download endpoint (data/cc-035/).</t>
        </is>
      </c>
      <c r="H506" s="5" t="inlineStr">
        <is>
          <t>https://discomap.eea.europa.eu/App/AQViewer/index.html?fqn=Airquality_Dissem.ebd.countries_and_nuts</t>
        </is>
      </c>
    </row>
    <row r="507">
      <c r="A507" s="2" t="inlineStr">
        <is>
          <t>497</t>
        </is>
      </c>
      <c r="B507" s="2" t="inlineStr">
        <is>
          <t>CC-035</t>
        </is>
      </c>
      <c r="C507" s="2" t="inlineStr">
        <is>
          <t>Harm to human health from air pollution in Europe: burden of disease status, 2025 (EEA Briefing 16/2025)</t>
        </is>
      </c>
      <c r="D507" s="2" t="inlineStr">
        <is>
          <t>European Environment Agency</t>
        </is>
      </c>
      <c r="E507" s="2" t="inlineStr">
        <is>
          <t>1 Dec 2025</t>
        </is>
      </c>
      <c r="F507" s="2" t="inlineStr">
        <is>
          <t>EU agency report</t>
        </is>
      </c>
      <c r="G507" s="2" t="inlineStr">
        <is>
          <t>Method, counterfactual 5 ug/m3, sensitivity analyses; the 95% CI covers relative-risk uncertainty only, exposure uncertainty not quantified. doi:10.2800/8961999. Read in full 6 Oct 2026.</t>
        </is>
      </c>
      <c r="H507" s="5" t="inlineStr">
        <is>
          <t>https://www.eea.europa.eu/en/analysis/publications/harm-to-human-health-from-air-pollution-burden-of-disease-status-2025</t>
        </is>
      </c>
    </row>
    <row r="508">
      <c r="A508" s="2" t="inlineStr">
        <is>
          <t>498</t>
        </is>
      </c>
      <c r="B508" s="2" t="inlineStr">
        <is>
          <t>CC-035</t>
        </is>
      </c>
      <c r="C508" s="2" t="inlineStr">
        <is>
          <t>Premature deaths due to exposure to fine particulate matter in Europe (indicator)</t>
        </is>
      </c>
      <c r="D508" s="2" t="inlineStr">
        <is>
          <t>European Environment Agency</t>
        </is>
      </c>
      <c r="E508" s="2" t="inlineStr">
        <is>
          <t>30 Nov 2025</t>
        </is>
      </c>
      <c r="F508" s="2" t="inlineStr">
        <is>
          <t>EU agency indicator</t>
        </is>
      </c>
      <c r="G508" s="2" t="inlineStr">
        <is>
          <t>Method history (RR 0.062 to 0.08, counterfactual 0 to 5 ug/m3, rates per population 30+ since 2024) and recalculation of all years back to 2005. Read 6 Oct 2026.</t>
        </is>
      </c>
      <c r="H508" s="5" t="inlineStr">
        <is>
          <t>https://www.eea.europa.eu/en/analysis/indicators/health-impacts-of-exposure-to</t>
        </is>
      </c>
    </row>
    <row r="509">
      <c r="A509" s="2" t="inlineStr">
        <is>
          <t>499</t>
        </is>
      </c>
      <c r="B509" s="2" t="inlineStr">
        <is>
          <t>CC-035</t>
        </is>
      </c>
      <c r="C509" s="2" t="inlineStr">
        <is>
          <t>Assessing the environmental burden of disease related to air pollution in Europe in 2023 (ETC HE Report 2025/8, Soares et al.)</t>
        </is>
      </c>
      <c r="D509" s="2" t="inlineStr">
        <is>
          <t>European Topic Centre on Human Health and the Environment</t>
        </is>
      </c>
      <c r="E509" s="2" t="inlineStr">
        <is>
          <t>30 Nov 2025</t>
        </is>
      </c>
      <c r="F509" s="2" t="inlineStr">
        <is>
          <t>Technical report (EEA topic centre)</t>
        </is>
      </c>
      <c r="G509" s="2" t="inlineStr">
        <is>
          <t>Technical basis of the estimates; Malta 173 (132-193) deaths and 46.3 per 100 000 aged 30+ in 2023 (Table A4.1), PWC 10.9 (Table A3.1). 2011 cause-of-death data used for 2005-2010. CC BY 4.0; read in full 6 Oct 2026.</t>
        </is>
      </c>
      <c r="H509" s="5" t="inlineStr">
        <is>
          <t>https://doi.org/10.5281/zenodo.17658760</t>
        </is>
      </c>
    </row>
    <row r="510">
      <c r="A510" s="2" t="inlineStr">
        <is>
          <t>500</t>
        </is>
      </c>
      <c r="B510" s="2" t="inlineStr">
        <is>
          <t>CC-035</t>
        </is>
      </c>
      <c r="C510" s="2" t="inlineStr">
        <is>
          <t>Reference air quality maps 2005 and 2009 (ETC/ATNI Report 2020/1, Horálek et al.)</t>
        </is>
      </c>
      <c r="D510" s="2" t="inlineStr">
        <is>
          <t>European Topic Centre on Air pollution, transport, noise and industrial pollution</t>
        </is>
      </c>
      <c r="E510" s="2" t="inlineStr">
        <is>
          <t>20 Nov 2020</t>
        </is>
      </c>
      <c r="F510" s="2" t="inlineStr">
        <is>
          <t>Technical report (EEA topic centre)</t>
        </is>
      </c>
      <c r="G510" s="2" t="inlineStr">
        <is>
          <t>How the 2005 PM2.5 map was built (173 PM2.5 stations Europe-wide plus about 1,410 PM10-based pseudo stations; background and traffic stations only, Table A.1; EMEP model; RMSE 2.9 ug/m3 urban background); Malta 2005 PWC 21.2 ug/m3. Our identification of the map behind the EEA's 2005 value: the EEA does not say which version its table uses and gives 21.0 for Malta (unexplained gap). The 2005 map is of another method and model than 2023 (see ETC HE 2025/5). CC BY 4.0; read in full 6 Oct 2026.</t>
        </is>
      </c>
      <c r="H510" s="5" t="inlineStr">
        <is>
          <t>https://doi.org/10.5281/zenodo.4293744</t>
        </is>
      </c>
    </row>
    <row r="511">
      <c r="A511" s="2" t="inlineStr">
        <is>
          <t>501</t>
        </is>
      </c>
      <c r="B511" s="2" t="inlineStr">
        <is>
          <t>CC-035</t>
        </is>
      </c>
      <c r="C511" s="2" t="inlineStr">
        <is>
          <t>Air quality maps of EEA member and cooperating countries for 2023 (ETC HE Report 2025/5, Horálek et al.)</t>
        </is>
      </c>
      <c r="D511" s="2" t="inlineStr">
        <is>
          <t>European Topic Centre on Human Health and the Environment</t>
        </is>
      </c>
      <c r="E511" s="2" t="inlineStr">
        <is>
          <t>21 Nov 2025</t>
        </is>
      </c>
      <c r="F511" s="2" t="inlineStr">
        <is>
          <t>Technical report (EEA topic centre)</t>
        </is>
      </c>
      <c r="G511" s="2" t="inlineStr">
        <is>
          <t>Method history of the maps: PM2.5 updated method only from 2017, 2005/2009 and 2015-2019 exist in old and updated versions, trend uses old maps for 2005-2014 (pp. 74-77), EMEP to CAMS from 2020 (p. 108), pseudo PM2.5 stations still used in 2023 (pp. 108, 118); no 2006 map (p. 76). 2023 map uses the CAMS Ensemble; PM2.5 map RMSE 2.6-2.9 ug/m3; Malta 2023 PWC 10.9. Nine authors (ninth: Skoloudova, Lucie). CC BY 4.0; pages read 6 Oct 2026.</t>
        </is>
      </c>
      <c r="H511" s="5" t="inlineStr">
        <is>
          <t>https://doi.org/10.5281/zenodo.17427294</t>
        </is>
      </c>
    </row>
    <row r="512">
      <c r="A512" s="2" t="inlineStr">
        <is>
          <t>502</t>
        </is>
      </c>
      <c r="B512" s="2" t="inlineStr">
        <is>
          <t>CC-035</t>
        </is>
      </c>
      <c r="C512" s="2" t="inlineStr">
        <is>
          <t>Long-term exposure to PM and all-cause and cause-specific mortality: a systematic review and meta-analysis (Chen and Hoek, Environment International 143:105974)</t>
        </is>
      </c>
      <c r="D512" s="2" t="inlineStr">
        <is>
          <t>Elsevier</t>
        </is>
      </c>
      <c r="E512" s="2" t="inlineStr">
        <is>
          <t>2020</t>
        </is>
      </c>
      <c r="F512" s="2" t="inlineStr">
        <is>
          <t>Peer-reviewed systematic review</t>
        </is>
      </c>
      <c r="G512" s="2" t="inlineStr">
        <is>
          <t>RR 1.08 (1.06-1.09) per 10 ug/m3 for natural-cause mortality, the WHO 2021 value the EEA applies. Abstract read (Europe PMC); Crossref checked. Graded C (a review) on the evidence-grades scale.</t>
        </is>
      </c>
      <c r="H512" s="5" t="inlineStr">
        <is>
          <t>https://doi.org/10.1016/j.envint.2020.105974</t>
        </is>
      </c>
    </row>
    <row r="513">
      <c r="A513" s="2" t="inlineStr">
        <is>
          <t>503</t>
        </is>
      </c>
      <c r="B513" s="2" t="inlineStr">
        <is>
          <t>CC-035</t>
        </is>
      </c>
      <c r="C513" s="2" t="inlineStr">
        <is>
          <t>Estimation of the contributions of the sources driving PM2.5 levels in a Central Mediterranean coastal town (Scerri et al., Chemosphere 211:465-481)</t>
        </is>
      </c>
      <c r="D513" s="2" t="inlineStr">
        <is>
          <t>Elsevier</t>
        </is>
      </c>
      <c r="E513" s="2" t="inlineStr">
        <is>
          <t>2018</t>
        </is>
      </c>
      <c r="F513" s="2" t="inlineStr">
        <is>
          <t>Peer-reviewed study</t>
        </is>
      </c>
      <c r="G513" s="2" t="inlineStr">
        <is>
          <t>Msida (traffic site), 2016: traffic 27.3%, ammonium sulfate 23.6%, Saharan dust 15%, aged sea salt 12.7%, shipping 5%, fresh sea salt 4.6%, fireworks 2.9% of PM2.5. Abstract read; context. A corrigendum exists (doi:10.1016/j.chemosphere.2018.12.121, Chemosphere 219:1061-1062, 2019; Crossref-verified) and was not read: no abstract in Europe PMC.</t>
        </is>
      </c>
      <c r="H513" s="5" t="inlineStr">
        <is>
          <t>https://doi.org/10.1016/j.chemosphere.2018.07.104</t>
        </is>
      </c>
    </row>
    <row r="514">
      <c r="A514" s="2" t="inlineStr">
        <is>
          <t>504</t>
        </is>
      </c>
      <c r="B514" s="2" t="inlineStr">
        <is>
          <t>CC-035</t>
        </is>
      </c>
      <c r="C514" s="2" t="inlineStr">
        <is>
          <t>Premature deaths due to exposure to fine particulate matter (PM2.5) (sdg_11_52)</t>
        </is>
      </c>
      <c r="D514" s="2" t="inlineStr">
        <is>
          <t>Eurostat (source EEA)</t>
        </is>
      </c>
      <c r="E514" s="2" t="inlineStr">
        <is>
          <t>updated 9 Dec 2025</t>
        </is>
      </c>
      <c r="F514" s="2" t="inlineStr">
        <is>
          <t>Official dataset</t>
        </is>
      </c>
      <c r="G514" s="2" t="inlineStr">
        <is>
          <t>Malta 348 (2005) and 172 (2023) deaths; rate per 100 000 inhabitants of all ages 86 and 31. No 2006 value; no flags on Malta. Retrieved 6 Oct 2026.</t>
        </is>
      </c>
      <c r="H514" s="5" t="inlineStr">
        <is>
          <t>https://ec.europa.eu/eurostat/databrowser/view/sdg_11_52/default/table</t>
        </is>
      </c>
    </row>
    <row r="515">
      <c r="A515" s="2" t="inlineStr">
        <is>
          <t>505</t>
        </is>
      </c>
      <c r="B515" s="2" t="inlineStr">
        <is>
          <t>CC-035</t>
        </is>
      </c>
      <c r="C515" s="2" t="inlineStr">
        <is>
          <t>Population on 1 January by age (demo_pjan), deaths by age (demo_magec), causes of death (hlth_cd_aro)</t>
        </is>
      </c>
      <c r="D515" s="2" t="inlineStr">
        <is>
          <t>Eurostat</t>
        </is>
      </c>
      <c r="E515" s="2" t="inlineStr">
        <is>
          <t>updated 23-25 Sep 2026</t>
        </is>
      </c>
      <c r="F515" s="2" t="inlineStr">
        <is>
          <t>Official dataset</t>
        </is>
      </c>
      <c r="G515" s="2" t="inlineStr">
        <is>
          <t>Malta population 30+ (242,544 in 2005; 373,224 in 2023), deaths 30+ and external-cause share, used to recompute the EEA's deaths within 1.2%. Retrieved 6 Oct 2026.</t>
        </is>
      </c>
      <c r="H515" s="5" t="inlineStr">
        <is>
          <t>https://ec.europa.eu/eurostat/databrowser/view/demo_pjan/default/table</t>
        </is>
      </c>
    </row>
    <row r="516">
      <c r="A516" s="2" t="inlineStr">
        <is>
          <t>506</t>
        </is>
      </c>
      <c r="B516" s="2" t="inlineStr">
        <is>
          <t>CC-035; CC-034</t>
        </is>
      </c>
      <c r="C516" s="2" t="inlineStr">
        <is>
          <t>Air pollutants by source sector (env_air_emis), Malta PM2.5</t>
        </is>
      </c>
      <c r="D516" s="2" t="inlineStr">
        <is>
          <t>Eurostat</t>
        </is>
      </c>
      <c r="E516" s="2" t="inlineStr">
        <is>
          <t>updated 7 Sep 2026</t>
        </is>
      </c>
      <c r="F516" s="2" t="inlineStr">
        <is>
          <t>Official dataset</t>
        </is>
      </c>
      <c r="G516" s="2" t="inlineStr">
        <is>
          <t>Malta primary PM2.5 emissions 750 t (2005) to 310 t (2023); public electricity and heat 420 t to 3 t. Context only. Retrieved 6 Oct 2026.</t>
        </is>
      </c>
      <c r="H516" s="5" t="inlineStr">
        <is>
          <t>https://ec.europa.eu/eurostat/databrowser/view/env_air_emis/default/table</t>
        </is>
      </c>
    </row>
    <row r="517">
      <c r="A517" s="2" t="inlineStr">
        <is>
          <t>507</t>
        </is>
      </c>
      <c r="B517" s="2" t="inlineStr">
        <is>
          <t>CC-035</t>
        </is>
      </c>
      <c r="C517" s="2" t="inlineStr">
        <is>
          <t>Air quality station metadata (PanEuropean_metadata.csv), Malta PM10 and PM2.5 sampling points</t>
        </is>
      </c>
      <c r="D517" s="2" t="inlineStr">
        <is>
          <t>European Environment Agency</t>
        </is>
      </c>
      <c r="E517" s="2" t="inlineStr">
        <is>
          <t>retrieved 6 Oct 2026</t>
        </is>
      </c>
      <c r="F517" s="2" t="inlineStr">
        <is>
          <t>Official dataset</t>
        </is>
      </c>
      <c r="G517" s="2" t="inlineStr">
        <is>
          <t>Station type, area, sampling process and dates (data/cc-035/eea_station_metadata_mt.csv): Kordin (MT00003) industrial urban; MT00002 (2005 PM10 only) not in the current metadata; Msida and St Paul's Bay traffic; Zejtun and Attard urban background; Gharb rural background. PM2.5 instruments changed (beta-attenuation, gravimetric from 2014, Msida GRIMM optical from 24 Sep 2021, Gharb TEOM-FDMS).</t>
        </is>
      </c>
      <c r="H517" s="5" t="inlineStr">
        <is>
          <t>https://discomap.eea.europa.eu/map/fme/metadata/PanEuropean_metadata.csv</t>
        </is>
      </c>
    </row>
    <row r="518">
      <c r="A518" s="2" t="inlineStr">
        <is>
          <t>508</t>
        </is>
      </c>
      <c r="B518" s="2" t="inlineStr">
        <is>
          <t>CC-099</t>
        </is>
      </c>
      <c r="C518" s="2" t="inlineStr">
        <is>
          <t>Malta's rapid population growth creates urgent need to focus on the country's infrastructure demands for the future</t>
        </is>
      </c>
      <c r="D518" s="2" t="inlineStr">
        <is>
          <t>Finance Malta (Industry Update / PwC)</t>
        </is>
      </c>
      <c r="E518" s="2" t="inlineStr">
        <is>
          <t>17 Jul 2026</t>
        </is>
      </c>
      <c r="F518" s="2" t="inlineStr">
        <is>
          <t>Primary statement</t>
        </is>
      </c>
      <c r="G518" s="2" t="inlineStr">
        <is>
          <t>The claim: PwC Malta's press release text (PwC boilerplate, © 2026 PricewaterhouseCoopers), the earliest copy found; read in full 6 Oct 2026 (paragraph 2: the 31%; paragraph 6: the 38%). No definition of 'foreign', no source named. Same text: MBW 19 Jul, Malta Chamber 22 Jul, Mondaq 23 Jul 2026.</t>
        </is>
      </c>
      <c r="H518" s="5" t="inlineStr">
        <is>
          <t>https://financemalta.org/industry-updates/malta-s-rapid-population-growth-creates-urgent-need-to-focus-on-the-country-s-infrastructure-demands-for-the-future</t>
        </is>
      </c>
    </row>
    <row r="519">
      <c r="A519" s="2" t="inlineStr">
        <is>
          <t>509</t>
        </is>
      </c>
      <c r="B519" s="2" t="inlineStr">
        <is>
          <t>CC-099</t>
        </is>
      </c>
      <c r="C519" s="2" t="inlineStr">
        <is>
          <t>Population growth drives urgent infrastructure needs – PwC Malta Summer 2026 Economic Update</t>
        </is>
      </c>
      <c r="D519" s="2" t="inlineStr">
        <is>
          <t>The Malta Business Weekly</t>
        </is>
      </c>
      <c r="E519" s="2" t="inlineStr">
        <is>
          <t>19 Jul 2026</t>
        </is>
      </c>
      <c r="F519" s="2" t="inlineStr">
        <is>
          <t>Primary statement (reprint)</t>
        </is>
      </c>
      <c r="G519" s="2" t="inlineStr">
        <is>
          <t>Later reprint of PwC Malta's press release text (same as Finance Malta, 17 Jul 2026); read in full 6 Oct 2026; the 38% is paragraph 7 here; no definition of 'foreign', no source named.</t>
        </is>
      </c>
      <c r="H519" s="5" t="inlineStr">
        <is>
          <t>https://maltabusinessweekly.com/population-growth-drives-urgent-infrastructure-needs-pwc-malta-summer-2026-economic-update/30680/</t>
        </is>
      </c>
    </row>
    <row r="520">
      <c r="A520" s="2" t="inlineStr">
        <is>
          <t>510</t>
        </is>
      </c>
      <c r="B520" s="2" t="inlineStr">
        <is>
          <t>CC-099</t>
        </is>
      </c>
      <c r="C520" s="2" t="inlineStr">
        <is>
          <t>Malta's Rapid Population Growth Creates Urgent Need To Focus On The Country's Infrastructure Demands For The Future</t>
        </is>
      </c>
      <c r="D520" s="2" t="inlineStr">
        <is>
          <t>Mondaq (author PwC; contributor Finance Malta)</t>
        </is>
      </c>
      <c r="E520" s="2" t="inlineStr">
        <is>
          <t>23 Jul 2026</t>
        </is>
      </c>
      <c r="F520" s="2" t="inlineStr">
        <is>
          <t>Primary statement</t>
        </is>
      </c>
      <c r="G520" s="2" t="inlineStr">
        <is>
          <t>Same press release text (paragraph 6 for the 38%). Read 6 Oct 2026.</t>
        </is>
      </c>
      <c r="H520" s="5" t="inlineStr">
        <is>
          <t>https://www.mondaq.com/economic-analysis/1821840/maltas-rapid-population-growth-creates-urgent-need-to-focus-on-the-countrys-infrastructure-demands-for-the-future</t>
        </is>
      </c>
    </row>
    <row r="521">
      <c r="A521" s="2" t="inlineStr">
        <is>
          <t>511</t>
        </is>
      </c>
      <c r="B521" s="2" t="inlineStr">
        <is>
          <t>CC-099</t>
        </is>
      </c>
      <c r="C521" s="2" t="inlineStr">
        <is>
          <t>Economic update summer edition 2026</t>
        </is>
      </c>
      <c r="D521" s="2" t="inlineStr">
        <is>
          <t>PwC Malta</t>
        </is>
      </c>
      <c r="E521" s="2" t="inlineStr">
        <is>
          <t>Jul 2026</t>
        </is>
      </c>
      <c r="F521" s="2" t="inlineStr">
        <is>
          <t>Report</t>
        </is>
      </c>
      <c r="G521" s="2" t="inlineStr">
        <is>
          <t>Not read: 403 to scripts and WebFetch; no Internet Archive capture (6 Oct 2026). Holds the model behind the 38%; right of reply on hold until read.</t>
        </is>
      </c>
      <c r="H521" s="5" t="inlineStr">
        <is>
          <t>https://www.pwc.com/mt/en/publications/economic-outlook/economic-outlook-summer-2026.html</t>
        </is>
      </c>
    </row>
    <row r="522">
      <c r="A522" s="2" t="inlineStr">
        <is>
          <t>512</t>
        </is>
      </c>
      <c r="B522" s="2" t="inlineStr">
        <is>
          <t>CC-099</t>
        </is>
      </c>
      <c r="C522" s="2" t="inlineStr">
        <is>
          <t>Malta's population could reach 636,000 by 2030, PwC projects</t>
        </is>
      </c>
      <c r="D522" s="2" t="inlineStr">
        <is>
          <t>Business Now (Kevin Schembri Orland)</t>
        </is>
      </c>
      <c r="E522" s="2" t="inlineStr">
        <is>
          <t>15 Jul 2026</t>
        </is>
      </c>
      <c r="F522" s="2" t="inlineStr">
        <is>
          <t>News</t>
        </is>
      </c>
      <c r="G522" s="2" t="inlineStr">
        <is>
          <t>Second-hand report of the PwC report: range 624,000-660,000; quotes only 'the mix of foreign to local reaching around 38% in the base case' (the assumption sentence is its paraphrase); '31 per cent' now and 'In 2019, it was 20 per cent', and a local population 'at just over 400,000', are the outlet's own text.</t>
        </is>
      </c>
      <c r="H522" s="5" t="inlineStr">
        <is>
          <t>https://businessnow.mt/maltas-population-could-reach-636000-by-2030-pwc-projects/</t>
        </is>
      </c>
    </row>
    <row r="523">
      <c r="A523" s="2" t="inlineStr">
        <is>
          <t>513</t>
        </is>
      </c>
      <c r="B523" s="2" t="inlineStr">
        <is>
          <t>CC-099</t>
        </is>
      </c>
      <c r="C523" s="2" t="inlineStr">
        <is>
          <t>PwC: Malta's population could climb to 660,000 within five years</t>
        </is>
      </c>
      <c r="D523" s="2" t="inlineStr">
        <is>
          <t>Newsbook (Jurgen Balzan)</t>
        </is>
      </c>
      <c r="E523" s="2" t="inlineStr">
        <is>
          <t>17 Jul 2026</t>
        </is>
      </c>
      <c r="F523" s="2" t="inlineStr">
        <is>
          <t>News</t>
        </is>
      </c>
      <c r="G523" s="2" t="inlineStr">
        <is>
          <t>Second-hand report of the PwC report (the only outlet quoting both sentences on the 38% as the report's words) and of a parliamentary reply (no formal population projections for the next four years; not read).</t>
        </is>
      </c>
      <c r="H523" s="5" t="inlineStr">
        <is>
          <t>https://newsbook.com.mt/en/pwc-maltas-population-could-climb-to-660000-within-five-years/</t>
        </is>
      </c>
    </row>
    <row r="524">
      <c r="A524" s="2" t="inlineStr">
        <is>
          <t>514</t>
        </is>
      </c>
      <c r="B524" s="2" t="inlineStr">
        <is>
          <t>CC-099</t>
        </is>
      </c>
      <c r="C524" s="2" t="inlineStr">
        <is>
          <t>Population boom: the challenges of population growth Malta</t>
        </is>
      </c>
      <c r="D524" s="2" t="inlineStr">
        <is>
          <t>Malta Business (maltabusiness.it)</t>
        </is>
      </c>
      <c r="E524" s="2" t="inlineStr">
        <is>
          <t>18 Jul 2026</t>
        </is>
      </c>
      <c r="F524" s="2" t="inlineStr">
        <is>
          <t>News</t>
        </is>
      </c>
      <c r="G524" s="2" t="inlineStr">
        <is>
          <t>Second-hand report of the PwC report (local Maltese population 'substantially stable at around 400,000'). Context only.</t>
        </is>
      </c>
      <c r="H524" s="5" t="inlineStr">
        <is>
          <t>https://www.maltabusiness.it/en/population-challenges-population-growth</t>
        </is>
      </c>
    </row>
    <row r="525">
      <c r="A525" s="2" t="inlineStr">
        <is>
          <t>515</t>
        </is>
      </c>
      <c r="B525" s="2" t="inlineStr">
        <is>
          <t>CC-099</t>
        </is>
      </c>
      <c r="C525" s="2" t="inlineStr">
        <is>
          <t>Malta's population grows 2.4%, driven entirely by migration</t>
        </is>
      </c>
      <c r="D525" s="2" t="inlineStr">
        <is>
          <t>Newsbook</t>
        </is>
      </c>
      <c r="E525" s="2" t="inlineStr">
        <is>
          <t>9 Jul 2026</t>
        </is>
      </c>
      <c r="F525" s="2" t="inlineStr">
        <is>
          <t>News</t>
        </is>
      </c>
      <c r="G525" s="2" t="inlineStr">
        <is>
          <t>Second-hand NSO end-2025 figures: 31.1% non-Maltese citizens, 182,693.</t>
        </is>
      </c>
      <c r="H525" s="5" t="inlineStr">
        <is>
          <t>https://newsbook.com.mt/en/maltas-population-grows-2-4-driven-entirely-by-migration/</t>
        </is>
      </c>
    </row>
    <row r="526">
      <c r="A526" s="2" t="inlineStr">
        <is>
          <t>516</t>
        </is>
      </c>
      <c r="B526" s="2" t="inlineStr">
        <is>
          <t>CC-099</t>
        </is>
      </c>
      <c r="C526" s="2" t="inlineStr">
        <is>
          <t>World Population Day: Malta's Population Reaches Record 588,254</t>
        </is>
      </c>
      <c r="D526" s="2" t="inlineStr">
        <is>
          <t>Lovin Malta</t>
        </is>
      </c>
      <c r="E526" s="2" t="inlineStr">
        <is>
          <t>11 Jul 2026</t>
        </is>
      </c>
      <c r="F526" s="2" t="inlineStr">
        <is>
          <t>News</t>
        </is>
      </c>
      <c r="G526" s="2" t="inlineStr">
        <is>
          <t>Second-hand NSO figures: 68.9% Maltese citizens, 31.1% foreign nationals at end-2025.</t>
        </is>
      </c>
      <c r="H526" s="5" t="inlineStr">
        <is>
          <t>https://lovinmalta.com/news/local/world-population-day-maltas-population-reaches-record-588254/</t>
        </is>
      </c>
    </row>
    <row r="527">
      <c r="A527" s="2" t="inlineStr">
        <is>
          <t>517</t>
        </is>
      </c>
      <c r="B527" s="2" t="inlineStr">
        <is>
          <t>CC-099</t>
        </is>
      </c>
      <c r="C527" s="2" t="inlineStr">
        <is>
          <t>Almost a third of Malta's population now made up of foreign nationals</t>
        </is>
      </c>
      <c r="D527" s="2" t="inlineStr">
        <is>
          <t>International Adviser</t>
        </is>
      </c>
      <c r="E527" s="2" t="inlineStr">
        <is>
          <t>13 Jul 2026</t>
        </is>
      </c>
      <c r="F527" s="2" t="inlineStr">
        <is>
          <t>News</t>
        </is>
      </c>
      <c r="G527" s="2" t="inlineStr">
        <is>
          <t>Second-hand NSO figure (31.1%).</t>
        </is>
      </c>
      <c r="H527" s="5" t="inlineStr">
        <is>
          <t>https://www.international-adviser.com/almost-a-third-of-maltas-population-now-made-up-of-foreign-nationals/</t>
        </is>
      </c>
    </row>
    <row r="528">
      <c r="A528" s="2" t="inlineStr">
        <is>
          <t>518</t>
        </is>
      </c>
      <c r="B528" s="2" t="inlineStr">
        <is>
          <t>CC-099</t>
        </is>
      </c>
      <c r="C528" s="2" t="inlineStr">
        <is>
          <t>Malta's population hits 588,254 with 2.4% growth driven entirely by net migration</t>
        </is>
      </c>
      <c r="D528" s="2" t="inlineStr">
        <is>
          <t>MEETinc</t>
        </is>
      </c>
      <c r="E528" s="2" t="inlineStr">
        <is>
          <t>16 Jul 2026</t>
        </is>
      </c>
      <c r="F528" s="2" t="inlineStr">
        <is>
          <t>News</t>
        </is>
      </c>
      <c r="G528" s="2" t="inlineStr">
        <is>
          <t>Second-hand NSO figures (31.1%; 182,693).</t>
        </is>
      </c>
      <c r="H528" s="5" t="inlineStr">
        <is>
          <t>https://meetinc.com.mt/news/malta-s-population-hits-588-254-with-2-4-growth-driven-entirely-by-net-migration/</t>
        </is>
      </c>
    </row>
    <row r="529">
      <c r="A529" s="2" t="inlineStr">
        <is>
          <t>519</t>
        </is>
      </c>
      <c r="B529" s="2" t="inlineStr">
        <is>
          <t>CC-099</t>
        </is>
      </c>
      <c r="C529" s="2" t="inlineStr">
        <is>
          <t>Population on 1 January by age group, sex and citizenship (migr_pop1ctz)</t>
        </is>
      </c>
      <c r="D529" s="2" t="inlineStr">
        <is>
          <t>Eurostat</t>
        </is>
      </c>
      <c r="E529" s="2" t="inlineStr">
        <is>
          <t>25 Sep 2026</t>
        </is>
      </c>
      <c r="F529" s="2" t="inlineStr">
        <is>
          <t>Independent dataset</t>
        </is>
      </c>
      <c r="G529" s="2" t="inlineStr">
        <is>
          <t>Retrieved 6 Oct 2026 by API with flags (data/cc-099/); no flags 2010-2025; latest split 1 Jan 2025. doi:10.2908/migr_pop1ctz.</t>
        </is>
      </c>
      <c r="H529" s="5" t="inlineStr">
        <is>
          <t>https://ec.europa.eu/eurostat/databrowser/product/page/MIGR_POP1CTZ</t>
        </is>
      </c>
    </row>
    <row r="530">
      <c r="A530" s="2" t="inlineStr">
        <is>
          <t>520</t>
        </is>
      </c>
      <c r="B530" s="2" t="inlineStr">
        <is>
          <t>CC-099</t>
        </is>
      </c>
      <c r="C530" s="2" t="inlineStr">
        <is>
          <t>Population on 1 January by age group, sex and country of birth (migr_pop3ctb)</t>
        </is>
      </c>
      <c r="D530" s="2" t="inlineStr">
        <is>
          <t>Eurostat</t>
        </is>
      </c>
      <c r="E530" s="2" t="inlineStr">
        <is>
          <t>25 Sep 2026</t>
        </is>
      </c>
      <c r="F530" s="2" t="inlineStr">
        <is>
          <t>Independent dataset</t>
        </is>
      </c>
      <c r="G530" s="2" t="inlineStr">
        <is>
          <t>Retrieved 6 Oct 2026 by API (data/cc-099/). doi:10.2908/migr_pop3ctb.</t>
        </is>
      </c>
      <c r="H530" s="5" t="inlineStr">
        <is>
          <t>https://ec.europa.eu/eurostat/databrowser/product/page/MIGR_POP3CTB</t>
        </is>
      </c>
    </row>
    <row r="531">
      <c r="A531" s="2" t="inlineStr">
        <is>
          <t>521</t>
        </is>
      </c>
      <c r="B531" s="2" t="inlineStr">
        <is>
          <t>CC-099</t>
        </is>
      </c>
      <c r="C531" s="2" t="inlineStr">
        <is>
          <t>Census 2021 population by citizenship and by country of birth (cens_21ctz_r3, cens_21cob_r3)</t>
        </is>
      </c>
      <c r="D531" s="2" t="inlineStr">
        <is>
          <t>Eurostat</t>
        </is>
      </c>
      <c r="E531" s="2" t="inlineStr">
        <is>
          <t>21 May 2025</t>
        </is>
      </c>
      <c r="F531" s="2" t="inlineStr">
        <is>
          <t>Independent dataset</t>
        </is>
      </c>
      <c r="G531" s="2" t="inlineStr">
        <is>
          <t>Retrieved 6 Oct 2026 by API (data/cc-099/).</t>
        </is>
      </c>
      <c r="H531" s="5" t="inlineStr">
        <is>
          <t>https://ec.europa.eu/eurostat/databrowser/product/page/CENS_21CTZ_R3</t>
        </is>
      </c>
    </row>
    <row r="532">
      <c r="A532" s="2" t="inlineStr">
        <is>
          <t>522</t>
        </is>
      </c>
      <c r="B532" s="2" t="inlineStr">
        <is>
          <t>CC-099</t>
        </is>
      </c>
      <c r="C532" s="2" t="inlineStr">
        <is>
          <t>Immigration, emigration and acquisition of citizenship by citizenship (migr_imm1ctz, migr_emi1ctz, migr_acq)</t>
        </is>
      </c>
      <c r="D532" s="2" t="inlineStr">
        <is>
          <t>Eurostat</t>
        </is>
      </c>
      <c r="E532" s="2" t="inlineStr">
        <is>
          <t>2026</t>
        </is>
      </c>
      <c r="F532" s="2" t="inlineStr">
        <is>
          <t>Independent dataset</t>
        </is>
      </c>
      <c r="G532" s="2" t="inlineStr">
        <is>
          <t>Retrieved 6 Oct 2026 by API (data/cc-099/); migr_acq 2010 flagged b (not used).</t>
        </is>
      </c>
      <c r="H532" s="5" t="inlineStr">
        <is>
          <t>https://ec.europa.eu/eurostat/databrowser/product/page/MIGR_ACQ</t>
        </is>
      </c>
    </row>
    <row r="533">
      <c r="A533" s="2" t="inlineStr">
        <is>
          <t>523</t>
        </is>
      </c>
      <c r="B533" s="2" t="inlineStr">
        <is>
          <t>CC-099</t>
        </is>
      </c>
      <c r="C533" s="2" t="inlineStr">
        <is>
          <t>Live births by mother's citizenship; deaths by citizenship (demo_faczc, demo_maczc)</t>
        </is>
      </c>
      <c r="D533" s="2" t="inlineStr">
        <is>
          <t>Eurostat</t>
        </is>
      </c>
      <c r="E533" s="2" t="inlineStr">
        <is>
          <t>2026</t>
        </is>
      </c>
      <c r="F533" s="2" t="inlineStr">
        <is>
          <t>Independent dataset</t>
        </is>
      </c>
      <c r="G533" s="2" t="inlineStr">
        <is>
          <t>Retrieved 6 Oct 2026 by API (data/cc-099/).</t>
        </is>
      </c>
      <c r="H533" s="5" t="inlineStr">
        <is>
          <t>https://ec.europa.eu/eurostat/databrowser/product/page/DEMO_MACZC</t>
        </is>
      </c>
    </row>
    <row r="534">
      <c r="A534" s="2" t="inlineStr">
        <is>
          <t>524</t>
        </is>
      </c>
      <c r="B534" s="2" t="inlineStr">
        <is>
          <t>CC-099</t>
        </is>
      </c>
      <c r="C534" s="2" t="inlineStr">
        <is>
          <t>EUROPOP2025: population on 1st January by age, sex and type of projection (proj_25np)</t>
        </is>
      </c>
      <c r="D534" s="2" t="inlineStr">
        <is>
          <t>Eurostat</t>
        </is>
      </c>
      <c r="E534" s="2" t="inlineStr">
        <is>
          <t>11 Jun 2026</t>
        </is>
      </c>
      <c r="F534" s="2" t="inlineStr">
        <is>
          <t>Independent dataset</t>
        </is>
      </c>
      <c r="G534" s="2" t="inlineStr">
        <is>
          <t>Retrieved 6 Oct 2026 by API; totals only, no citizenship split. doi:10.2908/proj_25np.</t>
        </is>
      </c>
      <c r="H534" s="5" t="inlineStr">
        <is>
          <t>https://ec.europa.eu/eurostat/databrowser/product/page/PROJ_25NP</t>
        </is>
      </c>
    </row>
    <row r="535">
      <c r="A535" s="2" t="inlineStr">
        <is>
          <t>525</t>
        </is>
      </c>
      <c r="B535" s="2" t="inlineStr">
        <is>
          <t>CC-099</t>
        </is>
      </c>
      <c r="C535" s="2" t="inlineStr">
        <is>
          <t>International migration statistics (migr_immi), reference metadata</t>
        </is>
      </c>
      <c r="D535" s="2" t="inlineStr">
        <is>
          <t>Eurostat</t>
        </is>
      </c>
      <c r="E535" s="2" t="inlineStr">
        <is>
          <t>n/d</t>
        </is>
      </c>
      <c r="F535" s="2" t="inlineStr">
        <is>
          <t>Metadata</t>
        </is>
      </c>
      <c r="G535" s="2" t="inlineStr">
        <is>
          <t>Definitions of usual residence, citizenship, foreigner, non-national. Read 6 Oct 2026.</t>
        </is>
      </c>
      <c r="H535" s="5" t="inlineStr">
        <is>
          <t>https://ec.europa.eu/eurostat/cache/metadata/en/migr_immi_esms.htm</t>
        </is>
      </c>
    </row>
    <row r="536">
      <c r="A536" s="2" t="inlineStr">
        <is>
          <t>526</t>
        </is>
      </c>
      <c r="B536" s="2" t="inlineStr">
        <is>
          <t>CC-099</t>
        </is>
      </c>
      <c r="C536" s="2" t="inlineStr">
        <is>
          <t>2021 population and housing censuses (cens_21), reference metadata</t>
        </is>
      </c>
      <c r="D536" s="2" t="inlineStr">
        <is>
          <t>Eurostat</t>
        </is>
      </c>
      <c r="E536" s="2" t="inlineStr">
        <is>
          <t>n/d</t>
        </is>
      </c>
      <c r="F536" s="2" t="inlineStr">
        <is>
          <t>Metadata</t>
        </is>
      </c>
      <c r="G536" s="2" t="inlineStr">
        <is>
          <t>Census reference dates; Malta 21 November 2021. Read 6 Oct 2026.</t>
        </is>
      </c>
      <c r="H536" s="5" t="inlineStr">
        <is>
          <t>https://ec.europa.eu/eurostat/cache/metadata/en/cens_21_esms.htm</t>
        </is>
      </c>
    </row>
    <row r="537">
      <c r="A537" s="2" t="inlineStr">
        <is>
          <t>527</t>
        </is>
      </c>
      <c r="B537" s="2" t="inlineStr">
        <is>
          <t>CC-099</t>
        </is>
      </c>
      <c r="C537" s="2" t="inlineStr">
        <is>
          <t>Foreign Nationals Employment Trends (workbooks 2015-2025)</t>
        </is>
      </c>
      <c r="D537" s="2" t="inlineStr">
        <is>
          <t>Jobsplus</t>
        </is>
      </c>
      <c r="E537" s="2" t="inlineStr">
        <is>
          <t>2026</t>
        </is>
      </c>
      <c r="F537" s="2" t="inlineStr">
        <is>
          <t>Administrative data</t>
        </is>
      </c>
      <c r="G537" s="2" t="inlineStr">
        <is>
          <t>Retrieved 6 Oct 2026 (curl; Python urllib gets 403). 135,417 employed foreign nationals, Dec 2025.</t>
        </is>
      </c>
      <c r="H537" s="5" t="inlineStr">
        <is>
          <t>https://jobsplus.gov.mt/labour-market-trends/foreign-nationals-employment-trends</t>
        </is>
      </c>
    </row>
    <row r="538">
      <c r="A538" s="2" t="inlineStr">
        <is>
          <t>528</t>
        </is>
      </c>
      <c r="B538" s="2" t="inlineStr">
        <is>
          <t>CC-099</t>
        </is>
      </c>
      <c r="C538" s="2" t="inlineStr">
        <is>
          <t>Employment Trends (total and full-time employment workbooks 2015-2025)</t>
        </is>
      </c>
      <c r="D538" s="2" t="inlineStr">
        <is>
          <t>Jobsplus</t>
        </is>
      </c>
      <c r="E538" s="2" t="inlineStr">
        <is>
          <t>2026</t>
        </is>
      </c>
      <c r="F538" s="2" t="inlineStr">
        <is>
          <t>Administrative data</t>
        </is>
      </c>
      <c r="G538" s="2" t="inlineStr">
        <is>
          <t>Retrieved 6 Oct 2026. 340,463 employed (full- and part-time), Dec 2025.</t>
        </is>
      </c>
      <c r="H538" s="5" t="inlineStr">
        <is>
          <t>https://jobsplus.gov.mt/labour-market-trends/employment-trends</t>
        </is>
      </c>
    </row>
    <row r="539">
      <c r="A539" s="2" t="inlineStr">
        <is>
          <t>529</t>
        </is>
      </c>
      <c r="B539" s="2" t="inlineStr">
        <is>
          <t>CC-099</t>
        </is>
      </c>
      <c r="C539" s="2" t="inlineStr">
        <is>
          <t>The native Maltese population: projections and implications on the labour supply (Policy Note 1/2025)</t>
        </is>
      </c>
      <c r="D539" s="2" t="inlineStr">
        <is>
          <t>Central Bank of Malta (Lynn Cumbo)</t>
        </is>
      </c>
      <c r="E539" s="2" t="inlineStr">
        <is>
          <t>2025</t>
        </is>
      </c>
      <c r="F539" s="2" t="inlineStr">
        <is>
          <t>Report</t>
        </is>
      </c>
      <c r="G539" s="2" t="inlineStr">
        <is>
          <t>doi:10.2139/ssrn.5356748 verified in Crossref (2025); abstract read; full text 403. Baseline figures (405,075 in 2023 to about 350,000 by 2050) known only second-hand via MBW 2 Jun 2025 and Amphora.</t>
        </is>
      </c>
      <c r="H539" s="5" t="inlineStr">
        <is>
          <t>https://doi.org/10.2139/ssrn.5356748</t>
        </is>
      </c>
    </row>
    <row r="540">
      <c r="A540" s="2" t="inlineStr">
        <is>
          <t>530</t>
        </is>
      </c>
      <c r="B540" s="2" t="inlineStr">
        <is>
          <t>CC-099</t>
        </is>
      </c>
      <c r="C540" s="2" t="inlineStr">
        <is>
          <t>FATTI: Is Malta's Native Population At Risk Of Collapse – And Can Tax Cuts Stop It?</t>
        </is>
      </c>
      <c r="D540" s="2" t="inlineStr">
        <is>
          <t>Amphora Media</t>
        </is>
      </c>
      <c r="E540" s="2" t="inlineStr">
        <is>
          <t>6 Nov 2025</t>
        </is>
      </c>
      <c r="F540" s="2" t="inlineStr">
        <is>
          <t>News</t>
        </is>
      </c>
      <c r="G540" s="2" t="inlineStr">
        <is>
          <t>Second-hand account of the CBM note: 'native' leaves out people who acquired citizenship by naturalisation or investment; about 347,000 by 2050.</t>
        </is>
      </c>
      <c r="H540" s="5" t="inlineStr">
        <is>
          <t>https://www.amphora.media/2025/11/fatti-malta-native-population-numbers-budget-tax-cut-child-parent</t>
        </is>
      </c>
    </row>
    <row r="541">
      <c r="A541" s="2" t="inlineStr">
        <is>
          <t>531</t>
        </is>
      </c>
      <c r="B541" s="2" t="inlineStr">
        <is>
          <t>CC-032</t>
        </is>
      </c>
      <c r="C541" s="2" t="inlineStr">
        <is>
          <t>Installati l-ewwel solar flowers tax-xorta tagħhom fl-Ewropa fil-Gozo Multi-Modal Hub f'Ta' Xħajma</t>
        </is>
      </c>
      <c r="D541" s="2" t="inlineStr">
        <is>
          <t>TVM News</t>
        </is>
      </c>
      <c r="E541" s="2" t="inlineStr">
        <is>
          <t>21 Oct 2025</t>
        </is>
      </c>
      <c r="F541" s="2" t="inlineStr">
        <is>
          <t>News (public broadcaster)</t>
        </is>
      </c>
      <c r="G541" s="2" t="inlineStr">
        <is>
          <t>Maltese version; primary for the quoted words ('dawn l-ewwel solar flowers fl-Ewropa'; 'l-ewwel ... f'pajjiżna'; Farrugia 'unika fl-Ewropa'). Read 6 Oct 2026.</t>
        </is>
      </c>
      <c r="H541" s="5" t="inlineStr">
        <is>
          <t>https://tvmnews.mt/news/installati-l-ewwel-solar-flowers-tax-xorta-taghhom-fl-ewropa-fil-gozo-multi-modal-hub-fta-xhajma/</t>
        </is>
      </c>
    </row>
    <row r="542">
      <c r="A542" s="2" t="inlineStr">
        <is>
          <t>532</t>
        </is>
      </c>
      <c r="B542" s="2" t="inlineStr">
        <is>
          <t>CC-032</t>
        </is>
      </c>
      <c r="C542" s="2" t="inlineStr">
        <is>
          <t>Gozo Leads The Way In Europe With First-Ever 'Solar Flowers' At Ta' Xħajma Multi-Modal Hub</t>
        </is>
      </c>
      <c r="D542" s="2" t="inlineStr">
        <is>
          <t>Lovin Malta</t>
        </is>
      </c>
      <c r="E542" s="2" t="inlineStr">
        <is>
          <t>21 Oct 2025</t>
        </is>
      </c>
      <c r="F542" s="2" t="inlineStr">
        <is>
          <t>News (online); article tagged 'Press Release'</t>
        </is>
      </c>
      <c r="G542" s="2" t="inlineStr">
        <is>
          <t>English rendering of the quoted words; the article is tagged 'Press Release', so its English is probably the Government's own release; its text (not in quotation marks) has 'the first installation of its kind in Europe'. Read 6 Oct 2026.</t>
        </is>
      </c>
      <c r="H542" s="5" t="inlineStr">
        <is>
          <t>https://lovinmalta.com/malta/gozo-leads-the-way-in-europe-with-first-ever-solar-flowers-at-ta-xhajma-multi-modal-hub/</t>
        </is>
      </c>
    </row>
    <row r="543">
      <c r="A543" s="2" t="inlineStr">
        <is>
          <t>533</t>
        </is>
      </c>
      <c r="B543" s="2" t="inlineStr">
        <is>
          <t>CC-032</t>
        </is>
      </c>
      <c r="C543" s="2" t="inlineStr">
        <is>
          <t>One of Europe's Largest Installations Arrives with SmartFlowers</t>
        </is>
      </c>
      <c r="D543" s="2" t="inlineStr">
        <is>
          <t>SmartFlower (manufacturer)</t>
        </is>
      </c>
      <c r="E543" s="2" t="inlineStr">
        <is>
          <t>14 Nov 2025</t>
        </is>
      </c>
      <c r="F543" s="2" t="inlineStr">
        <is>
          <t>Company news</t>
        </is>
      </c>
      <c r="G543" s="2" t="inlineStr">
        <is>
          <t>Names the Gozo units as fifteen SmartFlowers, 'one of the largest installations in Europe'. Read 6 Oct 2026.</t>
        </is>
      </c>
      <c r="H543" s="5" t="inlineStr">
        <is>
          <t>https://smartflower.com/news/one-of-europes-largest-installations-arrives-with-smartflowers/</t>
        </is>
      </c>
    </row>
    <row r="544">
      <c r="A544" s="2" t="inlineStr">
        <is>
          <t>534</t>
        </is>
      </c>
      <c r="B544" s="2" t="inlineStr">
        <is>
          <t>CC-032</t>
        </is>
      </c>
      <c r="C544" s="2" t="inlineStr">
        <is>
          <t>A Year in Review: SmartFlower Growth, Impact and Inspiration for 2025</t>
        </is>
      </c>
      <c r="D544" s="2" t="inlineStr">
        <is>
          <t>SmartFlower (manufacturer)</t>
        </is>
      </c>
      <c r="E544" s="2" t="inlineStr">
        <is>
          <t>29 Dec 2025</t>
        </is>
      </c>
      <c r="F544" s="2" t="inlineStr">
        <is>
          <t>Company news</t>
        </is>
      </c>
      <c r="G544" s="2" t="inlineStr">
        <is>
          <t>Gozo 'one of Europe's largest installations'. Read 6 Oct 2026.</t>
        </is>
      </c>
      <c r="H544" s="5" t="inlineStr">
        <is>
          <t>https://smartflower.com/news/2025-in-review-a-year-of-smartflower-growth-impact-and-inspiration/</t>
        </is>
      </c>
    </row>
    <row r="545">
      <c r="A545" s="2" t="inlineStr">
        <is>
          <t>535</t>
        </is>
      </c>
      <c r="B545" s="2" t="inlineStr">
        <is>
          <t>CC-032</t>
        </is>
      </c>
      <c r="C545" s="2" t="inlineStr">
        <is>
          <t>Frequently Asked Questions (also Products and Company pages)</t>
        </is>
      </c>
      <c r="D545" s="2" t="inlineStr">
        <is>
          <t>SmartFlower (manufacturer)</t>
        </is>
      </c>
      <c r="E545" s="2" t="inlineStr">
        <is>
          <t>n/d</t>
        </is>
      </c>
      <c r="F545" s="2" t="inlineStr">
        <is>
          <t>Company page</t>
        </is>
      </c>
      <c r="G545" s="2" t="inlineStr">
        <is>
          <t>Manufactured in Austria; 4,000 to over 6,200 kWh a year; up to 40% more; founded in Austria, acquired by EMI 2018. Read 6 Oct 2026.</t>
        </is>
      </c>
      <c r="H545" s="5" t="inlineStr">
        <is>
          <t>https://smartflower.com/frequently-asked-questions/</t>
        </is>
      </c>
    </row>
    <row r="546">
      <c r="A546" s="2" t="inlineStr">
        <is>
          <t>536</t>
        </is>
      </c>
      <c r="B546" s="2" t="inlineStr">
        <is>
          <t>CC-032</t>
        </is>
      </c>
      <c r="C546" s="2" t="inlineStr">
        <is>
          <t>Smartflower data sheet 150-0016 Rev G</t>
        </is>
      </c>
      <c r="D546" s="2" t="inlineStr">
        <is>
          <t>Smartflower (dealer-hosted copy, worldofesf.com)</t>
        </is>
      </c>
      <c r="E546" s="2" t="inlineStr">
        <is>
          <t>2019</t>
        </is>
      </c>
      <c r="F546" s="2" t="inlineStr">
        <is>
          <t>Product data sheet</t>
        </is>
      </c>
      <c r="G546" s="2" t="inlineStr">
        <is>
          <t>2.5 kWp nominal; 4,000-6,500 kWh/a with two-axis tracking. Manufacturer's figures. Read 6 Oct 2026.</t>
        </is>
      </c>
      <c r="H546" s="5" t="inlineStr">
        <is>
          <t>https://www.worldofesf.com/docs/150-0016-SMARTFLOWER-DATA-SHEET-REV-G.pdf</t>
        </is>
      </c>
    </row>
    <row r="547">
      <c r="A547" s="2" t="inlineStr">
        <is>
          <t>537</t>
        </is>
      </c>
      <c r="B547" s="2" t="inlineStr">
        <is>
          <t>CC-032</t>
        </is>
      </c>
      <c r="C547" s="2" t="inlineStr">
        <is>
          <t>Nature inspires 2.5 kW Smartflower mobile solar system</t>
        </is>
      </c>
      <c r="D547" s="2" t="inlineStr">
        <is>
          <t>pv magazine Australia</t>
        </is>
      </c>
      <c r="E547" s="2" t="inlineStr">
        <is>
          <t>25 Oct 2024</t>
        </is>
      </c>
      <c r="F547" s="2" t="inlineStr">
        <is>
          <t>News (trade)</t>
        </is>
      </c>
      <c r="G547" s="2" t="inlineStr">
        <is>
          <t>Austrian-made, 12 petals, 2.5 kWp, 4,000-6,500 kWh a year. Read 6 Oct 2026.</t>
        </is>
      </c>
      <c r="H547" s="5" t="inlineStr">
        <is>
          <t>https://www.pv-magazine-australia.com/2024/10/25/nature-inspires-2-5-kw-smartflower-mobile-solar-system/</t>
        </is>
      </c>
    </row>
    <row r="548">
      <c r="A548" s="2" t="inlineStr">
        <is>
          <t>538</t>
        </is>
      </c>
      <c r="B548" s="2" t="inlineStr">
        <is>
          <t>CC-032</t>
        </is>
      </c>
      <c r="C548" s="2" t="inlineStr">
        <is>
          <t>Gozo's solar flower installation cost EUR 700,000</t>
        </is>
      </c>
      <c r="D548" s="2" t="inlineStr">
        <is>
          <t>Newsbook</t>
        </is>
      </c>
      <c r="E548" s="2" t="inlineStr">
        <is>
          <t>19 Jan 2026</t>
        </is>
      </c>
      <c r="F548" s="2" t="inlineStr">
        <is>
          <t>News (report of PQ answers)</t>
        </is>
      </c>
      <c r="G548" s="2" t="inlineStr">
        <is>
          <t>SECOND-HAND report of parliamentary answers: EUR 699,611.98 excl. VAT, three bids, no feasibility or value-for-money study, all in working order. PQ itself (parlament.mt) 403. Read 6 Oct 2026.</t>
        </is>
      </c>
      <c r="H548" s="5" t="inlineStr">
        <is>
          <t>https://newsbook.com.mt/en/gozos-solar-flower-installation-cost-e700000/</t>
        </is>
      </c>
    </row>
    <row r="549">
      <c r="A549" s="2" t="inlineStr">
        <is>
          <t>539</t>
        </is>
      </c>
      <c r="B549" s="2" t="inlineStr">
        <is>
          <t>CC-032</t>
        </is>
      </c>
      <c r="C549" s="2" t="inlineStr">
        <is>
          <t>Smartflower, una flor 'made in Austria', llega a España</t>
        </is>
      </c>
      <c r="D549" s="2" t="inlineStr">
        <is>
          <t>energynews.es</t>
        </is>
      </c>
      <c r="E549" s="2" t="inlineStr">
        <is>
          <t>3 Jun 2015</t>
        </is>
      </c>
      <c r="F549" s="2" t="inlineStr">
        <is>
          <t>News (trade)</t>
        </is>
      </c>
      <c r="G549" s="2" t="inlineStr">
        <is>
          <t>Product launch in Spain, not an installation: 'Ayer se presentó en Madrid'; 'se comercializa en España desde hoy mismo'. Page dated 3 Jun 2015 (metadata 2 Jun 22:03 UTC). Read 6 Oct 2026.</t>
        </is>
      </c>
      <c r="H549" s="5" t="inlineStr">
        <is>
          <t>https://www.energynews.es/smartflower-made-in-austria-llega-a-espana-para-hacer-posible-el-autoconsumo/</t>
        </is>
      </c>
    </row>
    <row r="550">
      <c r="A550" s="2" t="inlineStr">
        <is>
          <t>540</t>
        </is>
      </c>
      <c r="B550" s="2" t="inlineStr">
        <is>
          <t>CC-032</t>
        </is>
      </c>
      <c r="C550" s="2" t="inlineStr">
        <is>
          <t>Intersolar North America: SmartFlower unfurls its dual-axis tracker</t>
        </is>
      </c>
      <c r="D550" s="2" t="inlineStr">
        <is>
          <t>pv magazine</t>
        </is>
      </c>
      <c r="E550" s="2" t="inlineStr">
        <is>
          <t>13 Jul 2016</t>
        </is>
      </c>
      <c r="F550" s="2" t="inlineStr">
        <is>
          <t>News (trade)</t>
        </is>
      </c>
      <c r="G550" s="2" t="inlineStr">
        <is>
          <t>Austrian maker; over 1,000 units sold in Europe, Asia, the Middle East (company's figure). Read 6 Oct 2026.</t>
        </is>
      </c>
      <c r="H550" s="5" t="inlineStr">
        <is>
          <t>https://www.pv-magazine.com/2016/07/13/intersolar-north-america-smartflower-unfurls-its-dual-axis-tracker_100025392/</t>
        </is>
      </c>
    </row>
    <row r="551">
      <c r="A551" s="2" t="inlineStr">
        <is>
          <t>541</t>
        </is>
      </c>
      <c r="B551" s="2" t="inlineStr">
        <is>
          <t>CC-032</t>
        </is>
      </c>
      <c r="C551" s="2" t="inlineStr">
        <is>
          <t>Grüner Strom für den Rastplatz Hinterbrühl auf der A 21</t>
        </is>
      </c>
      <c r="D551" s="2" t="inlineStr">
        <is>
          <t>MeinBezirk.at (Mödling)</t>
        </is>
      </c>
      <c r="E551" s="2" t="inlineStr">
        <is>
          <t>7 Dec 2016</t>
        </is>
      </c>
      <c r="F551" s="2" t="inlineStr">
        <is>
          <t>Community post (MeinBezirk.at Regionauten-Community, Roland Weber; ASFINAG photo; not newsroom news)</t>
        </is>
      </c>
      <c r="G551" s="2" t="inlineStr">
        <is>
          <t>ASFINAG SmartFlower in service at a motorway rest area, Austria; 50% of the lighting electricity; EUR 19,000. Corroborated by the IÖB project page. Read 6 Oct 2026.</t>
        </is>
      </c>
      <c r="H551" s="5" t="inlineStr">
        <is>
          <t>https://www.meinbezirk.at/moedling/c-lokales/gruener-strom-fuer-den-rastplatz-hinterbruehl-auf-der-a-21_a1960598</t>
        </is>
      </c>
    </row>
    <row r="552">
      <c r="A552" s="2" t="inlineStr">
        <is>
          <t>542</t>
        </is>
      </c>
      <c r="B552" s="2" t="inlineStr">
        <is>
          <t>CC-032</t>
        </is>
      </c>
      <c r="C552" s="2" t="inlineStr">
        <is>
          <t>Asfinag: Photovoltaikanlage Solarblume</t>
        </is>
      </c>
      <c r="D552" s="2" t="inlineStr">
        <is>
          <t>IÖB (Austrian federal ministries' innovation procurement service)</t>
        </is>
      </c>
      <c r="E552" s="2" t="inlineStr">
        <is>
          <t>n/d</t>
        </is>
      </c>
      <c r="F552" s="2" t="inlineStr">
        <is>
          <t>Public-sector project record</t>
        </is>
      </c>
      <c r="G552" s="2" t="inlineStr">
        <is>
          <t>Same ASFINAG pilot (corroborates the MeinBezirk.at post); undated page. Read 6 Oct 2026.</t>
        </is>
      </c>
      <c r="H552" s="5" t="inlineStr">
        <is>
          <t>https://www.ioeb.at/erfolgreiche-projekte-detail/asfinag-photovoltaikanlage-solarblume</t>
        </is>
      </c>
    </row>
    <row r="553">
      <c r="A553" s="2" t="inlineStr">
        <is>
          <t>543</t>
        </is>
      </c>
      <c r="B553" s="2" t="inlineStr">
        <is>
          <t>CC-032</t>
        </is>
      </c>
      <c r="C553" s="2" t="inlineStr">
        <is>
          <t>Vodafone installs 'Smartflower' solar sunflower on Newbury campus</t>
        </is>
      </c>
      <c r="D553" s="2" t="inlineStr">
        <is>
          <t>Newbury Today</t>
        </is>
      </c>
      <c r="E553" s="2" t="inlineStr">
        <is>
          <t>12 Aug 2021</t>
        </is>
      </c>
      <c r="F553" s="2" t="inlineStr">
        <is>
          <t>News (local)</t>
        </is>
      </c>
      <c r="G553" s="2" t="inlineStr">
        <is>
          <t>SmartFlower at Vodafone's UK headquarters, 2021. Read 6 Oct 2026.</t>
        </is>
      </c>
      <c r="H553" s="5" t="inlineStr">
        <is>
          <t>https://www.newburytoday.co.uk/news/vodafone-installs-smartflower-solar-sunflower-on-newbury-c-9211498/</t>
        </is>
      </c>
    </row>
    <row r="554">
      <c r="A554" s="2" t="inlineStr">
        <is>
          <t>544</t>
        </is>
      </c>
      <c r="B554" s="2" t="inlineStr">
        <is>
          <t>CC-032</t>
        </is>
      </c>
      <c r="C554" s="2" t="inlineStr">
        <is>
          <t>SmartFlower installations (UK)</t>
        </is>
      </c>
      <c r="D554" s="2" t="inlineStr">
        <is>
          <t>Green Mole Ltd (dealer)</t>
        </is>
      </c>
      <c r="E554" s="2" t="inlineStr">
        <is>
          <t>n/d</t>
        </is>
      </c>
      <c r="F554" s="2" t="inlineStr">
        <is>
          <t>Dealer page</t>
        </is>
      </c>
      <c r="G554" s="2" t="inlineStr">
        <is>
          <t>17 UK and Jersey installations listed, undated. Dealer's own. Read 6 Oct 2026.</t>
        </is>
      </c>
      <c r="H554" s="5" t="inlineStr">
        <is>
          <t>https://smartflowersolar.co.uk/installations/</t>
        </is>
      </c>
    </row>
    <row r="555">
      <c r="A555" s="2" t="inlineStr">
        <is>
          <t>545</t>
        </is>
      </c>
      <c r="B555" s="2" t="inlineStr">
        <is>
          <t>CC-032</t>
        </is>
      </c>
      <c r="C555" s="2" t="inlineStr">
        <is>
          <t>References</t>
        </is>
      </c>
      <c r="D555" s="2" t="inlineStr">
        <is>
          <t>Smartflower Benelux (dealer)</t>
        </is>
      </c>
      <c r="E555" s="2" t="inlineStr">
        <is>
          <t>n/d</t>
        </is>
      </c>
      <c r="F555" s="2" t="inlineStr">
        <is>
          <t>Dealer page</t>
        </is>
      </c>
      <c r="G555" s="2" t="inlineStr">
        <is>
          <t>Clients in Denmark, Spain, Scotland, UK; undated testimonials. Read 6 Oct 2026.</t>
        </is>
      </c>
      <c r="H555" s="5" t="inlineStr">
        <is>
          <t>https://www.smartflowerbenelux.com/references</t>
        </is>
      </c>
    </row>
    <row r="556">
      <c r="A556" s="2" t="inlineStr">
        <is>
          <t>546</t>
        </is>
      </c>
      <c r="B556" s="2" t="inlineStr">
        <is>
          <t>CC-032</t>
        </is>
      </c>
      <c r="C556" s="2" t="inlineStr">
        <is>
          <t>PVGIS 5.3 PVcalc (PVGIS-SARAH3, 2005-2023)</t>
        </is>
      </c>
      <c r="D556" s="2" t="inlineStr">
        <is>
          <t>European Commission, Joint Research Centre</t>
        </is>
      </c>
      <c r="E556" s="2" t="inlineStr">
        <is>
          <t>run 6 Oct 2026</t>
        </is>
      </c>
      <c r="F556" s="2" t="inlineStr">
        <is>
          <t>Model / dataset</t>
        </is>
      </c>
      <c r="G556" s="2" t="inlineStr">
        <is>
          <t>37.5 kWp at Ta' Xħajma, 14% default loss: 85,121 kWh/yr two-axis; 62,341 fixed optimal. Raw JSON in data/cc-032/.</t>
        </is>
      </c>
      <c r="H556" s="5" t="inlineStr">
        <is>
          <t>https://re.jrc.ec.europa.eu/api/v5_3/PVcalc</t>
        </is>
      </c>
    </row>
    <row r="557">
      <c r="A557" s="2" t="inlineStr">
        <is>
          <t>547</t>
        </is>
      </c>
      <c r="B557" s="2" t="inlineStr">
        <is>
          <t>CC-032</t>
        </is>
      </c>
      <c r="C557" s="2" t="inlineStr">
        <is>
          <t>The effect of latitude on the performance of different solar trackers in Europe and Africa (Bahrami, Okoye, Atikol)</t>
        </is>
      </c>
      <c r="D557" s="2" t="inlineStr">
        <is>
          <t>Applied Energy 177:896-906</t>
        </is>
      </c>
      <c r="E557" s="2" t="inlineStr">
        <is>
          <t>2016</t>
        </is>
      </c>
      <c r="F557" s="2" t="inlineStr">
        <is>
          <t>Peer-reviewed (abstract read)</t>
        </is>
      </c>
      <c r="G557" s="2" t="inlineStr">
        <is>
          <t>doi:10.1016/j.apenergy.2016.05.103, Crossref verified. Dual-axis gain 17.72-31.23% over optimal fixed.</t>
        </is>
      </c>
      <c r="H557" s="5" t="inlineStr">
        <is>
          <t>https://doi.org/10.1016/j.apenergy.2016.05.103</t>
        </is>
      </c>
    </row>
    <row r="558">
      <c r="A558" s="2" t="inlineStr">
        <is>
          <t>548</t>
        </is>
      </c>
      <c r="B558" s="2" t="inlineStr">
        <is>
          <t>CC-032</t>
        </is>
      </c>
      <c r="C558" s="2" t="inlineStr">
        <is>
          <t>National Transport Master Plan 2030: feedback by the GRDA</t>
        </is>
      </c>
      <c r="D558" s="2" t="inlineStr">
        <is>
          <t>Gozo Regional Development Authority</t>
        </is>
      </c>
      <c r="E558" s="2" t="inlineStr">
        <is>
          <t>Dec 2025</t>
        </is>
      </c>
      <c r="F558" s="2" t="inlineStr">
        <is>
          <t>Regulator (primary)</t>
        </is>
      </c>
      <c r="G558" s="2" t="inlineStr">
        <is>
          <t>Ta' Xħajma Park &amp; Ride: six electric buses every 10 minutes; uptake 'remains very low'. Read 6 Oct 2026.</t>
        </is>
      </c>
      <c r="H558" s="5" t="inlineStr">
        <is>
          <t>https://grda.mt/wp-content/uploads/2025/12/National-Transport-Master-Plan-2030.pdf</t>
        </is>
      </c>
    </row>
    <row r="559">
      <c r="A559" s="2" t="inlineStr">
        <is>
          <t>549</t>
        </is>
      </c>
      <c r="B559" s="2" t="inlineStr">
        <is>
          <t>CC-032</t>
        </is>
      </c>
      <c r="C559" s="2" t="inlineStr">
        <is>
          <t>MGP NP 02/2025 and MGP NP 01/2026: operation of the Park and Ride service (notices 142379-2025, 169742-2025, 155274-2026, 183660-2026)</t>
        </is>
      </c>
      <c r="D559" s="2" t="inlineStr">
        <is>
          <t>Tenders Electronic Daily (EU)</t>
        </is>
      </c>
      <c r="E559" s="2" t="inlineStr">
        <is>
          <t>2025-2026</t>
        </is>
      </c>
      <c r="F559" s="2" t="inlineStr">
        <is>
          <t>Procurement record</t>
        </is>
      </c>
      <c r="G559" s="2" t="inlineStr">
        <is>
          <t>Six MGP-owned electric buses, operated by Malta Public Transport. Read through the TED search API 6 Oct 2026.</t>
        </is>
      </c>
      <c r="H559" s="5" t="inlineStr">
        <is>
          <t>https://ted.europa.eu/en/notice/-/detail/183660-2026</t>
        </is>
      </c>
    </row>
    <row r="560">
      <c r="A560" s="2" t="inlineStr">
        <is>
          <t>550</t>
        </is>
      </c>
      <c r="B560" s="2" t="inlineStr">
        <is>
          <t>CC-032</t>
        </is>
      </c>
      <c r="C560" s="2" t="inlineStr">
        <is>
          <t>Electric Buses</t>
        </is>
      </c>
      <c r="D560" s="2" t="inlineStr">
        <is>
          <t>Malta Public Transport</t>
        </is>
      </c>
      <c r="E560" s="2" t="inlineStr">
        <is>
          <t>n/d</t>
        </is>
      </c>
      <c r="F560" s="2" t="inlineStr">
        <is>
          <t>Operator page</t>
        </is>
      </c>
      <c r="G560" s="2" t="inlineStr">
        <is>
          <t>Gozo fleet 21 x 9 m + 8 x 12 m electric buses; depot in the Ta' Xħajma Park &amp; Ride; charging primarily overnight. Read 6 Oct 2026.</t>
        </is>
      </c>
      <c r="H560" s="5" t="inlineStr">
        <is>
          <t>https://www.publictransport.com.mt/travel-information/electric-buses/</t>
        </is>
      </c>
    </row>
    <row r="561">
      <c r="A561" s="2" t="inlineStr">
        <is>
          <t>551</t>
        </is>
      </c>
      <c r="B561" s="2" t="inlineStr">
        <is>
          <t>CC-032</t>
        </is>
      </c>
      <c r="C561" s="2" t="inlineStr">
        <is>
          <t>Route Ta' Xħajma Park and Ride - Mġarr ferry terminal (OSRM)</t>
        </is>
      </c>
      <c r="D561" s="2" t="inlineStr">
        <is>
          <t>OpenStreetMap contributors / OSRM</t>
        </is>
      </c>
      <c r="E561" s="2" t="inlineStr">
        <is>
          <t>retrieved 6 Oct 2026</t>
        </is>
      </c>
      <c r="F561" s="2" t="inlineStr">
        <is>
          <t>Dataset (routing)</t>
        </is>
      </c>
      <c r="G561" s="2" t="inlineStr">
        <is>
          <t>4.35 km and 4.15 km by car routing; data/cc-032/route_osrm.csv.</t>
        </is>
      </c>
      <c r="H561" s="5" t="inlineStr">
        <is>
          <t>https://router.project-osrm.org/</t>
        </is>
      </c>
    </row>
    <row r="562">
      <c r="A562" s="2" t="inlineStr">
        <is>
          <t>552</t>
        </is>
      </c>
      <c r="B562" s="2" t="inlineStr">
        <is>
          <t>CC-032</t>
        </is>
      </c>
      <c r="C562" s="2" t="inlineStr">
        <is>
          <t>Driving and energy profiles of urban bus routes predicted for operation with battery electric buses (Czapla, Sierpiński)</t>
        </is>
      </c>
      <c r="D562" s="2" t="inlineStr">
        <is>
          <t>Energies 16:5706</t>
        </is>
      </c>
      <c r="E562" s="2" t="inlineStr">
        <is>
          <t>2023</t>
        </is>
      </c>
      <c r="F562" s="2" t="inlineStr">
        <is>
          <t>Peer-reviewed (abstract read)</t>
        </is>
      </c>
      <c r="G562" s="2" t="inlineStr">
        <is>
          <t>doi:10.3390/en16155706, Crossref verified. Modelled 1.8-2.1 kWh/km on one Polish route; indicative only.</t>
        </is>
      </c>
      <c r="H562" s="5" t="inlineStr">
        <is>
          <t>https://doi.org/10.3390/en16155706</t>
        </is>
      </c>
    </row>
    <row r="563">
      <c r="A563" s="2" t="inlineStr">
        <is>
          <t>553</t>
        </is>
      </c>
      <c r="B563" s="2" t="inlineStr">
        <is>
          <t>CC-032</t>
        </is>
      </c>
      <c r="C563" s="2" t="inlineStr">
        <is>
          <t>Assessing the sustainability of electric and hybrid buses: a life cycle assessment approach to energy consumption in usage (Li, Horváth, Winkler)</t>
        </is>
      </c>
      <c r="D563" s="2" t="inlineStr">
        <is>
          <t>Energies 18:1545</t>
        </is>
      </c>
      <c r="E563" s="2" t="inlineStr">
        <is>
          <t>2025</t>
        </is>
      </c>
      <c r="F563" s="2" t="inlineStr">
        <is>
          <t>Peer-reviewed (abstract read)</t>
        </is>
      </c>
      <c r="G563" s="2" t="inlineStr">
        <is>
          <t>doi:10.3390/en18061545, Crossref verified. Simulated 1.451 kWh/km; indicative only.</t>
        </is>
      </c>
      <c r="H563" s="5" t="inlineStr">
        <is>
          <t>https://doi.org/10.3390/en18061545</t>
        </is>
      </c>
    </row>
    <row r="564">
      <c r="A564" s="2" t="inlineStr">
        <is>
          <t>554</t>
        </is>
      </c>
      <c r="B564" s="2" t="inlineStr">
        <is>
          <t>CC-032</t>
        </is>
      </c>
      <c r="C564" s="2" t="inlineStr">
        <is>
          <t>CT3013/2024 dual axis solar photovoltaic system for the Public Works Department (award notice 742398-2024)</t>
        </is>
      </c>
      <c r="D564" s="2" t="inlineStr">
        <is>
          <t>Tenders Electronic Daily (EU)</t>
        </is>
      </c>
      <c r="E564" s="2" t="inlineStr">
        <is>
          <t>5 Dec 2024</t>
        </is>
      </c>
      <c r="F564" s="2" t="inlineStr">
        <is>
          <t>Procurement record</t>
        </is>
      </c>
      <c r="G564" s="2" t="inlineStr">
        <is>
          <t>Concluded 3 Dec 2024; Alternative Technologies Ltd; EUR 718,830.07 (estimated 774,376). Matched to the solar flowers by our identification (no site named). Read through the TED search API 6 Oct 2026.</t>
        </is>
      </c>
      <c r="H564" s="5" t="inlineStr">
        <is>
          <t>https://ted.europa.eu/en/notice/-/detail/742398-2024</t>
        </is>
      </c>
    </row>
    <row r="565">
      <c r="A565" s="2" t="inlineStr">
        <is>
          <t>555</t>
        </is>
      </c>
      <c r="B565" s="2" t="inlineStr">
        <is>
          <t>CC-032</t>
        </is>
      </c>
      <c r="C565" s="2" t="inlineStr">
        <is>
          <t>Highs and lows: VAT rate-setting in the European Union (Baert), PE 782.613</t>
        </is>
      </c>
      <c r="D565" s="2" t="inlineStr">
        <is>
          <t>European Parliamentary Research Service</t>
        </is>
      </c>
      <c r="E565" s="2" t="inlineStr">
        <is>
          <t>Jan 2026</t>
        </is>
      </c>
      <c r="F565" s="2" t="inlineStr">
        <is>
          <t>EU report</t>
        </is>
      </c>
      <c r="G565" s="2" t="inlineStr">
        <is>
          <t>Table 3: Malta standard VAT 18% (1 Jul 2025). Read 6 Oct 2026.</t>
        </is>
      </c>
      <c r="H565" s="5" t="inlineStr">
        <is>
          <t>https://www.europarl.europa.eu/RegData/etudes/BRIE/2026/782613/EPRS_BRI(2026)782613_EN.pdf</t>
        </is>
      </c>
    </row>
    <row r="566">
      <c r="A566" s="2" t="inlineStr">
        <is>
          <t>556</t>
        </is>
      </c>
      <c r="B566" s="2" t="inlineStr">
        <is>
          <t>CC-032</t>
        </is>
      </c>
      <c r="C566" s="2" t="inlineStr">
        <is>
          <t>11894/26 ADD 1: annex to the amended Council Implementing Decision on Malta's recovery and resilience plan</t>
        </is>
      </c>
      <c r="D566" s="2" t="inlineStr">
        <is>
          <t>Council of the European Union</t>
        </is>
      </c>
      <c r="E566" s="2" t="inlineStr">
        <is>
          <t>17 Jul 2026</t>
        </is>
      </c>
      <c r="F566" s="2" t="inlineStr">
        <is>
          <t>EU legal document</t>
        </is>
      </c>
      <c r="G566" s="2" t="inlineStr">
        <is>
          <t>C1-I5 'Renewable energy in public spaces': target 143 kWp by Q2 2026 (1.27). Council 15652/25 (19 Nov 2025): C1-I5 amended for supply-chain delays. Read 6 Oct 2026.</t>
        </is>
      </c>
      <c r="H566" s="5" t="inlineStr">
        <is>
          <t>https://data.consilium.europa.eu/doc/document/ST-11894-2026-ADD-1/en/pdf</t>
        </is>
      </c>
    </row>
    <row r="567">
      <c r="A567" s="2" t="inlineStr">
        <is>
          <t>557</t>
        </is>
      </c>
      <c r="B567" s="2" t="inlineStr">
        <is>
          <t>CC-032</t>
        </is>
      </c>
      <c r="C567" s="2" t="inlineStr">
        <is>
          <t>In der Umwelt Arena erzeugen sogar Blumen Elektrizität</t>
        </is>
      </c>
      <c r="D567" s="2" t="inlineStr">
        <is>
          <t>Moneycab (text credited to the Umwelt Arena)</t>
        </is>
      </c>
      <c r="E567" s="2" t="inlineStr">
        <is>
          <t>19 May 2015</t>
        </is>
      </c>
      <c r="F567" s="2" t="inlineStr">
        <is>
          <t>News (business site; the arena's own text)</t>
        </is>
      </c>
      <c r="G567" s="2" t="inlineStr">
        <is>
          <t>Two smartflowers newly installed at the Umwelt Arena, Spreitenbach, Switzerland. Published 19 May 2015 05:55 UTC. Read in full 6 Oct 2026.</t>
        </is>
      </c>
      <c r="H567" s="5" t="inlineStr">
        <is>
          <t>https://www.moneycab.com/dossiers/in-der-umwelt-arena-erzeugen-sogar-blumen-elektrizitaet/amp/</t>
        </is>
      </c>
    </row>
    <row r="568">
      <c r="A568" s="2" t="inlineStr">
        <is>
          <t>558</t>
        </is>
      </c>
      <c r="B568" s="2" t="inlineStr">
        <is>
          <t>CC-032</t>
        </is>
      </c>
      <c r="C568" s="2" t="inlineStr">
        <is>
          <t>Nuevo sistema fotovoltaico para la recarga de vehículos eléctricos</t>
        </is>
      </c>
      <c r="D568" s="2" t="inlineStr">
        <is>
          <t>smartgridsinfo.es</t>
        </is>
      </c>
      <c r="E568" s="2" t="inlineStr">
        <is>
          <t>28 Jan 2016</t>
        </is>
      </c>
      <c r="F568" s="2" t="inlineStr">
        <is>
          <t>News (trade)</t>
        </is>
      </c>
      <c r="G568" s="2" t="inlineStr">
        <is>
          <t>Smartflower presented 'smartflower POP-e', an all-in-one PV unit with an EV charging station (up to 22 kW), pitched at public administrations and companies. A product presentation, not a dated installation. Read in full 6 Oct 2026.</t>
        </is>
      </c>
      <c r="H568" s="5" t="inlineStr">
        <is>
          <t>https://www.smartgridsinfo.es/2016/01/28/nuevo-sistema-fotovoltaico-para-la-recarga-de-vehiculos-electricos</t>
        </is>
      </c>
    </row>
    <row r="569">
      <c r="A569" s="2" t="inlineStr">
        <is>
          <t>559</t>
        </is>
      </c>
      <c r="B569" s="2" t="inlineStr">
        <is>
          <t>CC-114</t>
        </is>
      </c>
      <c r="C569" s="2" t="inlineStr">
        <is>
          <t>Malta l-uniku Stat Membru tal-UE li żied l-intensità tal-emissjonijiet tiegħu mill-2013 ’l hawn</t>
        </is>
      </c>
      <c r="D569" s="2" t="inlineStr">
        <is>
          <t>Partit Nazzjonalista</t>
        </is>
      </c>
      <c r="E569" s="2" t="inlineStr">
        <is>
          <t>2026-01-26</t>
        </is>
      </c>
      <c r="F569" s="2" t="inlineStr">
        <is>
          <t>Party statement (read)</t>
        </is>
      </c>
      <c r="G569" s="2" t="inlineStr">
        <is>
          <t>The claim. Press release in Maltese signed by Eve Borg Bonello (Shadow Minister for Climate Change and Public Cleanliness); read in full 6 Oct 2026, located through the site's press-release sitemap (HTTP 200 with a browser User-Agent). Page modified 24 Apr 2026; text matches Newsbook's quotes of 26 Jan. Translation ours.</t>
        </is>
      </c>
      <c r="H569" s="5" t="inlineStr">
        <is>
          <t>https://pn.org.mt/press-releases/malta-l-uniku-stat-membru-tal-ue-li-zied-l-intenstita-tal-emissjonijiet-tieghu-mill-2013-l-hawn/</t>
        </is>
      </c>
    </row>
    <row r="570">
      <c r="A570" s="2" t="inlineStr">
        <is>
          <t>560</t>
        </is>
      </c>
      <c r="B570" s="2" t="inlineStr">
        <is>
          <t>CC-114</t>
        </is>
      </c>
      <c r="C570" s="2" t="inlineStr">
        <is>
          <t>2024 EU greenhouse gas emissions: -20% since 2013</t>
        </is>
      </c>
      <c r="D570" s="2" t="inlineStr">
        <is>
          <t>Eurostat</t>
        </is>
      </c>
      <c r="E570" s="2" t="inlineStr">
        <is>
          <t>2026-01-23</t>
        </is>
      </c>
      <c r="F570" s="2" t="inlineStr">
        <is>
          <t>Official statistics (text)</t>
        </is>
      </c>
      <c r="G570" s="2" t="inlineStr">
        <is>
          <t>News item; read in full 6 Oct 2026. 'Only Malta (+17%) saw its emissions intensity increase since 2013'; EU -34%; source dataset env_ac_aeint_r2. That it is the release's source is our identification (dates, figures, map, definition match).</t>
        </is>
      </c>
      <c r="H570" s="5" t="inlineStr">
        <is>
          <t>https://ec.europa.eu/eurostat/web/products-eurostat-news/w/ddn-20260123-1</t>
        </is>
      </c>
    </row>
    <row r="571">
      <c r="A571" s="2" t="inlineStr">
        <is>
          <t>561</t>
        </is>
      </c>
      <c r="B571" s="2" t="inlineStr">
        <is>
          <t>CC-114</t>
        </is>
      </c>
      <c r="C571" s="2" t="inlineStr">
        <is>
          <t>Greenhouse gas emissions intensity of gross value added, 2013-2024 (map)</t>
        </is>
      </c>
      <c r="D571" s="2" t="inlineStr">
        <is>
          <t>Eurostat</t>
        </is>
      </c>
      <c r="E571" s="2" t="inlineStr">
        <is>
          <t>2026-01-20</t>
        </is>
      </c>
      <c r="F571" s="2" t="inlineStr">
        <is>
          <t>Map data</t>
        </is>
      </c>
      <c r="G571" s="2" t="inlineStr">
        <is>
          <t>Map in the news item of 23 Jan 2026; data block embedded in the file, extracted by tools/cc-114-report/fetch.py to data/cc-114/eurostat_map_jan2026.csv (January vintage: Malta +16.6, EU -34.0).</t>
        </is>
      </c>
      <c r="H571" s="5" t="inlineStr">
        <is>
          <t>https://ec.europa.eu/eurostat/documents/4187653/22762673/greenhouse-gas-emissions-intensity-2013-2024.html/98651795-bcd1-3b5a-b273-7da9727ee5f3?t=1768906967687</t>
        </is>
      </c>
    </row>
    <row r="572">
      <c r="A572" s="2" t="inlineStr">
        <is>
          <t>562</t>
        </is>
      </c>
      <c r="B572" s="2" t="inlineStr">
        <is>
          <t>CC-114</t>
        </is>
      </c>
      <c r="C572" s="2" t="inlineStr">
        <is>
          <t>Greenhouse gas emission accounts (Statistics Explained)</t>
        </is>
      </c>
      <c r="D572" s="2" t="inlineStr">
        <is>
          <t>Eurostat</t>
        </is>
      </c>
      <c r="E572" s="2" t="inlineStr">
        <is>
          <t>2026-06</t>
        </is>
      </c>
      <c r="F572" s="2" t="inlineStr">
        <is>
          <t>Official statistics (text)</t>
        </is>
      </c>
      <c r="G572" s="2" t="inlineStr">
        <is>
          <t>Data extracted June 2026; PDF read in full 6 Oct 2026; open access, CC BY 4.0 (copy in literature/CC-114/open-access/). Still says 'Only Malta (+17%)'; transport companies' emissions allocated to the country of residence; intensity has many drivers besides policy.</t>
        </is>
      </c>
      <c r="H572" s="5" t="inlineStr">
        <is>
          <t>https://ec.europa.eu/eurostat/statistics-explained/index.php?title=Greenhouse_gas_emission_accounts</t>
        </is>
      </c>
    </row>
    <row r="573">
      <c r="A573" s="2" t="inlineStr">
        <is>
          <t>563</t>
        </is>
      </c>
      <c r="B573" s="2" t="inlineStr">
        <is>
          <t>CC-114</t>
        </is>
      </c>
      <c r="C573" s="2" t="inlineStr">
        <is>
          <t>Air emissions accounts: intensities (env_ac_aeint_r2) and bridging to inventory totals (env_ac_aibrid_r2)</t>
        </is>
      </c>
      <c r="D573" s="2" t="inlineStr">
        <is>
          <t>Eurostat</t>
        </is>
      </c>
      <c r="E573" s="2" t="inlineStr">
        <is>
          <t>updated 7 Aug 2026</t>
        </is>
      </c>
      <c r="F573" s="2" t="inlineStr">
        <is>
          <t>Official statistics (primary)</t>
        </is>
      </c>
      <c r="G573" s="2" t="inlineStr">
        <is>
          <t>Retrieved 6 Oct 2026 via API with status flags (data/cc-114/); Malta's and the EU-27's 2024 values flagged i (imputed by Eurostat). Residence principle. Emissions by activity (env_ac_ainah_r2) are Ref 264.</t>
        </is>
      </c>
      <c r="H573" s="5" t="inlineStr">
        <is>
          <t>https://ec.europa.eu/eurostat/databrowser/view/env_ac_aeint_r2/default/table</t>
        </is>
      </c>
    </row>
    <row r="574">
      <c r="A574" s="2" t="inlineStr">
        <is>
          <t>564</t>
        </is>
      </c>
      <c r="B574" s="2" t="inlineStr">
        <is>
          <t>CC-114</t>
        </is>
      </c>
      <c r="C574" s="2" t="inlineStr">
        <is>
          <t>Air emissions accounts by NACE Rev. 2 activity: reference metadata (ESMS)</t>
        </is>
      </c>
      <c r="D574" s="2" t="inlineStr">
        <is>
          <t>Eurostat</t>
        </is>
      </c>
      <c r="E574" s="2" t="inlineStr">
        <is>
          <t>n/d</t>
        </is>
      </c>
      <c r="F574" s="2" t="inlineStr">
        <is>
          <t>Official metadata</t>
        </is>
      </c>
      <c r="G574" s="2" t="inlineStr">
        <is>
          <t>Read 6 Oct 2026: residence principle ('regardless of where these emissions actually occur geographically'); Eurostat estimates the year after the last reported.</t>
        </is>
      </c>
      <c r="H574" s="5" t="inlineStr">
        <is>
          <t>https://ec.europa.eu/eurostat/cache/metadata/en/env_ac_ainah_r2_sims.htm</t>
        </is>
      </c>
    </row>
    <row r="575">
      <c r="A575" s="2" t="inlineStr">
        <is>
          <t>565</t>
        </is>
      </c>
      <c r="B575" s="2" t="inlineStr">
        <is>
          <t>CC-114</t>
        </is>
      </c>
      <c r="C575" s="2" t="inlineStr">
        <is>
          <t>Air emissions accounts: national reference metadata, Malta</t>
        </is>
      </c>
      <c r="D575" s="2" t="inlineStr">
        <is>
          <t>National Statistics Office, Malta (via Eurostat)</t>
        </is>
      </c>
      <c r="E575" s="2" t="inlineStr">
        <is>
          <t>2026-02-11</t>
        </is>
      </c>
      <c r="F575" s="2" t="inlineStr">
        <is>
          <t>Official metadata</t>
        </is>
      </c>
      <c r="G575" s="2" t="inlineStr">
        <is>
          <t>Read in full 6 Oct 2026: 2023 jump in air transport (H51) due to 'airlines which started operating during 2023'; OECD residence-based aviation source; charter flights 2013-2018 estimated by NSO and revised Feb 2026; data provisional.</t>
        </is>
      </c>
      <c r="H575" s="5" t="inlineStr">
        <is>
          <t>https://ec.europa.eu/eurostat/cache/metadata/en/env_ac_ainah_r2_simsae_mt.htm</t>
        </is>
      </c>
    </row>
    <row r="576">
      <c r="A576" s="2" t="inlineStr">
        <is>
          <t>566</t>
        </is>
      </c>
      <c r="B576" s="2" t="inlineStr">
        <is>
          <t>CC-114</t>
        </is>
      </c>
      <c r="C576" s="2" t="inlineStr">
        <is>
          <t>Gross value added by NACE activity (nama_10_a64); population (nama_10_pe)</t>
        </is>
      </c>
      <c r="D576" s="2" t="inlineStr">
        <is>
          <t>Eurostat</t>
        </is>
      </c>
      <c r="E576" s="2" t="inlineStr">
        <is>
          <t>updated 6 Oct 2026</t>
        </is>
      </c>
      <c r="F576" s="2" t="inlineStr">
        <is>
          <t>Official statistics (primary)</t>
        </is>
      </c>
      <c r="G576" s="2" t="inlineStr">
        <is>
          <t>Retrieved 6 Oct 2026 via API (data/cc-114/); Malta H51 GVA negative in volumes 2022-2024 and not published for 2013.</t>
        </is>
      </c>
      <c r="H576" s="5" t="inlineStr">
        <is>
          <t>https://ec.europa.eu/eurostat/databrowser/view/nama_10_a64/default/table</t>
        </is>
      </c>
    </row>
    <row r="577">
      <c r="A577" s="2" t="inlineStr">
        <is>
          <t>567</t>
        </is>
      </c>
      <c r="B577" s="2" t="inlineStr">
        <is>
          <t>CC-114</t>
        </is>
      </c>
      <c r="C577" s="2" t="inlineStr">
        <is>
          <t>Carbon emission accounting in MRIO models: the territory vs. the residence principle (Usubiaga and Acosta-Fernández)</t>
        </is>
      </c>
      <c r="D577" s="2" t="inlineStr">
        <is>
          <t>Economic Systems Research 27(4):458-477</t>
        </is>
      </c>
      <c r="E577" s="2" t="inlineStr">
        <is>
          <t>2015</t>
        </is>
      </c>
      <c r="F577" s="2" t="inlineStr">
        <is>
          <t>Peer-reviewed (abstract)</t>
        </is>
      </c>
      <c r="G577" s="2" t="inlineStr">
        <is>
          <t>doi:10.1080/09535314.2015.1049126, verified in Crossref 6 Oct 2026; abstract read (OpenAlex); closed access. Residence and territorial accounts differ by large and growing amounts.</t>
        </is>
      </c>
      <c r="H577" s="5" t="inlineStr">
        <is>
          <t>https://doi.org/10.1080/09535314.2015.1049126</t>
        </is>
      </c>
    </row>
    <row r="578">
      <c r="A578" s="2" t="inlineStr">
        <is>
          <t>568</t>
        </is>
      </c>
      <c r="B578" s="2" t="inlineStr">
        <is>
          <t>CC-114</t>
        </is>
      </c>
      <c r="C578" s="2" t="inlineStr">
        <is>
          <t>25.2% of energy EU used in 2024 came from renewables</t>
        </is>
      </c>
      <c r="D578" s="2" t="inlineStr">
        <is>
          <t>Eurostat</t>
        </is>
      </c>
      <c r="E578" s="2" t="inlineStr">
        <is>
          <t>2025-12-18</t>
        </is>
      </c>
      <c r="F578" s="2" t="inlineStr">
        <is>
          <t>Official statistics (text)</t>
        </is>
      </c>
      <c r="G578" s="2" t="inlineStr">
        <is>
          <t>News item read in full (text) 6 Oct 2026: EU 25.2%; lowest shares Belgium 14.3%, Luxembourg 14.7%, Ireland 16.1%; names no value for Malta. Shows Malta was not third from last in the release published before the PN's (Malta 17.2%, fourth from last, in nrg_ind_ren). Transcribed in data/cc-114/eurostat_ren_news_dec2025.csv.</t>
        </is>
      </c>
      <c r="H578" s="5" t="inlineStr">
        <is>
          <t>https://ec.europa.eu/eurostat/web/products-eurostat-news/w/ddn-20251218-2</t>
        </is>
      </c>
    </row>
    <row r="579">
      <c r="A579" s="2" t="inlineStr">
        <is>
          <t>569</t>
        </is>
      </c>
      <c r="B579" s="2" t="inlineStr">
        <is>
          <t>CC-113</t>
        </is>
      </c>
      <c r="C579" s="2" t="inlineStr">
        <is>
          <t>Fossil fuel subsidies as a share of GDP 2023; Fossil fuel subsidies in EU Member States 2015 and 2023; by energy vector (EEA chart pages and data packages)</t>
        </is>
      </c>
      <c r="D579" s="2" t="inlineStr">
        <is>
          <t>European Environment Agency</t>
        </is>
      </c>
      <c r="E579" s="2" t="inlineStr">
        <is>
          <t>29 Jan 2025</t>
        </is>
      </c>
      <c r="F579" s="2" t="inlineStr">
        <is>
          <t>Dataset (chart data)</t>
        </is>
      </c>
      <c r="G579" s="2" t="inlineStr">
        <is>
          <t>Malta 3.37%, Poland 2.09%, Slovakia 1.51%, EU-27 0.66% (2023, provisional: 2022 values for about 7% of total). Retrieved 6 Oct 2026; data/cc-113/eea_*.csv.</t>
        </is>
      </c>
      <c r="H579" s="5" t="inlineStr">
        <is>
          <t>https://www.eea.europa.eu/en/analysis/indicators/fossil-fuel-subsidies/fossil-fuel-subsidies-as</t>
        </is>
      </c>
    </row>
    <row r="580">
      <c r="A580" s="2" t="inlineStr">
        <is>
          <t>570</t>
        </is>
      </c>
      <c r="B580" s="2" t="inlineStr">
        <is>
          <t>CC-113</t>
        </is>
      </c>
      <c r="C580" s="2" t="inlineStr">
        <is>
          <t>Fossil fuel subsidies in Europe: browser-printed copy (8th EAP monitoring publication)</t>
        </is>
      </c>
      <c r="D580" s="2" t="inlineStr">
        <is>
          <t>European Environment Agency</t>
        </is>
      </c>
      <c r="E580" s="2" t="inlineStr">
        <is>
          <t>3 Feb 2025</t>
        </is>
      </c>
      <c r="F580" s="2" t="inlineStr">
        <is>
          <t>Primary (read)</t>
        </is>
      </c>
      <c r="G580" s="2" t="inlineStr">
        <is>
          <t>Fixed copy made 5 days after publication; same sentence word for word. SHA-256 in literature/CC-113/notes.md.</t>
        </is>
      </c>
      <c r="H580" s="5" t="inlineStr">
        <is>
          <t>https://www.eea.europa.eu/en/analysis/publications/monitoring-progress-towards-8th-eap-objectives/indicators/19-fossil-fuel-subsidies/@@download/file</t>
        </is>
      </c>
    </row>
    <row r="581">
      <c r="A581" s="2" t="inlineStr">
        <is>
          <t>571</t>
        </is>
      </c>
      <c r="B581" s="2" t="inlineStr">
        <is>
          <t>CC-113</t>
        </is>
      </c>
      <c r="C581" s="2" t="inlineStr">
        <is>
          <t>Monitoring report on progress towards the 8th EAP objectives 2025: indicator 19, fossil fuel subsidies (PDF)</t>
        </is>
      </c>
      <c r="D581" s="2" t="inlineStr">
        <is>
          <t>European Environment Agency</t>
        </is>
      </c>
      <c r="E581" s="2" t="inlineStr">
        <is>
          <t>26 Nov 2025</t>
        </is>
      </c>
      <c r="F581" s="2" t="inlineStr">
        <is>
          <t>Primary (read)</t>
        </is>
      </c>
      <c r="G581" s="2" t="inlineStr">
        <is>
          <t>Same sentence word for word. SHA-256 in literature/CC-113/notes.md.</t>
        </is>
      </c>
      <c r="H581" s="5" t="inlineStr">
        <is>
          <t>https://www.eea.europa.eu/en/analysis/publications/monitoring-report-on-progress-towards-the-8th-eap-objectives-2025/indicators/19-fossil-fuel-subsidies_indicator.pdf/@@download/file</t>
        </is>
      </c>
    </row>
    <row r="582">
      <c r="A582" s="2" t="inlineStr">
        <is>
          <t>572</t>
        </is>
      </c>
      <c r="B582" s="2" t="inlineStr">
        <is>
          <t>CC-113</t>
        </is>
      </c>
      <c r="C582" s="2" t="inlineStr">
        <is>
          <t>Europe's environment 2025, Malta: fossil fuel subsidies (chart)</t>
        </is>
      </c>
      <c r="D582" s="2" t="inlineStr">
        <is>
          <t>European Environment Agency</t>
        </is>
      </c>
      <c r="E582" s="2" t="inlineStr">
        <is>
          <t>29 Sep 2025</t>
        </is>
      </c>
      <c r="F582" s="2" t="inlineStr">
        <is>
          <t>Dataset (chart data)</t>
        </is>
      </c>
      <c r="G582" s="2" t="inlineStr">
        <is>
          <t>Malta's share of GDP 2015-2023 (0.09% to 3.37%); values equal the Commission inventory's, though the page names Eurostat GDP.</t>
        </is>
      </c>
      <c r="H582" s="5" t="inlineStr">
        <is>
          <t>https://www.eea.europa.eu/en/europe-environment-2025/countries/malta/fossil-fuel-subsidies</t>
        </is>
      </c>
    </row>
    <row r="583">
      <c r="A583" s="2" t="inlineStr">
        <is>
          <t>573</t>
        </is>
      </c>
      <c r="B583" s="2" t="inlineStr">
        <is>
          <t>CC-113</t>
        </is>
      </c>
      <c r="C583" s="2" t="inlineStr">
        <is>
          <t>Inventory of energy subsidies in the EU27, 2024 edition (subsidy database, xlsx)</t>
        </is>
      </c>
      <c r="D583" s="2" t="inlineStr">
        <is>
          <t>European Commission (DG ENER; Enerdata, Trinomics)</t>
        </is>
      </c>
      <c r="E583" s="2" t="inlineStr">
        <is>
          <t>6 Sep 2024</t>
        </is>
      </c>
      <c r="F583" s="2" t="inlineStr">
        <is>
          <t>Dataset</t>
        </is>
      </c>
      <c r="G583" s="2" t="inlineStr">
        <is>
          <t>The database behind the EEA indicator, published with COM(2025) 17; file modified 9 Apr 2025 (after the report), SHA-256 in data/cc-113/raw_files_sha256.csv; every EEA share reproduced. Workbook notice: (c) Copyright Enerdata, reproduction and diffusion prohibited without written permission, so measure rows are not committed (country totals and five Malta figures only). Download address: https://circabc.europa.eu/rest/download/4e6f2b2c-702b-429b-bb19-7aeb48f28f58. Retrieved 6 Oct 2026.</t>
        </is>
      </c>
      <c r="H583" s="5" t="inlineStr">
        <is>
          <t>https://circabc.europa.eu/ui/group/8f5f9424-a7ef-4dbf-b914-1af1d12ff5d2/library/4e6f2b2c-702b-429b-bb19-7aeb48f28f58/details</t>
        </is>
      </c>
    </row>
    <row r="584">
      <c r="A584" s="2" t="inlineStr">
        <is>
          <t>574</t>
        </is>
      </c>
      <c r="B584" s="2" t="inlineStr">
        <is>
          <t>CC-113</t>
        </is>
      </c>
      <c r="C584" s="2" t="inlineStr">
        <is>
          <t>2024 Report on Energy subsidies in the EU, COM(2025) 17 final (Figure 16, footnote 6)</t>
        </is>
      </c>
      <c r="D584" s="2" t="inlineStr">
        <is>
          <t>European Commission</t>
        </is>
      </c>
      <c r="E584" s="2" t="inlineStr">
        <is>
          <t>28 Jan 2025</t>
        </is>
      </c>
      <c r="F584" s="2" t="inlineStr">
        <is>
          <t>Official report (full text read)</t>
        </is>
      </c>
      <c r="G584" s="2" t="inlineStr">
        <is>
          <t>Read 6 Oct 2026 from the EU Publications Office (EUR-Lex returns 202 with an empty body to scripts). Dated Brussels 28.1.2025. Figure 16 (2023 shares of GDP) is a chart with no table: measured by pixel, MT 3.37, PL 2.09, SK 1.51, HR 1.15 (+/-0.01), equal to the CIRCABC file within 0.001 points for the ten largest bars. Footnote 6: 'To be confirmed' data were 8% of the 2023 total.</t>
        </is>
      </c>
      <c r="H584" s="5" t="inlineStr">
        <is>
          <t>http://publications.europa.eu/resource/cellar/7150e5a9-dd6f-11ef-be2a-01aa75ed71a1.0017.03/DOC_1</t>
        </is>
      </c>
    </row>
    <row r="585">
      <c r="A585" s="2" t="inlineStr">
        <is>
          <t>575</t>
        </is>
      </c>
      <c r="B585" s="2" t="inlineStr">
        <is>
          <t>CC-113</t>
        </is>
      </c>
      <c r="C585" s="2" t="inlineStr">
        <is>
          <t>9th report on the state of the energy union (page listing the energy subsidies report COM/2025/17 and the subsidy database)</t>
        </is>
      </c>
      <c r="D585" s="2" t="inlineStr">
        <is>
          <t>European Commission, DG ENER</t>
        </is>
      </c>
      <c r="E585" s="2" t="inlineStr">
        <is>
          <t>29 Jan 2025</t>
        </is>
      </c>
      <c r="F585" s="2" t="inlineStr">
        <is>
          <t>Official page (read)</t>
        </is>
      </c>
      <c r="G585" s="2" t="inlineStr">
        <is>
          <t>Read 6 Oct 2026 (modified 30 Jul 2026). Lists 'Energy subsidies report (COM/2025/17), and the subsidy database (xl file)' and links to the CIRCABC file: shows the database is the one published with the report.</t>
        </is>
      </c>
      <c r="H585" s="5" t="inlineStr">
        <is>
          <t>https://energy.ec.europa.eu/strategy/energy-union/ninth-report-state-energy-union_en</t>
        </is>
      </c>
    </row>
    <row r="586">
      <c r="A586" s="2" t="inlineStr">
        <is>
          <t>576</t>
        </is>
      </c>
      <c r="B586" s="2" t="inlineStr">
        <is>
          <t>CC-113</t>
        </is>
      </c>
      <c r="C586" s="2" t="inlineStr">
        <is>
          <t>Energy subsidies report shows progress in 2023</t>
        </is>
      </c>
      <c r="D586" s="2" t="inlineStr">
        <is>
          <t>European Commission, DG ENER</t>
        </is>
      </c>
      <c r="E586" s="2" t="inlineStr">
        <is>
          <t>29 Jan 2025</t>
        </is>
      </c>
      <c r="F586" s="2" t="inlineStr">
        <is>
          <t>News (official)</t>
        </is>
      </c>
      <c r="G586" s="2" t="inlineStr">
        <is>
          <t>Read 6 Oct 2026. FFS EUR 111bn in 2023.</t>
        </is>
      </c>
      <c r="H586" s="5" t="inlineStr">
        <is>
          <t>https://energy.ec.europa.eu/news/energy-subsidies-report-shows-progress-2023-2025-01-29_en</t>
        </is>
      </c>
    </row>
    <row r="587">
      <c r="A587" s="2" t="inlineStr">
        <is>
          <t>577</t>
        </is>
      </c>
      <c r="B587" s="2" t="inlineStr">
        <is>
          <t>CC-113</t>
        </is>
      </c>
      <c r="C587" s="2" t="inlineStr">
        <is>
          <t>Report on energy subsidies in the EU, COM(2026) 472 final (Council document ST 13343/26)</t>
        </is>
      </c>
      <c r="D587" s="2" t="inlineStr">
        <is>
          <t>European Commission</t>
        </is>
      </c>
      <c r="E587" s="2" t="inlineStr">
        <is>
          <t>17 Sep 2026</t>
        </is>
      </c>
      <c r="F587" s="2" t="inlineStr">
        <is>
          <t>Official report (full text read)</t>
        </is>
      </c>
      <c r="G587" s="2" t="inlineStr">
        <is>
          <t>Read in full 6 Oct 2026. FFS 2023 revised to EUR 121bn (2024 prices); Figure 15 (Council PDF p.14): Malta highest FFS per unit of GDP in 2024 (about 0.018, read from the chart).</t>
        </is>
      </c>
      <c r="H587" s="5" t="inlineStr">
        <is>
          <t>https://data.consilium.europa.eu/doc/document/ST-13343-2026-INIT/en/pdf</t>
        </is>
      </c>
    </row>
    <row r="588">
      <c r="A588" s="2" t="inlineStr">
        <is>
          <t>578</t>
        </is>
      </c>
      <c r="B588" s="2" t="inlineStr">
        <is>
          <t>CC-113</t>
        </is>
      </c>
      <c r="C588" s="2" t="inlineStr">
        <is>
          <t>Fossil Fuel Subsidies in EU Member States - Trends and Analytical Challenges (European Economy Discussion Paper 214)</t>
        </is>
      </c>
      <c r="D588" s="2" t="inlineStr">
        <is>
          <t>European Commission, DG ECFIN (Nill, J.)</t>
        </is>
      </c>
      <c r="E588" s="2" t="inlineStr">
        <is>
          <t>Dec 2024</t>
        </is>
      </c>
      <c r="F588" s="2" t="inlineStr">
        <is>
          <t>Discussion paper (full text read)</t>
        </is>
      </c>
      <c r="G588" s="2" t="inlineStr">
        <is>
          <t>Definitions side by side, printed pp. 6-8. doi:10.2765/28177 (registered with the EU Publications Office; checked at doi.org). Author's views.</t>
        </is>
      </c>
      <c r="H588" s="5" t="inlineStr">
        <is>
          <t>https://economy-finance.ec.europa.eu/document/download/0ae8556a-14a3-4ac9-840f-7f86a5c58521_en?filename=dp214_en.pdf</t>
        </is>
      </c>
    </row>
    <row r="589">
      <c r="A589" s="2" t="inlineStr">
        <is>
          <t>579</t>
        </is>
      </c>
      <c r="B589" s="2" t="inlineStr">
        <is>
          <t>CC-113</t>
        </is>
      </c>
      <c r="C589" s="2" t="inlineStr">
        <is>
          <t>Malta: Draft Budgetary Plan 2024</t>
        </is>
      </c>
      <c r="D589" s="2" t="inlineStr">
        <is>
          <t>Government of Malta</t>
        </is>
      </c>
      <c r="E589" s="2" t="inlineStr">
        <is>
          <t>Oct 2023</t>
        </is>
      </c>
      <c r="F589" s="2" t="inlineStr">
        <is>
          <t>Official document</t>
        </is>
      </c>
      <c r="G589" s="2" t="inlineStr">
        <is>
          <t>Read 6 Oct 2026. Section 3.1, PDF p.34: energy support 1.7% of GDP in 2023 (expected), 0.8 pp lower than 2022.</t>
        </is>
      </c>
      <c r="H589" s="5" t="inlineStr">
        <is>
          <t>https://economy-finance.ec.europa.eu/document/download/4edb4e16-f5c7-4443-ba70-dc3c0dc4099b_en?filename=2024_dbp_mt_en.pdf</t>
        </is>
      </c>
    </row>
    <row r="590">
      <c r="A590" s="2" t="inlineStr">
        <is>
          <t>580</t>
        </is>
      </c>
      <c r="B590" s="2" t="inlineStr">
        <is>
          <t>CC-113</t>
        </is>
      </c>
      <c r="C590" s="2" t="inlineStr">
        <is>
          <t>Malta: Draft Budgetary Plan 2025</t>
        </is>
      </c>
      <c r="D590" s="2" t="inlineStr">
        <is>
          <t>Government of Malta</t>
        </is>
      </c>
      <c r="E590" s="2" t="inlineStr">
        <is>
          <t>Oct 2024</t>
        </is>
      </c>
      <c r="F590" s="2" t="inlineStr">
        <is>
          <t>Official document</t>
        </is>
      </c>
      <c r="G590" s="2" t="inlineStr">
        <is>
          <t>Read 6 Oct 2026. PDF p.40: energy and basic-commodity support 0.72% of GDP in 2025, 0.15 pp below 2024.</t>
        </is>
      </c>
      <c r="H590" s="5" t="inlineStr">
        <is>
          <t>https://economy-finance.ec.europa.eu/document/download/8d77183d-aad8-464a-9c97-8baded7f13a8_en?filename=2025_dbp_mt_en.pdf</t>
        </is>
      </c>
    </row>
    <row r="591">
      <c r="A591" s="2" t="inlineStr">
        <is>
          <t>581</t>
        </is>
      </c>
      <c r="B591" s="2" t="inlineStr">
        <is>
          <t>CC-113</t>
        </is>
      </c>
      <c r="C591" s="2" t="inlineStr">
        <is>
          <t>IMF Fossil Fuel Subsidies Data: 2023 Update (Climate Data dashboard)</t>
        </is>
      </c>
      <c r="D591" s="2" t="inlineStr">
        <is>
          <t>International Monetary Fund (Black, Liu, Parry, Vernon-Lin)</t>
        </is>
      </c>
      <c r="E591" s="2" t="inlineStr">
        <is>
          <t>Aug 2023</t>
        </is>
      </c>
      <c r="F591" s="2" t="inlineStr">
        <is>
          <t>Dataset</t>
        </is>
      </c>
      <c r="G591" s="2" t="inlineStr">
        <is>
          <t>Price-gap method. Malta explicit subsidies zero in every year. doi:10.5089/9798400249006.001 (Crossref checked). Retrieved 6 Oct 2026; data/cc-113/imf_ffs_eu27.csv.</t>
        </is>
      </c>
      <c r="H591" s="5" t="inlineStr">
        <is>
          <t>https://climatedata.imf.org/datasets/d48cfd2124954fb0900cef95f2db2724_0</t>
        </is>
      </c>
    </row>
    <row r="592">
      <c r="A592" s="2" t="inlineStr">
        <is>
          <t>582</t>
        </is>
      </c>
      <c r="B592" s="2" t="inlineStr">
        <is>
          <t>CC-113</t>
        </is>
      </c>
      <c r="C592" s="2" t="inlineStr">
        <is>
          <t>Fossil Fuel Subsidy Tracker, country data (2024 update)</t>
        </is>
      </c>
      <c r="D592" s="2" t="inlineStr">
        <is>
          <t>OECD and IISD</t>
        </is>
      </c>
      <c r="E592" s="2" t="inlineStr">
        <is>
          <t>Jan 2026</t>
        </is>
      </c>
      <c r="F592" s="2" t="inlineStr">
        <is>
          <t>Dataset</t>
        </is>
      </c>
      <c r="G592" s="2" t="inlineStr">
        <is>
          <t>Malta rows come only from IMF estimates (zero). Retrieved 6 Oct 2026.</t>
        </is>
      </c>
      <c r="H592" s="5" t="inlineStr">
        <is>
          <t>https://fossilfuelsubsidytracker.org/country/</t>
        </is>
      </c>
    </row>
    <row r="593">
      <c r="A593" s="2" t="inlineStr">
        <is>
          <t>583</t>
        </is>
      </c>
      <c r="B593" s="2" t="inlineStr">
        <is>
          <t>CC-113</t>
        </is>
      </c>
      <c r="C593" s="2" t="inlineStr">
        <is>
          <t>Government revenue, expenditure and main aggregates (gov_10a_main), subsidies D.3, Malta</t>
        </is>
      </c>
      <c r="D593" s="2" t="inlineStr">
        <is>
          <t>Eurostat</t>
        </is>
      </c>
      <c r="E593" s="2" t="inlineStr">
        <is>
          <t>21 Jul 2026</t>
        </is>
      </c>
      <c r="F593" s="2" t="inlineStr">
        <is>
          <t>Independent dataset</t>
        </is>
      </c>
      <c r="G593" s="2" t="inlineStr">
        <is>
          <t>Retrieved 6 Oct 2026 by API (data/cc-113/). All-purpose subsidies EUR 824m (2022), 660m (2023).</t>
        </is>
      </c>
      <c r="H593" s="5" t="inlineStr">
        <is>
          <t>https://ec.europa.eu/eurostat/databrowser/view/gov_10a_main/default/table</t>
        </is>
      </c>
    </row>
    <row r="594">
      <c r="A594" s="2" t="inlineStr">
        <is>
          <t>584</t>
        </is>
      </c>
      <c r="B594" s="2" t="inlineStr">
        <is>
          <t>CC-113</t>
        </is>
      </c>
      <c r="C594" s="2" t="inlineStr">
        <is>
          <t>2024 Country Report - Malta, SWD(2024) 618 final</t>
        </is>
      </c>
      <c r="D594" s="2" t="inlineStr">
        <is>
          <t>European Commission</t>
        </is>
      </c>
      <c r="E594" s="2" t="inlineStr">
        <is>
          <t>19 Jun 2024</t>
        </is>
      </c>
      <c r="F594" s="2" t="inlineStr">
        <is>
          <t>Official assessment</t>
        </is>
      </c>
      <c r="G594" s="2" t="inlineStr">
        <is>
          <t>Read 6 Oct 2026. PDF p.3: 2023 inflation 5.6% with energy prices kept at 2020 levels.</t>
        </is>
      </c>
      <c r="H594" s="5" t="inlineStr">
        <is>
          <t>https://economy-finance.ec.europa.eu/document/download/b8357ca1-e31e-4a3a-b7e4-25ebf8d01121_en?filename=SWD_2024_618_1_EN_Malta.pdf</t>
        </is>
      </c>
    </row>
    <row r="595">
      <c r="A595" s="2" t="inlineStr">
        <is>
          <t>585</t>
        </is>
      </c>
      <c r="B595" s="2" t="inlineStr">
        <is>
          <t>CC-113</t>
        </is>
      </c>
      <c r="C595" s="2" t="inlineStr">
        <is>
          <t>Rentschler and Bazilian (2017), Reforming fossil fuel subsidies: drivers, barriers and the state of progress, Climate Policy 17(7):891-914</t>
        </is>
      </c>
      <c r="D595" s="2" t="inlineStr">
        <is>
          <t>Taylor &amp; Francis</t>
        </is>
      </c>
      <c r="E595" s="2" t="inlineStr">
        <is>
          <t>2017</t>
        </is>
      </c>
      <c r="F595" s="2" t="inlineStr">
        <is>
          <t>Peer-reviewed review</t>
        </is>
      </c>
      <c r="G595" s="2" t="inlineStr">
        <is>
          <t>Abstract read; doi:10.1080/14693062.2016.1169393 (Crossref checked). Open access CC BY-NC-ND.</t>
        </is>
      </c>
      <c r="H595" s="5" t="inlineStr">
        <is>
          <t>https://doi.org/10.1080/14693062.2016.1169393</t>
        </is>
      </c>
    </row>
    <row r="596">
      <c r="A596" s="2" t="inlineStr">
        <is>
          <t>586</t>
        </is>
      </c>
      <c r="B596" s="2" t="inlineStr">
        <is>
          <t>CC-113</t>
        </is>
      </c>
      <c r="C596" s="2" t="inlineStr">
        <is>
          <t>Böhm and Peterson (2024), Fossil Fuel Subsidy Inventories vs. Net Carbon Prices, The Energy Journal 45(4):59-79</t>
        </is>
      </c>
      <c r="D596" s="2" t="inlineStr">
        <is>
          <t>SAGE</t>
        </is>
      </c>
      <c r="E596" s="2" t="inlineStr">
        <is>
          <t>2024</t>
        </is>
      </c>
      <c r="F596" s="2" t="inlineStr">
        <is>
          <t>Peer-reviewed article</t>
        </is>
      </c>
      <c r="G596" s="2" t="inlineStr">
        <is>
          <t>Abstract read; doi:10.1177/01956574241277304 (Crossref checked).</t>
        </is>
      </c>
      <c r="H596" s="5" t="inlineStr">
        <is>
          <t>https://doi.org/10.1177/01956574241277304</t>
        </is>
      </c>
    </row>
    <row r="597">
      <c r="A597" s="2" t="inlineStr">
        <is>
          <t>587</t>
        </is>
      </c>
      <c r="B597" s="2" t="inlineStr">
        <is>
          <t>CC-113</t>
        </is>
      </c>
      <c r="C597" s="2" t="inlineStr">
        <is>
          <t>Rapa (2025), Energy Subsidies in Malta: Estimating the Effects of Current Policies and Hypothetical Exit Strategies (Central Bank of Malta DP 4/2025)</t>
        </is>
      </c>
      <c r="D597" s="2" t="inlineStr">
        <is>
          <t>Central Bank of Malta</t>
        </is>
      </c>
      <c r="E597" s="2" t="inlineStr">
        <is>
          <t>Jul 2025</t>
        </is>
      </c>
      <c r="F597" s="2" t="inlineStr">
        <is>
          <t>Working paper</t>
        </is>
      </c>
      <c r="G597" s="2" t="inlineStr">
        <is>
          <t>Lead, not retrieved: the PDF returned 403 to scripts, so this URL is unverified. Known through Newsbook, 21 Jul 2025 (second-hand). doi:10.2139/ssrn.5353671 (Crossref checked).</t>
        </is>
      </c>
      <c r="H597" s="5" t="inlineStr">
        <is>
          <t>https://www.centralbankmalta.org/site/Publications/Economic%20Research/2025/DP-4-25.pdf</t>
        </is>
      </c>
    </row>
    <row r="598">
      <c r="A598" s="2" t="inlineStr">
        <is>
          <t>588</t>
        </is>
      </c>
      <c r="B598" s="2" t="inlineStr">
        <is>
          <t>CC-101</t>
        </is>
      </c>
      <c r="C598" s="2" t="inlineStr">
        <is>
          <t>July infringements package: key decisions (INF/26/1376), section 1 (Malta and Spain, water permits)</t>
        </is>
      </c>
      <c r="D598" s="2" t="inlineStr">
        <is>
          <t>European Commission (press corner)</t>
        </is>
      </c>
      <c r="E598" s="2" t="inlineStr">
        <is>
          <t>8 Jul 2026</t>
        </is>
      </c>
      <c r="F598" s="2" t="inlineStr">
        <is>
          <t>Primary statement</t>
        </is>
      </c>
      <c r="G598" s="2" t="inlineStr">
        <is>
          <t>The claim, read in full 6 Oct 2026 via the press corner print PDF (/api/files/document/print/en/inf_26_1376/INF_26_1376_EN.pdf). Summary of letter of formal notice INFR(2026)2115; the letter is not published.</t>
        </is>
      </c>
      <c r="H598" s="5" t="inlineStr">
        <is>
          <t>https://ec.europa.eu/commission/presscorner/detail/en/inf_26_1376</t>
        </is>
      </c>
    </row>
    <row r="599">
      <c r="A599" s="2" t="inlineStr">
        <is>
          <t>589</t>
        </is>
      </c>
      <c r="B599" s="2" t="inlineStr">
        <is>
          <t>CC-101</t>
        </is>
      </c>
      <c r="C599" s="2" t="inlineStr">
        <is>
          <t>Directive 2000/60/EC (Water Framework Directive), Art. 11(3)(e), 11(5), 11(7), 24</t>
        </is>
      </c>
      <c r="D599" s="2" t="inlineStr">
        <is>
          <t>European Parliament and Council (OJ L 327, 22.12.2000)</t>
        </is>
      </c>
      <c r="E599" s="2" t="inlineStr">
        <is>
          <t>23 Oct 2000</t>
        </is>
      </c>
      <c r="F599" s="2" t="inlineStr">
        <is>
          <t>Primary law</t>
        </is>
      </c>
      <c r="G599" s="2" t="inlineStr">
        <is>
          <t>Read via the EU Publications Office (Cellar, content negotiation on /resource/celex/32000L0060); EUR-Lex returns 202 with an empty body to scripts.</t>
        </is>
      </c>
      <c r="H599" s="5" t="inlineStr">
        <is>
          <t>https://data.europa.eu/eli/dir/2000/60/oj</t>
        </is>
      </c>
    </row>
    <row r="600">
      <c r="A600" s="2" t="inlineStr">
        <is>
          <t>590</t>
        </is>
      </c>
      <c r="B600" s="2" t="inlineStr">
        <is>
          <t>CC-101</t>
        </is>
      </c>
      <c r="C600" s="2" t="inlineStr">
        <is>
          <t>Water Policy Framework Regulations, S.L. 549.100 (consolidated)</t>
        </is>
      </c>
      <c r="D600" s="2" t="inlineStr">
        <is>
          <t>Government of Malta</t>
        </is>
      </c>
      <c r="E600" s="2" t="inlineStr">
        <is>
          <t>23 Oct 2015 (L.N. 345 of 2015)</t>
        </is>
      </c>
      <c r="F600" s="2" t="inlineStr">
        <is>
          <t>Primary law</t>
        </is>
      </c>
      <c r="G600" s="2" t="inlineStr">
        <is>
          <t>Reg. 12(3)(e) repeats WFD Art. 11(3)(e) as a duty in the programme of measures; reg. 12(5)(b) and 12(8) on review. L.N. 345 of 2015, as amended by Act XVII of 2024.</t>
        </is>
      </c>
      <c r="H600" s="5" t="inlineStr">
        <is>
          <t>https://legislation.mt/eli/sl/549.100/eng</t>
        </is>
      </c>
    </row>
    <row r="601">
      <c r="A601" s="2" t="inlineStr">
        <is>
          <t>591</t>
        </is>
      </c>
      <c r="B601" s="2" t="inlineStr">
        <is>
          <t>CC-101</t>
        </is>
      </c>
      <c r="C601" s="2" t="inlineStr">
        <is>
          <t>Notification of Groundwater Sources Regulations, S.L. 549.164 (formerly S.L. 423.12)</t>
        </is>
      </c>
      <c r="D601" s="2" t="inlineStr">
        <is>
          <t>Government of Malta</t>
        </is>
      </c>
      <c r="E601" s="2" t="inlineStr">
        <is>
          <t>7 Oct 2008 (L.N. 255 of 2008)</t>
        </is>
      </c>
      <c r="F601" s="2" t="inlineStr">
        <is>
          <t>Primary law</t>
        </is>
      </c>
      <c r="G601" s="2" t="inlineStr">
        <is>
          <t>Notification deadline 20 Nov 2008; reg. 3A (2011) later notification of some old sources after an ERA decision; reg. 6: notification gives no right to draw water; ERA may order closure.</t>
        </is>
      </c>
      <c r="H601" s="5" t="inlineStr">
        <is>
          <t>https://legislation.mt/eli/sl/549.164/eng</t>
        </is>
      </c>
    </row>
    <row r="602">
      <c r="A602" s="2" t="inlineStr">
        <is>
          <t>592</t>
        </is>
      </c>
      <c r="B602" s="2" t="inlineStr">
        <is>
          <t>CC-101</t>
        </is>
      </c>
      <c r="C602" s="2" t="inlineStr">
        <is>
          <t>Borehole Drilling and Excavation Works within the Saturated Zone Regulations, S.L. 549.165 (formerly S.L. 423.32)</t>
        </is>
      </c>
      <c r="D602" s="2" t="inlineStr">
        <is>
          <t>Government of Malta</t>
        </is>
      </c>
      <c r="E602" s="2" t="inlineStr">
        <is>
          <t>7 Oct 2008 (L.N. 254 of 2008)</t>
        </is>
      </c>
      <c r="F602" s="2" t="inlineStr">
        <is>
          <t>Primary law</t>
        </is>
      </c>
      <c r="G602" s="2" t="inlineStr">
        <is>
          <t>Drilling permits; moratorium and exceptions (reg. 6); permit criteria (reg. 7(3)), term (reg. 8(3)(a)), suspension (reg. 11); permit gives no right to draw water (reg. 9); corrective orders (reg. 10). Amended to L.N. 374 of 2024 (27 Dec 2024).</t>
        </is>
      </c>
      <c r="H602" s="5" t="inlineStr">
        <is>
          <t>https://legislation.mt/eli/sl/549.165/eng</t>
        </is>
      </c>
    </row>
    <row r="603">
      <c r="A603" s="2" t="inlineStr">
        <is>
          <t>593</t>
        </is>
      </c>
      <c r="B603" s="2" t="inlineStr">
        <is>
          <t>CC-101</t>
        </is>
      </c>
      <c r="C603" s="2" t="inlineStr">
        <is>
          <t>Groundwater Abstraction (Metering) Regulations, S.L. 549.166 (formerly S.L. 423.40); also S.L. 549.168</t>
        </is>
      </c>
      <c r="D603" s="2" t="inlineStr">
        <is>
          <t>Government of Malta</t>
        </is>
      </c>
      <c r="E603" s="2" t="inlineStr">
        <is>
          <t>27 Apr 2010 (L.N. 241 of 2010); S.L. 549.168: 20 Aug 2010</t>
        </is>
      </c>
      <c r="F603" s="2" t="inlineStr">
        <is>
          <t>Primary law</t>
        </is>
      </c>
      <c r="G603" s="2" t="inlineStr">
        <is>
          <t>Metering of registered and notified sources by WSC; exemptions (no pump, cultural property, domestic perched-aquifer sources under 1 m3/day).</t>
        </is>
      </c>
      <c r="H603" s="5" t="inlineStr">
        <is>
          <t>https://legislation.mt/eli/sl/549.166/eng</t>
        </is>
      </c>
    </row>
    <row r="604">
      <c r="A604" s="2" t="inlineStr">
        <is>
          <t>594</t>
        </is>
      </c>
      <c r="B604" s="2" t="inlineStr">
        <is>
          <t>CC-101</t>
        </is>
      </c>
      <c r="C604" s="2" t="inlineStr">
        <is>
          <t>Water Supply and Sewerage Services Regulations, S.L. 545.14</t>
        </is>
      </c>
      <c r="D604" s="2" t="inlineStr">
        <is>
          <t>Government of Malta</t>
        </is>
      </c>
      <c r="E604" s="2" t="inlineStr">
        <is>
          <t>1 Jan 2005 (L.N. 525 of 2004)</t>
        </is>
      </c>
      <c r="F604" s="2" t="inlineStr">
        <is>
          <t>Primary law</t>
        </is>
      </c>
      <c r="G604" s="2" t="inlineStr">
        <is>
          <t>Licensing of water suppliers including tankers; 'supply of water' excludes water abstraction.</t>
        </is>
      </c>
      <c r="H604" s="5" t="inlineStr">
        <is>
          <t>https://legislation.mt/eli/sl/545.14/eng</t>
        </is>
      </c>
    </row>
    <row r="605">
      <c r="A605" s="2" t="inlineStr">
        <is>
          <t>595</t>
        </is>
      </c>
      <c r="B605" s="2" t="inlineStr">
        <is>
          <t>CC-101</t>
        </is>
      </c>
      <c r="C605" s="2" t="inlineStr">
        <is>
          <t>Environment Protection Act, Cap. 549 (Act XVII of 2024 transfer of the groundwater regulations to ERA); also S.L. 549.172 and Cap. 355</t>
        </is>
      </c>
      <c r="D605" s="2" t="inlineStr">
        <is>
          <t>Government of Malta</t>
        </is>
      </c>
      <c r="E605" s="2" t="inlineStr">
        <is>
          <t>31 Jan 2016 (Act I of 2016, as amended by Act XVII of 2024); S.L. 549.172: 11 May 2025; Cap. 355: 1991</t>
        </is>
      </c>
      <c r="F605" s="2" t="inlineStr">
        <is>
          <t>Primary law</t>
        </is>
      </c>
      <c r="G605" s="2" t="inlineStr">
        <is>
          <t>Groundwater regulations moved from the MRA Act to Cap. 549 'until other provision is made'. S.L. 549.172 has no abstraction category; Cap. 355 licensing articles deleted in 2000.</t>
        </is>
      </c>
      <c r="H605" s="5" t="inlineStr">
        <is>
          <t>https://legislation.mt/eli/cap/549/eng</t>
        </is>
      </c>
    </row>
    <row r="606">
      <c r="A606" s="2" t="inlineStr">
        <is>
          <t>596</t>
        </is>
      </c>
      <c r="B606" s="2" t="inlineStr">
        <is>
          <t>CC-101</t>
        </is>
      </c>
      <c r="C606" s="2" t="inlineStr">
        <is>
          <t>Legal Notices, Acts and S.L. titles on legislation.mt: titles of all 943 Legal Notices of 2024-2026, text of all 101 Acts of 2024-2026, titles of 344 S.L. under 549, 423, 545, 355 and 427 (ELI sitemap)</t>
        </is>
      </c>
      <c r="D606" s="2" t="inlineStr">
        <is>
          <t>legislation.mt (Government of Malta)</t>
        </is>
      </c>
      <c r="E606" s="2" t="inlineStr">
        <is>
          <t>2024-2026</t>
        </is>
      </c>
      <c r="F606" s="2" t="inlineStr">
        <is>
          <t>Official register</t>
        </is>
      </c>
      <c r="G606" s="2" t="inlineStr">
        <is>
          <t>Searched for a new or older abstraction instrument; data/cc-101/legislation_mt_legal_notices_2024_2026.csv, legislation_mt_acts_2024_2026.csv and legislation_mt_sl_titles.csv. Only Act XVII of 2024 mentions groundwater, abstraction or boreholes; L.N. 374 of 2024 is the one borehole notice. Absence stated as 'none found in force'.</t>
        </is>
      </c>
      <c r="H606" s="5" t="inlineStr">
        <is>
          <t>https://legislation.mt/eli/sitemap.xml</t>
        </is>
      </c>
    </row>
    <row r="607">
      <c r="A607" s="2" t="inlineStr">
        <is>
          <t>597</t>
        </is>
      </c>
      <c r="B607" s="2" t="inlineStr">
        <is>
          <t>CC-101</t>
        </is>
      </c>
      <c r="C607" s="2" t="inlineStr">
        <is>
          <t>Interim reporting on the implementation of the Programme of Measures identified under the 3rd RBMP</t>
        </is>
      </c>
      <c r="D607" s="2" t="inlineStr">
        <is>
          <t>Government of Malta (hosted by the Energy and Water Agency)</t>
        </is>
      </c>
      <c r="E607" s="2" t="inlineStr">
        <is>
          <t>Apr 2025</t>
        </is>
      </c>
      <c r="F607" s="2" t="inlineStr">
        <is>
          <t>Official report (full text read)</t>
        </is>
      </c>
      <c r="G607" s="2" t="inlineStr">
        <is>
          <t>WFD Art. 15(3) report. Section 3.3 (Art. 11(3)(e)) p. 35; Measure 053 'close to being finalised' pp. 22-23. Downloaded with curl before EWA's sgcaptcha wall appeared.</t>
        </is>
      </c>
      <c r="H607" s="5" t="inlineStr">
        <is>
          <t>https://energywateragency.gov.mt/wp-content/uploads/2025/12/Interim-Report-2025-Final-Version.pdf</t>
        </is>
      </c>
    </row>
    <row r="608">
      <c r="A608" s="2" t="inlineStr">
        <is>
          <t>598</t>
        </is>
      </c>
      <c r="B608" s="2" t="inlineStr">
        <is>
          <t>CC-101</t>
        </is>
      </c>
      <c r="C608" s="2" t="inlineStr">
        <is>
          <t>The 2nd Water Catchment Management Plan for the Malta Water Catchment District 2015-2021</t>
        </is>
      </c>
      <c r="D608" s="2" t="inlineStr">
        <is>
          <t>Sustainable Energy and Water Conservation Unit and Environment and Resources Authority</t>
        </is>
      </c>
      <c r="E608" s="2" t="inlineStr">
        <is>
          <t>2015</t>
        </is>
      </c>
      <c r="F608" s="2" t="inlineStr">
        <is>
          <t>Official plan (full text read)</t>
        </is>
      </c>
      <c r="G608" s="2" t="inlineStr">
        <is>
          <t>Read from a copy on ampeid.org (era.org.mt refuses scripts); SHA-256 in literature/CC-101/notes.md. 'No rivers' p. 1; Art. 11(3)(e) controls p. 339; lack of knowledge of surface-water abstraction p. 373.</t>
        </is>
      </c>
      <c r="H608" s="5" t="inlineStr">
        <is>
          <t>https://era.org.mt/wp-content/uploads/2019/05/2nd_Water_Catchment_Management_Plan-Malta_Water_in_Maltese_Islands.pdf</t>
        </is>
      </c>
    </row>
    <row r="609">
      <c r="A609" s="2" t="inlineStr">
        <is>
          <t>599</t>
        </is>
      </c>
      <c r="B609" s="2" t="inlineStr">
        <is>
          <t>CC-101</t>
        </is>
      </c>
      <c r="C609" s="2" t="inlineStr">
        <is>
          <t>Second River Basin Management Plans - Member State: Malta, SWD(2019) 48 final</t>
        </is>
      </c>
      <c r="D609" s="2" t="inlineStr">
        <is>
          <t>European Commission</t>
        </is>
      </c>
      <c r="E609" s="2" t="inlineStr">
        <is>
          <t>26 Feb 2019</t>
        </is>
      </c>
      <c r="F609" s="2" t="inlineStr">
        <is>
          <t>Regulator report (full text read)</t>
        </is>
      </c>
      <c r="G609" s="2" t="inlineStr">
        <is>
          <t>Section 10.1.3 p. 121: 'a concession, authorisation and/or permitting regime to control groundwater and a register of groundwater use'; p. 122 lists L.N. 254 and 255 of 2008 as the regulatory framework; p. 124 n. 65: Malta's clarification that more than 3 000 private groundwater sources had been metered; p. 125: abstraction under cross compliance 'once the legislation on authorisations of abstraction is in place'. Read via Cellar (needs Accept-Language: en).</t>
        </is>
      </c>
      <c r="H609" s="5" t="inlineStr">
        <is>
          <t>http://publications.europa.eu/resource/celex/52019SC0048</t>
        </is>
      </c>
    </row>
    <row r="610">
      <c r="A610" s="2" t="inlineStr">
        <is>
          <t>600</t>
        </is>
      </c>
      <c r="B610" s="2" t="inlineStr">
        <is>
          <t>CC-101</t>
        </is>
      </c>
      <c r="C610" s="2" t="inlineStr">
        <is>
          <t>Report on the implementation of the WFD and Floods Directive (third RBMPs), COM(2025) 2 final</t>
        </is>
      </c>
      <c r="D610" s="2" t="inlineStr">
        <is>
          <t>European Commission</t>
        </is>
      </c>
      <c r="E610" s="2" t="inlineStr">
        <is>
          <t>4 Feb 2025</t>
        </is>
      </c>
      <c r="F610" s="2" t="inlineStr">
        <is>
          <t>Regulator report (full text read)</t>
        </is>
      </c>
      <c r="G610" s="2" t="inlineStr">
        <is>
          <t>Malta not assessed (late submission) p. 3; abstraction a significant issue in Malta p. 24. Read via Cellar.</t>
        </is>
      </c>
      <c r="H610" s="5" t="inlineStr">
        <is>
          <t>http://publications.europa.eu/resource/celex/52025DC0002</t>
        </is>
      </c>
    </row>
    <row r="611">
      <c r="A611" s="2" t="inlineStr">
        <is>
          <t>601</t>
        </is>
      </c>
      <c r="B611" s="2" t="inlineStr">
        <is>
          <t>CC-101</t>
        </is>
      </c>
      <c r="C611" s="2" t="inlineStr">
        <is>
          <t>Staff Working Document, EU overview of third RBMPs, SWD(2025) 13 final</t>
        </is>
      </c>
      <c r="D611" s="2" t="inlineStr">
        <is>
          <t>European Commission</t>
        </is>
      </c>
      <c r="E611" s="2" t="inlineStr">
        <is>
          <t>4 Feb 2025</t>
        </is>
      </c>
      <c r="F611" s="2" t="inlineStr">
        <is>
          <t>Regulator report (full text read)</t>
        </is>
      </c>
      <c r="G611" s="2" t="inlineStr">
        <is>
          <t>Abstraction-permit review periods range from 6 years to indefinite; Commission enforcing the review obligation, pp. 51-52. Read via Cellar.</t>
        </is>
      </c>
      <c r="H611" s="5" t="inlineStr">
        <is>
          <t>http://publications.europa.eu/resource/celex/52025SC0013</t>
        </is>
      </c>
    </row>
    <row r="612">
      <c r="A612" s="2" t="inlineStr">
        <is>
          <t>602</t>
        </is>
      </c>
      <c r="B612" s="2" t="inlineStr">
        <is>
          <t>CC-101</t>
        </is>
      </c>
      <c r="C612" s="2" t="inlineStr">
        <is>
          <t>WISE WFD 2022 reporting: surface water bodies (WFD2022_SurfaceWaterBody_WM), significant pressures (sw/gw SignificantPressureType) and groundwater-body status (WFD2022_GroundWaterBody_WM layer 0)</t>
        </is>
      </c>
      <c r="D612" s="2" t="inlineStr">
        <is>
          <t>European Environment Agency</t>
        </is>
      </c>
      <c r="E612" s="2" t="inlineStr">
        <is>
          <t>2022 reporting</t>
        </is>
      </c>
      <c r="F612" s="2" t="inlineStr">
        <is>
          <t>Official dataset</t>
        </is>
      </c>
      <c r="G612" s="2" t="inlineStr">
        <is>
          <t>Malta: 3 river bodies (3.4 km), 2 lake bodies, no surface body with abstraction pressure; 7/15 groundwater bodies with abstraction pressure. Extracts in data/cc-101/.</t>
        </is>
      </c>
      <c r="H612" s="5" t="inlineStr">
        <is>
          <t>https://water.discomap.eea.europa.eu/arcgis/rest/services/WISE_WFD</t>
        </is>
      </c>
    </row>
    <row r="613">
      <c r="A613" s="2" t="inlineStr">
        <is>
          <t>603</t>
        </is>
      </c>
      <c r="B613" s="2" t="inlineStr">
        <is>
          <t>CC-101</t>
        </is>
      </c>
      <c r="C613" s="2" t="inlineStr">
        <is>
          <t>Profit In Every Drop: The Companies Pumping Malta's Groundwater For Free (part 1; part 2 on industries)</t>
        </is>
      </c>
      <c r="D613" s="2" t="inlineStr">
        <is>
          <t>Amphora Media</t>
        </is>
      </c>
      <c r="E613" s="2" t="inlineStr">
        <is>
          <t>Aug 2026</t>
        </is>
      </c>
      <c r="F613" s="2" t="inlineStr">
        <is>
          <t>News (second-hand)</t>
        </is>
      </c>
      <c r="G613" s="2" t="inlineStr">
        <is>
          <t>Locator. Reports ERA data we have not seen (63%+ of registered commercial boreholes with no data; ERA: only 'internal discussions' since the Green Paper). Names private companies: not repeated. Not used for any rating.</t>
        </is>
      </c>
      <c r="H613" s="5" t="inlineStr">
        <is>
          <t>https://www.amphora.media/2026/08/profit-in-every-drop-malta-groundwater</t>
        </is>
      </c>
    </row>
    <row r="614">
      <c r="A614" s="2" t="inlineStr">
        <is>
          <t>604</t>
        </is>
      </c>
      <c r="B614" s="2" t="inlineStr">
        <is>
          <t>CC-101</t>
        </is>
      </c>
      <c r="C614" s="2" t="inlineStr">
        <is>
          <t>Control of Water Pumps and Wells Order, S.L. 545.02 (ELI sl/545.2)</t>
        </is>
      </c>
      <c r="D614" s="2" t="inlineStr">
        <is>
          <t>Government of Malta</t>
        </is>
      </c>
      <c r="E614" s="2" t="inlineStr">
        <is>
          <t>26 Mar 1946 (Proclamations V of 1946 and II of 1947, consolidated)</t>
        </is>
      </c>
      <c r="F614" s="2" t="inlineStr">
        <is>
          <t>Primary law</t>
        </is>
      </c>
      <c r="G614" s="2" t="inlineStr">
        <is>
          <t>Declares Malta and Gozo 'a water-controlled area'; no register, permit or review text. Read in full 6 Oct 2026. No view on its legal effect.</t>
        </is>
      </c>
      <c r="H614" s="5" t="inlineStr">
        <is>
          <t>https://legislation.mt/eli/sl/545.2/eng</t>
        </is>
      </c>
    </row>
    <row r="615">
      <c r="A615" s="2" t="inlineStr">
        <is>
          <t>605</t>
        </is>
      </c>
      <c r="B615" s="2" t="inlineStr">
        <is>
          <t>CC-101</t>
        </is>
      </c>
      <c r="C615" s="2" t="inlineStr">
        <is>
          <t>Quality required of Surface Water intended for the Abstraction of Drinking Water Regulations, S.L. 549.21</t>
        </is>
      </c>
      <c r="D615" s="2" t="inlineStr">
        <is>
          <t>Government of Malta</t>
        </is>
      </c>
      <c r="E615" s="2" t="inlineStr">
        <is>
          <t>28 Jun 2002 (L.N. 339 of 2001)</t>
        </is>
      </c>
      <c r="F615" s="2" t="inlineStr">
        <is>
          <t>Primary law</t>
        </is>
      </c>
      <c r="G615" s="2" t="inlineStr">
        <is>
          <t>Water-quality standards; no register or permit of abstraction. Read 6 Oct 2026.</t>
        </is>
      </c>
      <c r="H615" s="5" t="inlineStr">
        <is>
          <t>https://legislation.mt/eli/sl/549.21/eng</t>
        </is>
      </c>
    </row>
    <row r="616">
      <c r="A616" s="2" t="inlineStr">
        <is>
          <t>606</t>
        </is>
      </c>
      <c r="B616" s="2" t="inlineStr">
        <is>
          <t>CC-101</t>
        </is>
      </c>
      <c r="C616" s="2" t="inlineStr">
        <is>
          <t>Protection of Groundwater against Pollution and Deterioration Regulations, S.L. 549.53</t>
        </is>
      </c>
      <c r="D616" s="2" t="inlineStr">
        <is>
          <t>Government of Malta</t>
        </is>
      </c>
      <c r="E616" s="2" t="inlineStr">
        <is>
          <t>16 Jan 2009 (L.N. 108 of 2009)</t>
        </is>
      </c>
      <c r="F616" s="2" t="inlineStr">
        <is>
          <t>Primary law</t>
        </is>
      </c>
      <c r="G616" s="2" t="inlineStr">
        <is>
          <t>Groundwater pollution and status; no register or permit of abstraction. Read 6 Oct 2026.</t>
        </is>
      </c>
      <c r="H616" s="5" t="inlineStr">
        <is>
          <t>https://legislation.mt/eli/sl/549.53/eng</t>
        </is>
      </c>
    </row>
    <row r="617">
      <c r="A617" s="2" t="inlineStr">
        <is>
          <t>607</t>
        </is>
      </c>
      <c r="B617" s="2" t="inlineStr">
        <is>
          <t>CC-101</t>
        </is>
      </c>
      <c r="C617" s="2" t="inlineStr">
        <is>
          <t>Groundwater (Prohibition of Discharge to Groundwater Bodies) Regulations, S.L. 549.155</t>
        </is>
      </c>
      <c r="D617" s="2" t="inlineStr">
        <is>
          <t>Government of Malta</t>
        </is>
      </c>
      <c r="E617" s="2" t="inlineStr">
        <is>
          <t>11 Apr 2023 (L.N. 81 of 2023)</t>
        </is>
      </c>
      <c r="F617" s="2" t="inlineStr">
        <is>
          <t>Primary law</t>
        </is>
      </c>
      <c r="G617" s="2" t="inlineStr">
        <is>
          <t>Discharges to groundwater; no register or permit of abstraction. Read 6 Oct 2026.</t>
        </is>
      </c>
      <c r="H617" s="5" t="inlineStr">
        <is>
          <t>https://legislation.mt/eli/sl/549.155/eng</t>
        </is>
      </c>
    </row>
    <row r="618">
      <c r="A618" s="2" t="inlineStr">
        <is>
          <t>608</t>
        </is>
      </c>
      <c r="B618" s="2" t="inlineStr">
        <is>
          <t>CC-034</t>
        </is>
      </c>
      <c r="C618" s="2" t="inlineStr">
        <is>
          <t>EEA Air Quality download service: Malta, PM10, PM2.5, NO2, SO2 and CO, all sampling points (AirBase, E1a, E2a)</t>
        </is>
      </c>
      <c r="D618" s="2" t="inlineStr">
        <is>
          <t>European Environment Agency</t>
        </is>
      </c>
      <c r="E618" s="2" t="inlineStr">
        <is>
          <t>retrieved 2026-10-06</t>
        </is>
      </c>
      <c r="F618" s="2" t="inlineStr">
        <is>
          <t>Official dataset</t>
        </is>
      </c>
      <c r="G618" s="2" t="inlineStr">
        <is>
          <t>85 Parquet files (SHA-256 in data/cc-034/eea_files.csv); E1a validated 2013-2025, AirBase to 2012, E2a 2026 not validated and not used for findings. Msida NO2 36.5 to 28.5 ug/m3 and PM2.5 15.3 to 12.6 (2015-17 to 2021-23); PM10 40.1 to 40.2.</t>
        </is>
      </c>
      <c r="H618" s="5" t="inlineStr">
        <is>
          <t>https://eeadmz1-downloads-api-appservice.azurewebsites.net/</t>
        </is>
      </c>
    </row>
    <row r="619">
      <c r="A619" s="2" t="inlineStr">
        <is>
          <t>609</t>
        </is>
      </c>
      <c r="B619" s="2" t="inlineStr">
        <is>
          <t>CC-034</t>
        </is>
      </c>
      <c r="C619" s="2" t="inlineStr">
        <is>
          <t>Air Quality e-Reporting dataflow G (attainment), Malta, 2015-2025</t>
        </is>
      </c>
      <c r="D619" s="2" t="inlineStr">
        <is>
          <t>ERA (Eionet Central Data Repository)</t>
        </is>
      </c>
      <c r="E619" s="2" t="inlineStr">
        <is>
          <t>retrieved 2026-10-06</t>
        </is>
      </c>
      <c r="F619" s="2" t="inlineStr">
        <is>
          <t>Official dataset (regulator reporting)</t>
        </is>
      </c>
      <c r="G619" s="2" t="inlineStr">
        <is>
          <t>ERA's own PM10 counts before/after natural-source deduction: Msida 86/41 days (2018), 84/52 (2023); annual mean 2023 43.7/35.8 ug/m3. Files per year in tools/cc-034-report/g_cache.py; data/cc-034/g_attainment.csv.</t>
        </is>
      </c>
      <c r="H619" s="5" t="inlineStr">
        <is>
          <t>https://cdr.eionet.europa.eu/mt/eu/aqd/g/</t>
        </is>
      </c>
    </row>
    <row r="620">
      <c r="A620" s="2" t="inlineStr">
        <is>
          <t>610</t>
        </is>
      </c>
      <c r="B620" s="2" t="inlineStr">
        <is>
          <t>CC-034</t>
        </is>
      </c>
      <c r="C620" s="2" t="inlineStr">
        <is>
          <t>Passenger cars by type of motor energy (road_eqs_carpda); per 1,000 inhabitants (road_eqs_carhab)</t>
        </is>
      </c>
      <c r="D620" s="2" t="inlineStr">
        <is>
          <t>Eurostat</t>
        </is>
      </c>
      <c r="E620" s="2" t="inlineStr">
        <is>
          <t>retrieved 2026-10-06</t>
        </is>
      </c>
      <c r="F620" s="2" t="inlineStr">
        <is>
          <t>Official dataset</t>
        </is>
      </c>
      <c r="G620" s="2" t="inlineStr">
        <is>
          <t>Malta passenger cars 256,096 (2013) to 335,693 (2025), +31%.</t>
        </is>
      </c>
      <c r="H620" s="5" t="inlineStr">
        <is>
          <t>https://ec.europa.eu/eurostat/databrowser/view/road_eqs_carpda/default/table</t>
        </is>
      </c>
    </row>
    <row r="621">
      <c r="A621" s="2" t="inlineStr">
        <is>
          <t>611</t>
        </is>
      </c>
      <c r="B621" s="2" t="inlineStr">
        <is>
          <t>CC-034</t>
        </is>
      </c>
      <c r="C621" s="2" t="inlineStr">
        <is>
          <t>Particulate matter (PM10): annual limit value for the protection of human health</t>
        </is>
      </c>
      <c r="D621" s="2" t="inlineStr">
        <is>
          <t>European Environment Agency</t>
        </is>
      </c>
      <c r="E621" s="2" t="inlineStr">
        <is>
          <t>read 2026-10-06</t>
        </is>
      </c>
      <c r="F621" s="2" t="inlineStr">
        <is>
          <t>Regulator page</t>
        </is>
      </c>
      <c r="G621" s="2" t="inlineStr">
        <is>
          <t>States the Directive 2008/50/EC PM10 limits: daily 50 ug/m3 not more than 35 times a year; annual 40 ug/m3.</t>
        </is>
      </c>
      <c r="H621" s="5" t="inlineStr">
        <is>
          <t>https://www.eea.europa.eu/en/analysis/maps-and-charts/particulate-matter-pm10-annual-limit-value-for-the-protection-of-human-health-3</t>
        </is>
      </c>
    </row>
    <row r="622">
      <c r="A622" s="2" t="inlineStr">
        <is>
          <t>612</t>
        </is>
      </c>
      <c r="B622" s="2" t="inlineStr">
        <is>
          <t>CC-034</t>
        </is>
      </c>
      <c r="C622" s="2" t="inlineStr">
        <is>
          <t>Scerri et al. (2023), Exhaust and non-exhaust contributions from road transport to PM10 at a Southern European traffic site, Environmental Pollution 316:120569</t>
        </is>
      </c>
      <c r="D622" s="2" t="inlineStr">
        <is>
          <t>Elsevier</t>
        </is>
      </c>
      <c r="E622" s="2" t="inlineStr">
        <is>
          <t>2023</t>
        </is>
      </c>
      <c r="F622" s="2" t="inlineStr">
        <is>
          <t>Peer-reviewed</t>
        </is>
      </c>
      <c r="G622" s="2" t="inlineStr">
        <is>
          <t>Crossref verified; abstract read. Msida 2018: exhaust 3.4%, tyre/brake 17%, road dust/crustal 18%; no discernible PM10 trend over a decade.</t>
        </is>
      </c>
      <c r="H622" s="5" t="inlineStr">
        <is>
          <t>https://doi.org/10.1016/j.envpol.2022.120569</t>
        </is>
      </c>
    </row>
    <row r="623">
      <c r="A623" s="2" t="inlineStr">
        <is>
          <t>613</t>
        </is>
      </c>
      <c r="B623" s="2" t="inlineStr">
        <is>
          <t>CC-034</t>
        </is>
      </c>
      <c r="C623" s="2" t="inlineStr">
        <is>
          <t>Scerri, Kandler and Weinbruch (2016), Disentangling the contribution of Saharan dust and marine aerosol to PM10 levels in the Central Mediterranean, Atmospheric Environment 147:395-408</t>
        </is>
      </c>
      <c r="D623" s="2" t="inlineStr">
        <is>
          <t>Elsevier</t>
        </is>
      </c>
      <c r="E623" s="2" t="inlineStr">
        <is>
          <t>2016</t>
        </is>
      </c>
      <c r="F623" s="2" t="inlineStr">
        <is>
          <t>Peer-reviewed</t>
        </is>
      </c>
      <c r="G623" s="2" t="inlineStr">
        <is>
          <t>Crossref verified; second-hand (content known only from the ERA plan's summary).</t>
        </is>
      </c>
      <c r="H623" s="5" t="inlineStr">
        <is>
          <t>https://doi.org/10.1016/j.atmosenv.2016.10.028</t>
        </is>
      </c>
    </row>
    <row r="624">
      <c r="A624" s="2" t="inlineStr">
        <is>
          <t>614</t>
        </is>
      </c>
      <c r="B624" s="2" t="inlineStr">
        <is>
          <t>CC-034</t>
        </is>
      </c>
      <c r="C624" s="2" t="inlineStr">
        <is>
          <t>Fenech, Aquilina and Vella (2021), COVID-19-related changes in NO2 and O3 concentrations and associated health effects in Malta, Frontiers in Sustainable Cities 3:631280</t>
        </is>
      </c>
      <c r="D624" s="2" t="inlineStr">
        <is>
          <t>Frontiers</t>
        </is>
      </c>
      <c r="E624" s="2" t="inlineStr">
        <is>
          <t>2021</t>
        </is>
      </c>
      <c r="F624" s="2" t="inlineStr">
        <is>
          <t>Peer-reviewed (CC BY)</t>
        </is>
      </c>
      <c r="G624" s="2" t="inlineStr">
        <is>
          <t>Crossref verified; full text read. Monthly NO2 at Msida up to 54% below business as usual in 2020.</t>
        </is>
      </c>
      <c r="H624" s="5" t="inlineStr">
        <is>
          <t>https://doi.org/10.3389/frsc.2021.631280</t>
        </is>
      </c>
    </row>
    <row r="625">
      <c r="A625" s="2" t="inlineStr">
        <is>
          <t>615</t>
        </is>
      </c>
      <c r="B625" s="2" t="inlineStr">
        <is>
          <t>CC-034</t>
        </is>
      </c>
      <c r="C625" s="2" t="inlineStr">
        <is>
          <t>Eibinger and Fernando (2026), Zero fare, cleaner air? The causal effect of Luxembourg's free public transportation policy on transport emissions, Environmental and Resource Economics 89:45</t>
        </is>
      </c>
      <c r="D625" s="2" t="inlineStr">
        <is>
          <t>Springer</t>
        </is>
      </c>
      <c r="E625" s="2" t="inlineStr">
        <is>
          <t>2026</t>
        </is>
      </c>
      <c r="F625" s="2" t="inlineStr">
        <is>
          <t>Peer-reviewed (CC BY)</t>
        </is>
      </c>
      <c r="G625" s="2" t="inlineStr">
        <is>
          <t>Crossref verified; read as the authors' copy (eibinget.github.io/files/zerofare.pdf). Road-transport CO2 -5.9%, larger for NOx.</t>
        </is>
      </c>
      <c r="H625" s="5" t="inlineStr">
        <is>
          <t>https://doi.org/10.1007/s10640-026-01090-5</t>
        </is>
      </c>
    </row>
    <row r="626">
      <c r="A626" s="2" t="inlineStr">
        <is>
          <t>616</t>
        </is>
      </c>
      <c r="B626" s="2" t="inlineStr">
        <is>
          <t>CC-034</t>
        </is>
      </c>
      <c r="C626" s="2" t="inlineStr">
        <is>
          <t>Albalate, Borsati and Gragera (2024), Free rides to cleaner air? Examining the impact of massive public transport fare discounts on air quality, Economics of Transportation 40:100380</t>
        </is>
      </c>
      <c r="D626" s="2" t="inlineStr">
        <is>
          <t>Elsevier</t>
        </is>
      </c>
      <c r="E626" s="2" t="inlineStr">
        <is>
          <t>2024</t>
        </is>
      </c>
      <c r="F626" s="2" t="inlineStr">
        <is>
          <t>Peer-reviewed</t>
        </is>
      </c>
      <c r="G626" s="2" t="inlineStr">
        <is>
          <t>Crossref verified; abstract read. Spain 2022 fare discounts: no evidence of improved air quality.</t>
        </is>
      </c>
      <c r="H626" s="5" t="inlineStr">
        <is>
          <t>https://doi.org/10.1016/j.ecotra.2024.100380</t>
        </is>
      </c>
    </row>
    <row r="627">
      <c r="A627" s="2" t="inlineStr">
        <is>
          <t>617</t>
        </is>
      </c>
      <c r="B627" s="2" t="inlineStr">
        <is>
          <t>CC-034</t>
        </is>
      </c>
      <c r="C627" s="2" t="inlineStr">
        <is>
          <t>Grange et al. (2018), Random forest meteorological normalisation models for Swiss PM10 trend analysis, Atmospheric Chemistry and Physics 18:6223-6239</t>
        </is>
      </c>
      <c r="D627" s="2" t="inlineStr">
        <is>
          <t>Copernicus</t>
        </is>
      </c>
      <c r="E627" s="2" t="inlineStr">
        <is>
          <t>2018</t>
        </is>
      </c>
      <c r="F627" s="2" t="inlineStr">
        <is>
          <t>Peer-reviewed (CC BY)</t>
        </is>
      </c>
      <c r="G627" s="2" t="inlineStr">
        <is>
          <t>Crossref verified; abstract read. Method context (weather normalisation not done in CC-034).</t>
        </is>
      </c>
      <c r="H627" s="5" t="inlineStr">
        <is>
          <t>https://doi.org/10.5194/acp-18-6223-2018</t>
        </is>
      </c>
    </row>
    <row r="628">
      <c r="A628" s="2" t="inlineStr">
        <is>
          <t>618</t>
        </is>
      </c>
      <c r="B628" s="2" t="inlineStr">
        <is>
          <t>CC-034</t>
        </is>
      </c>
      <c r="C628" s="2" t="inlineStr">
        <is>
          <t>IMO 2020 - cutting sulphur oxide emissions</t>
        </is>
      </c>
      <c r="D628" s="2" t="inlineStr">
        <is>
          <t>International Maritime Organization</t>
        </is>
      </c>
      <c r="E628" s="2" t="inlineStr">
        <is>
          <t>read 2026-10-06</t>
        </is>
      </c>
      <c r="F628" s="2" t="inlineStr">
        <is>
          <t>Regulator page</t>
        </is>
      </c>
      <c r="G628" s="2" t="inlineStr">
        <is>
          <t>Sulphur limit for ships' fuel oil outside emission control areas: 0.50% m/m from 1 January 2020, down from 3.50% (a co-driver of SO2 at Zejtun). Read with WebFetch on 6 Oct 2026.</t>
        </is>
      </c>
      <c r="H628" s="5" t="inlineStr">
        <is>
          <t>https://www.imo.org/en/MediaCentre/HotTopics/Pages/Sulphur-2020.aspx</t>
        </is>
      </c>
    </row>
    <row r="629">
      <c r="A629" s="2" t="inlineStr">
        <is>
          <t>619</t>
        </is>
      </c>
      <c r="B629" s="2" t="inlineStr">
        <is>
          <t>CC-040</t>
        </is>
      </c>
      <c r="C629" s="2" t="inlineStr">
        <is>
          <t>Eurostat env_wat_cat: water use by supply category and economical sector (PWS, households)</t>
        </is>
      </c>
      <c r="D629" s="2" t="inlineStr">
        <is>
          <t>Eurostat</t>
        </is>
      </c>
      <c r="E629" s="2" t="inlineStr">
        <is>
          <t>read 2026-10-07</t>
        </is>
      </c>
      <c r="F629" s="2" t="inlineStr">
        <is>
          <t>Official statistics</t>
        </is>
      </c>
      <c r="G629" s="2" t="inlineStr">
        <is>
          <t>Estimated values for Malta (flag e); OECD/Eurostat Joint Questionnaire definitions.</t>
        </is>
      </c>
      <c r="H629" s="5" t="inlineStr">
        <is>
          <t>https://doi.org/10.2908/ENV_WAT_CAT</t>
        </is>
      </c>
    </row>
    <row r="630">
      <c r="A630" s="2" t="inlineStr">
        <is>
          <t>620</t>
        </is>
      </c>
      <c r="B630" s="2" t="inlineStr">
        <is>
          <t>CC-040</t>
        </is>
      </c>
      <c r="C630" s="2" t="inlineStr">
        <is>
          <t>Eurostat demo_pjan: population on 1 January</t>
        </is>
      </c>
      <c r="D630" s="2" t="inlineStr">
        <is>
          <t>Eurostat</t>
        </is>
      </c>
      <c r="E630" s="2" t="inlineStr">
        <is>
          <t>read 2026-10-07</t>
        </is>
      </c>
      <c r="F630" s="2" t="inlineStr">
        <is>
          <t>Official statistics</t>
        </is>
      </c>
      <c r="G630" s="2" t="inlineStr">
        <is>
          <t>Denominator for per-person figures.</t>
        </is>
      </c>
      <c r="H630" s="5" t="inlineStr">
        <is>
          <t>https://doi.org/10.2908/DEMO_PJAN</t>
        </is>
      </c>
    </row>
    <row r="631">
      <c r="A631" s="2" t="inlineStr">
        <is>
          <t>621</t>
        </is>
      </c>
      <c r="B631" s="2" t="inlineStr">
        <is>
          <t>CC-043</t>
        </is>
      </c>
      <c r="C631" s="2" t="inlineStr">
        <is>
          <t>Government press release PR251165: Blue Flag 2025 (13 beaches), 28 Jun 2025</t>
        </is>
      </c>
      <c r="D631" s="2" t="inlineStr">
        <is>
          <t>Government of Malta (DOI)</t>
        </is>
      </c>
      <c r="E631" s="2" t="inlineStr">
        <is>
          <t>2025-06-28</t>
        </is>
      </c>
      <c r="F631" s="2" t="inlineStr">
        <is>
          <t>Press release</t>
        </is>
      </c>
      <c r="G631" s="2" t="inlineStr">
        <is>
          <t>Lead, not retrieved (gov.mt 403 to scripts and WebFetch; not in Wayback)</t>
        </is>
      </c>
      <c r="H631" s="5" t="inlineStr">
        <is>
          <t>https://www.gov.mt/en/Government/DOI/Press%20Releases/Pages/2025/06/28/pr251165en.aspx</t>
        </is>
      </c>
    </row>
    <row r="632">
      <c r="A632" s="2" t="inlineStr">
        <is>
          <t>622</t>
        </is>
      </c>
      <c r="B632" s="2" t="inlineStr">
        <is>
          <t>CC-043</t>
        </is>
      </c>
      <c r="C632" s="2" t="inlineStr">
        <is>
          <t>13 beaches recognised with 2025 Blue Flag distinction</t>
        </is>
      </c>
      <c r="D632" s="2" t="inlineStr">
        <is>
          <t>Guide Me Malta</t>
        </is>
      </c>
      <c r="E632" s="2" t="inlineStr">
        <is>
          <t>2025</t>
        </is>
      </c>
      <c r="F632" s="2" t="inlineStr">
        <is>
          <t>News outlet</t>
        </is>
      </c>
      <c r="G632" s="2" t="inlineStr">
        <is>
          <t>Lead, not retrieved in full; outlet text (WebFetch summary), the 13 are 2025 season, 10 Malta + 3 Gozo</t>
        </is>
      </c>
      <c r="H632" s="5" t="inlineStr">
        <is>
          <t>https://www.guidememalta.com/en/let-s-go-to-the-beach-malta-and-gozo-celebrate-13-beaches-recognised-with-2025-blue-flag-distinction</t>
        </is>
      </c>
    </row>
    <row r="633">
      <c r="A633" s="2" t="inlineStr">
        <is>
          <t>623</t>
        </is>
      </c>
      <c r="B633" s="2" t="inlineStr">
        <is>
          <t>CC-046</t>
        </is>
      </c>
      <c r="C633" s="2" t="inlineStr">
        <is>
          <t>New reverse osmosis plant gives Gozo autonomy in water supply</t>
        </is>
      </c>
      <c r="D633" s="2" t="inlineStr">
        <is>
          <t>MaltaToday</t>
        </is>
      </c>
      <c r="E633" s="2" t="inlineStr">
        <is>
          <t>2021-11-19</t>
        </is>
      </c>
      <c r="F633" s="2" t="inlineStr">
        <is>
          <t>News outlet</t>
        </is>
      </c>
      <c r="G633" s="2" t="inlineStr">
        <is>
          <t>Lead, not retrieved (403; search summary only, second-hand): inauguration at Ħondoq, PM Abela on autonomy, 9,000 m3/day</t>
        </is>
      </c>
      <c r="H633" s="5" t="inlineStr">
        <is>
          <t>https://maltatoday.com.mt/news/national/113350/new_reverse_osmosis_plant_gives_gozo_autonomy_in_water_supply</t>
        </is>
      </c>
    </row>
    <row r="634">
      <c r="A634" s="2" t="inlineStr">
        <is>
          <t>624</t>
        </is>
      </c>
      <c r="B634" s="2" t="inlineStr">
        <is>
          <t>CC-052</t>
        </is>
      </c>
      <c r="C634" s="2" t="inlineStr">
        <is>
          <t>Maltese Environmental Watchdog Pushes Bluefin Farms To Clean Up Slime</t>
        </is>
      </c>
      <c r="D634" s="2" t="inlineStr">
        <is>
          <t>Atuna</t>
        </is>
      </c>
      <c r="E634" s="2" t="inlineStr">
        <is>
          <t>2025-08-18</t>
        </is>
      </c>
      <c r="F634" s="2" t="inlineStr">
        <is>
          <t>News outlet (relay)</t>
        </is>
      </c>
      <c r="G634" s="2" t="inlineStr">
        <is>
          <t>Lead, second-hand relay of Maltese outlets; quotes the first half of the ERA statement only</t>
        </is>
      </c>
      <c r="H634" s="5" t="inlineStr">
        <is>
          <t>https://www.atuna.com/news/maltese-environmental-watchdog-pushes-bluefin-farms-to-clean-up-slime/</t>
        </is>
      </c>
    </row>
    <row r="635">
      <c r="A635" s="2" t="inlineStr">
        <is>
          <t>625</t>
        </is>
      </c>
      <c r="B635" s="2" t="inlineStr">
        <is>
          <t>CC-060</t>
        </is>
      </c>
      <c r="C635" s="2" t="inlineStr">
        <is>
          <t>Housing Authority: The Path to Homeownership (survey of FTB beneficiaries; 10,675 contacted Sep-Oct 2025)</t>
        </is>
      </c>
      <c r="D635" s="2" t="inlineStr">
        <is>
          <t>Housing Authority</t>
        </is>
      </c>
      <c r="E635" s="2" t="inlineStr">
        <is>
          <t>2026-07</t>
        </is>
      </c>
      <c r="F635" s="2" t="inlineStr">
        <is>
          <t>Official report</t>
        </is>
      </c>
      <c r="G635" s="2" t="inlineStr">
        <is>
          <t>Lead, not the speaker's statement; read in full text for the figure only</t>
        </is>
      </c>
      <c r="H635" s="5" t="inlineStr">
        <is>
          <t>https://housingauthority.gov.mt/wp-content/uploads/2026/07/The-Path-to-Homeownership.pdf</t>
        </is>
      </c>
    </row>
    <row r="636">
      <c r="A636" s="2" t="inlineStr">
        <is>
          <t>626</t>
        </is>
      </c>
      <c r="B636" s="2" t="inlineStr">
        <is>
          <t>CC-069</t>
        </is>
      </c>
      <c r="C636" s="2" t="inlineStr">
        <is>
          <t>NSO Malta: Public Transport (2025 commuters 82,944,589, +9.5%; search summary, second-hand)</t>
        </is>
      </c>
      <c r="D636" s="2" t="inlineStr">
        <is>
          <t>NSO Malta</t>
        </is>
      </c>
      <c r="E636" s="2" t="inlineStr">
        <is>
          <t>2026-07</t>
        </is>
      </c>
      <c r="F636" s="2" t="inlineStr">
        <is>
          <t>Official statistics</t>
        </is>
      </c>
      <c r="G636" s="2" t="inlineStr">
        <is>
          <t>Lead, not the speaker's statement; NSO page now blocked to scripts</t>
        </is>
      </c>
      <c r="H636" s="5" t="inlineStr">
        <is>
          <t>https://nso.gov.mt/road-transport-public-transport/</t>
        </is>
      </c>
    </row>
    <row r="637">
      <c r="A637" s="2" t="inlineStr">
        <is>
          <t>627</t>
        </is>
      </c>
      <c r="B637" s="2" t="inlineStr">
        <is>
          <t>CC-055</t>
        </is>
      </c>
      <c r="C637" s="2" t="inlineStr">
        <is>
          <t>Agreement over Manoel Island and Fort Tigné signed (Abela quoted)</t>
        </is>
      </c>
      <c r="D637" s="2" t="inlineStr">
        <is>
          <t>Newsbook</t>
        </is>
      </c>
      <c r="E637" s="2" t="inlineStr">
        <is>
          <t>13 May 2026</t>
        </is>
      </c>
      <c r="F637" s="2" t="inlineStr">
        <is>
          <t>News (full text read)</t>
        </is>
      </c>
      <c r="G637" s="2" t="inlineStr">
        <is>
          <t>Primary for the Prime Minister's quoted words</t>
        </is>
      </c>
      <c r="H637" s="5" t="inlineStr">
        <is>
          <t>https://newsbook.com.mt/en/agreement-over-manoel-island-and-fort-tigne-signed/</t>
        </is>
      </c>
    </row>
    <row r="638">
      <c r="A638" s="2" t="inlineStr">
        <is>
          <t>628</t>
        </is>
      </c>
      <c r="B638" s="2" t="inlineStr">
        <is>
          <t>CC-055</t>
        </is>
      </c>
      <c r="C638" s="2" t="inlineStr">
        <is>
          <t>Manoel Island and Fort Tigné agreement finalised to return sites to the public</t>
        </is>
      </c>
      <c r="D638" s="2" t="inlineStr">
        <is>
          <t>TVM News</t>
        </is>
      </c>
      <c r="E638" s="2" t="inlineStr">
        <is>
          <t>13 May 2026</t>
        </is>
      </c>
      <c r="F638" s="2" t="inlineStr">
        <is>
          <t>News (full text read)</t>
        </is>
      </c>
      <c r="G638" s="2" t="inlineStr">
        <is>
          <t>'Historic moment' quoted; rest is TVM's text</t>
        </is>
      </c>
      <c r="H638" s="5" t="inlineStr">
        <is>
          <t>https://tvmnews.mt/en/news/manoel-island-and-fort-tigne-agreement-finalised-to-return-sites-to-the-public/</t>
        </is>
      </c>
    </row>
    <row r="639">
      <c r="A639" s="2" t="inlineStr">
        <is>
          <t>629</t>
        </is>
      </c>
      <c r="B639" s="2" t="inlineStr">
        <is>
          <t>CC-055</t>
        </is>
      </c>
      <c r="C639" s="2" t="inlineStr">
        <is>
          <t>Company announcement MDI222: public deed, return to Government</t>
        </is>
      </c>
      <c r="D639" s="2" t="inlineStr">
        <is>
          <t>MIDI p.l.c. (Malta Stock Exchange)</t>
        </is>
      </c>
      <c r="E639" s="2" t="inlineStr">
        <is>
          <t>13 May 2026</t>
        </is>
      </c>
      <c r="F639" s="2" t="inlineStr">
        <is>
          <t>Company disclosure (read in full)</t>
        </is>
      </c>
      <c r="G639" s="2" t="inlineStr">
        <is>
          <t>Primary for the return; MDI214 and MDI215 also read</t>
        </is>
      </c>
      <c r="H639" s="5" t="inlineStr">
        <is>
          <t>https://cdn.borzamalta.com.mt/download/announcements/MDI222.pdf</t>
        </is>
      </c>
    </row>
    <row r="640">
      <c r="A640" s="2" t="inlineStr">
        <is>
          <t>630</t>
        </is>
      </c>
      <c r="B640" s="2" t="inlineStr">
        <is>
          <t>CC-055</t>
        </is>
      </c>
      <c r="C640" s="2" t="inlineStr">
        <is>
          <t>Government reaches EUR 43M agreement to end concession</t>
        </is>
      </c>
      <c r="D640" s="2" t="inlineStr">
        <is>
          <t>TVM News</t>
        </is>
      </c>
      <c r="E640" s="2" t="inlineStr">
        <is>
          <t>17 Mar 2026</t>
        </is>
      </c>
      <c r="F640" s="2" t="inlineStr">
        <is>
          <t>News (full text read)</t>
        </is>
      </c>
      <c r="G640" s="2" t="inlineStr">
        <is>
          <t>Bonnici's figures as TVM reports them</t>
        </is>
      </c>
      <c r="H640" s="5" t="inlineStr">
        <is>
          <t>https://tvmnews.mt/en/news/government-reaches-e43m-agreement-to-end-concession-midi-requested-e78m</t>
        </is>
      </c>
    </row>
    <row r="641">
      <c r="A641" s="2" t="inlineStr">
        <is>
          <t>631</t>
        </is>
      </c>
      <c r="B641" s="2" t="inlineStr">
        <is>
          <t>CC-055</t>
        </is>
      </c>
      <c r="C641" s="2" t="inlineStr">
        <is>
          <t>Manoel Island: A 'national park' only for the election</t>
        </is>
      </c>
      <c r="D641" s="2" t="inlineStr">
        <is>
          <t>Partit Nazzjonalista</t>
        </is>
      </c>
      <c r="E641" s="2" t="inlineStr">
        <is>
          <t>17 Jul 2026</t>
        </is>
      </c>
      <c r="F641" s="2" t="inlineStr">
        <is>
          <t>Party statement (read in full)</t>
        </is>
      </c>
      <c r="G641" s="2" t="inlineStr">
        <is>
          <t>Opposition view: no legal definition of a national park</t>
        </is>
      </c>
      <c r="H641" s="5" t="inlineStr">
        <is>
          <t>https://pn.org.mt/en/?p=29629</t>
        </is>
      </c>
    </row>
    <row r="642">
      <c r="A642" s="2" t="inlineStr">
        <is>
          <t>632</t>
        </is>
      </c>
      <c r="B642" s="2" t="inlineStr">
        <is>
          <t>CC-055</t>
        </is>
      </c>
      <c r="C642" s="2" t="inlineStr">
        <is>
          <t>Planning Authority sanctions 20 illegal Manoel Island padel courts and approves 10 more</t>
        </is>
      </c>
      <c r="D642" s="2" t="inlineStr">
        <is>
          <t>Lovin Malta</t>
        </is>
      </c>
      <c r="E642" s="2" t="inlineStr">
        <is>
          <t>16 Jul 2026</t>
        </is>
      </c>
      <c r="F642" s="2" t="inlineStr">
        <is>
          <t>News (full text read)</t>
        </is>
      </c>
      <c r="G642" s="2" t="inlineStr">
        <is>
          <t>PA decision not read</t>
        </is>
      </c>
      <c r="H642" s="5" t="inlineStr">
        <is>
          <t>https://lovinmalta.com/news/local/planning-authority-sanctions-20-illegal-manoel-island-padel-courts-and-approves-10-more/</t>
        </is>
      </c>
    </row>
    <row r="643">
      <c r="A643" s="2" t="inlineStr">
        <is>
          <t>633</t>
        </is>
      </c>
      <c r="B643" s="2" t="inlineStr">
        <is>
          <t>CC-055</t>
        </is>
      </c>
      <c r="C643" s="2" t="inlineStr">
        <is>
          <t>Consolidated texts of Cap. 549, 552, 445, 504, 573, 623</t>
        </is>
      </c>
      <c r="D643" s="2" t="inlineStr">
        <is>
          <t>legislation.mt</t>
        </is>
      </c>
      <c r="E643" s="2" t="inlineStr">
        <is>
          <t>searched 9 Oct 2026</t>
        </is>
      </c>
      <c r="F643" s="2" t="inlineStr">
        <is>
          <t>Statute text</t>
        </is>
      </c>
      <c r="G643" s="2" t="inlineStr">
        <is>
          <t>Searched for 'national park': no occurrence</t>
        </is>
      </c>
      <c r="H643" s="5" t="inlineStr">
        <is>
          <t>https://legislation.mt/</t>
        </is>
      </c>
    </row>
    <row r="644">
      <c r="A644" s="2" t="inlineStr">
        <is>
          <t>634</t>
        </is>
      </c>
      <c r="B644" s="2" t="inlineStr">
        <is>
          <t>CC-065</t>
        </is>
      </c>
      <c r="C644" s="2" t="inlineStr">
        <is>
          <t>ADPD statement: Forti Chambray: eżempju wieħed biss tas-saltna tar-regħba (Gauci, Caruana)</t>
        </is>
      </c>
      <c r="D644" s="2" t="inlineStr">
        <is>
          <t>ADPD – The Green Party</t>
        </is>
      </c>
      <c r="E644" s="2" t="inlineStr">
        <is>
          <t>2 May 2026</t>
        </is>
      </c>
      <c r="F644" s="2" t="inlineStr">
        <is>
          <t>Party statement (read in full)</t>
        </is>
      </c>
      <c r="G644" s="2" t="inlineStr">
        <is>
          <t>The claim: Maltese wording; our translation</t>
        </is>
      </c>
      <c r="H644" s="5" t="inlineStr">
        <is>
          <t>https://adpd.mt/forti-chambray-ezempju-wiehed-biss-tas-saltna-tar-reghba-fpajjizna/</t>
        </is>
      </c>
    </row>
    <row r="645">
      <c r="A645" s="2" t="inlineStr">
        <is>
          <t>635</t>
        </is>
      </c>
      <c r="B645" s="2" t="inlineStr">
        <is>
          <t>CC-065</t>
        </is>
      </c>
      <c r="C645" s="2" t="inlineStr">
        <is>
          <t>Fort Chambray debacle just one example of Malta's 'reign of greed' – ADPD</t>
        </is>
      </c>
      <c r="D645" s="2" t="inlineStr">
        <is>
          <t>Newsbook</t>
        </is>
      </c>
      <c r="E645" s="2" t="inlineStr">
        <is>
          <t>2 May 2026</t>
        </is>
      </c>
      <c r="F645" s="2" t="inlineStr">
        <is>
          <t>News (full text read)</t>
        </is>
      </c>
      <c r="G645" s="2" t="inlineStr">
        <is>
          <t>Outlet's English report of the statement</t>
        </is>
      </c>
      <c r="H645" s="5" t="inlineStr">
        <is>
          <t>https://newsbook.com.mt/en/fort-chambray-debacle-just-one-example-of-maltas-reign-of-greed-adpd/</t>
        </is>
      </c>
    </row>
    <row r="646">
      <c r="A646" s="2" t="inlineStr">
        <is>
          <t>636</t>
        </is>
      </c>
      <c r="B646" s="2" t="inlineStr">
        <is>
          <t>CC-065</t>
        </is>
      </c>
      <c r="C646" s="2" t="inlineStr">
        <is>
          <t>Ġgantija development approved despite heritage fears</t>
        </is>
      </c>
      <c r="D646" s="2" t="inlineStr">
        <is>
          <t>Newsbook</t>
        </is>
      </c>
      <c r="E646" s="2" t="inlineStr">
        <is>
          <t>30 Apr 2026</t>
        </is>
      </c>
      <c r="F646" s="2" t="inlineStr">
        <is>
          <t>News (full text read)</t>
        </is>
      </c>
      <c r="G646" s="2" t="inlineStr">
        <is>
          <t>Vote 10 to 1; PA record not read</t>
        </is>
      </c>
      <c r="H646" s="5" t="inlineStr">
        <is>
          <t>https://newsbook.com.mt/en/ggantija-development-approved-despite-heritage-fears/</t>
        </is>
      </c>
    </row>
    <row r="647">
      <c r="A647" s="2" t="inlineStr">
        <is>
          <t>637</t>
        </is>
      </c>
      <c r="B647" s="2" t="inlineStr">
        <is>
          <t>CC-065</t>
        </is>
      </c>
      <c r="C647" s="2" t="inlineStr">
        <is>
          <t>Abela claims Ġgantija apartments 'will not prejudice' UNESCO site</t>
        </is>
      </c>
      <c r="D647" s="2" t="inlineStr">
        <is>
          <t>Newsbook</t>
        </is>
      </c>
      <c r="E647" s="2" t="inlineStr">
        <is>
          <t>4 May 2026</t>
        </is>
      </c>
      <c r="F647" s="2" t="inlineStr">
        <is>
          <t>News (full text read)</t>
        </is>
      </c>
      <c r="G647" s="2" t="inlineStr">
        <is>
          <t>Prime Minister's statement as reported</t>
        </is>
      </c>
      <c r="H647" s="5" t="inlineStr">
        <is>
          <t>https://newsbook.com.mt/en/abela-claims-ggantija-apartments-will-not-prejudice-unesco-site/</t>
        </is>
      </c>
    </row>
    <row r="648">
      <c r="A648" s="2" t="inlineStr">
        <is>
          <t>638</t>
        </is>
      </c>
      <c r="B648" s="2" t="inlineStr">
        <is>
          <t>CC-065</t>
        </is>
      </c>
      <c r="C648" s="2" t="inlineStr">
        <is>
          <t>Watch: Farmhouse beside Ġgantija Temples demolished following planning approval</t>
        </is>
      </c>
      <c r="D648" s="2" t="inlineStr">
        <is>
          <t>Newsbook</t>
        </is>
      </c>
      <c r="E648" s="2" t="inlineStr">
        <is>
          <t>13 Jun 2026</t>
        </is>
      </c>
      <c r="F648" s="2" t="inlineStr">
        <is>
          <t>News (full text read)</t>
        </is>
      </c>
      <c r="G648" s="2" t="inlineStr">
        <is>
          <t>Approval date 30 Apr; some claims unconfirmed by the outlet</t>
        </is>
      </c>
      <c r="H648" s="5" t="inlineStr">
        <is>
          <t>https://newsbook.com.mt/en/watch-farmhouse-beside-ggantija-temples-demolished-following-planning-approval/</t>
        </is>
      </c>
    </row>
    <row r="649">
      <c r="A649" s="2" t="inlineStr">
        <is>
          <t>639</t>
        </is>
      </c>
      <c r="B649" s="2" t="inlineStr">
        <is>
          <t>CC-065</t>
        </is>
      </c>
      <c r="C649" s="2" t="inlineStr">
        <is>
          <t>Momentum condemns permit approval for 22 block apartment near Ggantija Temples</t>
        </is>
      </c>
      <c r="D649" s="2" t="inlineStr">
        <is>
          <t>TVM News</t>
        </is>
      </c>
      <c r="E649" s="2" t="inlineStr">
        <is>
          <t>30 Apr 2026</t>
        </is>
      </c>
      <c r="F649" s="2" t="inlineStr">
        <is>
          <t>News (full text read)</t>
        </is>
      </c>
      <c r="G649" s="2" t="inlineStr">
        <is>
          <t>Same-day report of the approval</t>
        </is>
      </c>
      <c r="H649" s="5" t="inlineStr">
        <is>
          <t>https://tvmnews.mt/en/news/momentum-condemns-permit-approval-for-22-block-apartment-near-ggantija-temples/</t>
        </is>
      </c>
    </row>
    <row r="650">
      <c r="A650" s="2" t="inlineStr">
        <is>
          <t>640</t>
        </is>
      </c>
      <c r="B650" s="2" t="inlineStr">
        <is>
          <t>CC-065</t>
        </is>
      </c>
      <c r="C650" s="2" t="inlineStr">
        <is>
          <t>Planning Authority revokes permit for apartments in Ġgantija area</t>
        </is>
      </c>
      <c r="D650" s="2" t="inlineStr">
        <is>
          <t>TVM News</t>
        </is>
      </c>
      <c r="E650" s="2" t="inlineStr">
        <is>
          <t>7 Mar 2024</t>
        </is>
      </c>
      <c r="F650" s="2" t="inlineStr">
        <is>
          <t>News (full text read)</t>
        </is>
      </c>
      <c r="G650" s="2" t="inlineStr">
        <is>
          <t>Site about 157 m from the temples (TVM's text)</t>
        </is>
      </c>
      <c r="H650" s="5" t="inlineStr">
        <is>
          <t>https://tvmnews.mt/en/news/planning-authority-revokes-permit-for-apartments-in-ggantija-area/</t>
        </is>
      </c>
    </row>
    <row r="651">
      <c r="A651" s="2" t="inlineStr">
        <is>
          <t>641</t>
        </is>
      </c>
      <c r="B651" s="2" t="inlineStr">
        <is>
          <t>CC-065</t>
        </is>
      </c>
      <c r="C651" s="2" t="inlineStr">
        <is>
          <t>PA revokes approval of apartment block overlooking Ġgantija temples</t>
        </is>
      </c>
      <c r="D651" s="2" t="inlineStr">
        <is>
          <t>Newsbook</t>
        </is>
      </c>
      <c r="E651" s="2" t="inlineStr">
        <is>
          <t>7 Mar 2024</t>
        </is>
      </c>
      <c r="F651" s="2" t="inlineStr">
        <is>
          <t>News (full text read)</t>
        </is>
      </c>
      <c r="G651" s="2" t="inlineStr">
        <is>
          <t>Outlet's report of the Authority's statement: second-hand</t>
        </is>
      </c>
      <c r="H651" s="5" t="inlineStr">
        <is>
          <t>https://newsbook.com.mt/en/pa-revokes-approval-of-apartment-block-overlooking-ggantija-temples/</t>
        </is>
      </c>
    </row>
    <row r="652">
      <c r="A652" s="2" t="inlineStr">
        <is>
          <t>642</t>
        </is>
      </c>
      <c r="B652" s="2" t="inlineStr">
        <is>
          <t>CC-065</t>
        </is>
      </c>
      <c r="C652" s="2" t="inlineStr">
        <is>
          <t>Planning Authority delays decision on Ġgantija buffer zone flats after NGOs challenge heritage assessment</t>
        </is>
      </c>
      <c r="D652" s="2" t="inlineStr">
        <is>
          <t>The Shift News</t>
        </is>
      </c>
      <c r="E652" s="2" t="inlineStr">
        <is>
          <t>12 Mar 2026</t>
        </is>
      </c>
      <c r="F652" s="2" t="inlineStr">
        <is>
          <t>News (full text read)</t>
        </is>
      </c>
      <c r="G652" s="2" t="inlineStr">
        <is>
          <t>Assessment findings and NGO objections as reported</t>
        </is>
      </c>
      <c r="H652" s="5" t="inlineStr">
        <is>
          <t>https://theshiftnews.com/2026/03/12/planning-authority-delays-decision-on-ggantija-buffer-zone-flats-after-ngos-challenge-heritage-assessment/</t>
        </is>
      </c>
    </row>
    <row r="653">
      <c r="A653" s="2" t="inlineStr">
        <is>
          <t>643</t>
        </is>
      </c>
      <c r="B653" s="2" t="inlineStr">
        <is>
          <t>CC-065</t>
        </is>
      </c>
      <c r="C653" s="2" t="inlineStr">
        <is>
          <t>Gozo Regional Council objects to development within Ġgantija Temples buffer zone</t>
        </is>
      </c>
      <c r="D653" s="2" t="inlineStr">
        <is>
          <t>Reġjun Għawdex</t>
        </is>
      </c>
      <c r="E653" s="2" t="inlineStr">
        <is>
          <t>15 Dec 2023</t>
        </is>
      </c>
      <c r="F653" s="2" t="inlineStr">
        <is>
          <t>Letter to the Planning Authority (read in full)</t>
        </is>
      </c>
      <c r="G653" s="2" t="inlineStr">
        <is>
          <t>Cites GN 853/10; an interested party's letter</t>
        </is>
      </c>
      <c r="H653" s="5" t="inlineStr">
        <is>
          <t>https://regjunghawdex.com/?p=1812</t>
        </is>
      </c>
    </row>
    <row r="654">
      <c r="A654" s="2" t="inlineStr">
        <is>
          <t>644</t>
        </is>
      </c>
      <c r="B654" s="2" t="inlineStr">
        <is>
          <t>CC-065</t>
        </is>
      </c>
      <c r="C654" s="2" t="inlineStr">
        <is>
          <t>Megalithic Temples of Malta Management Plan 2012-2017</t>
        </is>
      </c>
      <c r="D654" s="2" t="inlineStr">
        <is>
          <t>Parliamentary Secretariat for Culture and Local Government / Heritage Malta</t>
        </is>
      </c>
      <c r="E654" s="2" t="inlineStr">
        <is>
          <t>Nov 2011</t>
        </is>
      </c>
      <c r="F654" s="2" t="inlineStr">
        <is>
          <t>Official plan (read in full)</t>
        </is>
      </c>
      <c r="G654" s="2" t="inlineStr">
        <is>
          <t>Figure 2 buffer zone map; PDF not committed</t>
        </is>
      </c>
      <c r="H654" s="5" t="inlineStr">
        <is>
          <t>https://heritagemalta.mt/app/uploads/2024/02/Megalithic-Temples-Management-Plan-2012-17.pdf</t>
        </is>
      </c>
    </row>
    <row r="655">
      <c r="A655" s="2" t="inlineStr">
        <is>
          <t>645</t>
        </is>
      </c>
      <c r="B655" s="2" t="inlineStr">
        <is>
          <t>CC-065</t>
        </is>
      </c>
      <c r="C655" s="2" t="inlineStr">
        <is>
          <t>Residential development downsized outside buffer zone will not impact Ġgantija temples – PA</t>
        </is>
      </c>
      <c r="D655" s="2" t="inlineStr">
        <is>
          <t>TVM News</t>
        </is>
      </c>
      <c r="E655" s="2" t="inlineStr">
        <is>
          <t>9 Nov 2023</t>
        </is>
      </c>
      <c r="F655" s="2" t="inlineStr">
        <is>
          <t>News (full text read)</t>
        </is>
      </c>
      <c r="G655" s="2" t="inlineStr">
        <is>
          <t>The Authority's 2023 statement as reported</t>
        </is>
      </c>
      <c r="H655" s="5" t="inlineStr">
        <is>
          <t>https://tvmnews.mt/en/news/residential-development-downsized-outside-buffer-zone-will-not-impact-ggantija-temples-pa/</t>
        </is>
      </c>
    </row>
    <row r="656">
      <c r="A656" s="2" t="inlineStr">
        <is>
          <t>646</t>
        </is>
      </c>
      <c r="B656" s="2" t="inlineStr">
        <is>
          <t>CC-065</t>
        </is>
      </c>
      <c r="C656" s="2" t="inlineStr">
        <is>
          <t>Coalition for Gozo: UNESCO confirms need for heritage impact assessment near Ġgantija</t>
        </is>
      </c>
      <c r="D656" s="2" t="inlineStr">
        <is>
          <t>Newsbook</t>
        </is>
      </c>
      <c r="E656" s="2" t="inlineStr">
        <is>
          <t>2025</t>
        </is>
      </c>
      <c r="F656" s="2" t="inlineStr">
        <is>
          <t>News (full text read)</t>
        </is>
      </c>
      <c r="G656" s="2" t="inlineStr">
        <is>
          <t>Quotes a UNESCO letter of Oct 2022: second-hand</t>
        </is>
      </c>
      <c r="H656" s="5" t="inlineStr">
        <is>
          <t>https://newsbook.com.mt/en/coalition-for-gozo-unesco-confirms-need-for-heritage-impact-assessment-near-ggantija/</t>
        </is>
      </c>
    </row>
    <row r="657">
      <c r="A657" s="2" t="inlineStr">
        <is>
          <t>647</t>
        </is>
      </c>
      <c r="B657" s="2" t="inlineStr">
        <is>
          <t>CC-072</t>
        </is>
      </c>
      <c r="C657" s="2" t="inlineStr">
        <is>
          <t>New traffic measures will cost €15million</t>
        </is>
      </c>
      <c r="D657" s="2" t="inlineStr">
        <is>
          <t>TVM News</t>
        </is>
      </c>
      <c r="E657" s="2" t="inlineStr">
        <is>
          <t>29 Mar 2025</t>
        </is>
      </c>
      <c r="F657" s="2" t="inlineStr">
        <is>
          <t>News (full text read)</t>
        </is>
      </c>
      <c r="G657" s="2" t="inlineStr">
        <is>
          <t>Lead, not retrieved as primary: indirect speech; EUR 15m is the cost of all measures together (maximum); quoted words are about consultation</t>
        </is>
      </c>
      <c r="H657" s="5" t="inlineStr">
        <is>
          <t>https://tvmnews.mt/en/news/new-traffic-measures-will-cost-e15million/</t>
        </is>
      </c>
    </row>
    <row r="658">
      <c r="A658" s="2" t="inlineStr">
        <is>
          <t>648</t>
        </is>
      </c>
      <c r="B658" s="2" t="inlineStr">
        <is>
          <t>CC-072</t>
        </is>
      </c>
      <c r="C658" s="2" t="inlineStr">
        <is>
          <t>More than 45 measures announced to reduce traffic congestion</t>
        </is>
      </c>
      <c r="D658" s="2" t="inlineStr">
        <is>
          <t>TVM News</t>
        </is>
      </c>
      <c r="E658" s="2" t="inlineStr">
        <is>
          <t>29 Mar 2025</t>
        </is>
      </c>
      <c r="F658" s="2" t="inlineStr">
        <is>
          <t>News (full text read)</t>
        </is>
      </c>
      <c r="G658" s="2" t="inlineStr">
        <is>
          <t>Lead, not retrieved as primary: carries the ministry statement (quoted) listing the EUR 25,000 grant; no cost figure in the quoted text</t>
        </is>
      </c>
      <c r="H658" s="5" t="inlineStr">
        <is>
          <t>https://tvmnews.mt/en/news/more-than-45-measures-announced-to-reduce-traffic-congestion/</t>
        </is>
      </c>
    </row>
    <row r="659">
      <c r="A659" s="2" t="inlineStr">
        <is>
          <t>649</t>
        </is>
      </c>
      <c r="B659" s="2" t="inlineStr">
        <is>
          <t>CC-078</t>
        </is>
      </c>
      <c r="C659" s="2" t="inlineStr">
        <is>
          <t>Two new Gozo ferries and fleet upgrade planned in €130 million investment</t>
        </is>
      </c>
      <c r="D659" s="2" t="inlineStr">
        <is>
          <t>Newsbook</t>
        </is>
      </c>
      <c r="E659" s="2" t="inlineStr">
        <is>
          <t>14 Jan 2026</t>
        </is>
      </c>
      <c r="F659" s="2" t="inlineStr">
        <is>
          <t>News (full text read)</t>
        </is>
      </c>
      <c r="G659" s="2" t="inlineStr">
        <is>
          <t>Lead, not retrieved as primary: outlet text; ministers unveiled plans, "by 2029"; no trips or passenger figures</t>
        </is>
      </c>
      <c r="H659" s="5" t="inlineStr">
        <is>
          <t>https://newsbook.com.mt/en/two-new-gozo-ferries-and-fleet-upgrade-planned-in-e130-million-investment/</t>
        </is>
      </c>
    </row>
    <row r="660">
      <c r="A660" s="2" t="inlineStr">
        <is>
          <t>650</t>
        </is>
      </c>
      <c r="B660" s="2" t="inlineStr">
        <is>
          <t>CC-078</t>
        </is>
      </c>
      <c r="C660" s="2" t="inlineStr">
        <is>
          <t>Sea transport between Malta and Gozo: Q4 2025</t>
        </is>
      </c>
      <c r="D660" s="2" t="inlineStr">
        <is>
          <t>National Statistics Office</t>
        </is>
      </c>
      <c r="E660" s="2" t="inlineStr">
        <is>
          <t>2026</t>
        </is>
      </c>
      <c r="F660" s="2" t="inlineStr">
        <is>
          <t>Statistics release (search summary only)</t>
        </is>
      </c>
      <c r="G660" s="2" t="inlineStr">
        <is>
          <t>Lead, not retrieved (403): 1,707 trips and 511,306 passengers in 2025 for Gozo Channel plus fast ferry (second-hand)</t>
        </is>
      </c>
      <c r="H660" s="5" t="inlineStr">
        <is>
          <t>https://nso.gov.mt/sea-transport-between-malta-and-gozo-q4-2025/</t>
        </is>
      </c>
    </row>
    <row r="661">
      <c r="A661" s="2" t="inlineStr">
        <is>
          <t>651</t>
        </is>
      </c>
      <c r="B661" s="2" t="inlineStr">
        <is>
          <t>CC-068</t>
        </is>
      </c>
      <c r="C661" s="2" t="inlineStr">
        <is>
          <t>PA starts process to withdraw Marsascala yacht marina planning policy</t>
        </is>
      </c>
      <c r="D661" s="2" t="inlineStr">
        <is>
          <t>TVM News</t>
        </is>
      </c>
      <c r="E661" s="2" t="inlineStr">
        <is>
          <t>4 May 2024</t>
        </is>
      </c>
      <c r="F661" s="2" t="inlineStr">
        <is>
          <t>News (full text read)</t>
        </is>
      </c>
      <c r="G661" s="2" t="inlineStr">
        <is>
          <t>Lead, not retrieved as primary: relays the PA statement without quotation marks; PA 'has started the process' to withdraw SMMS 04; comments to 17 Jun 2024</t>
        </is>
      </c>
      <c r="H661" s="5" t="inlineStr">
        <is>
          <t>https://tvmnews.mt/en/news/pa-starts-process-to-withdraw-marsascala-yacht-marina-planning-policy/</t>
        </is>
      </c>
    </row>
    <row r="662">
      <c r="A662" s="2" t="inlineStr">
        <is>
          <t>652</t>
        </is>
      </c>
      <c r="B662" s="2" t="inlineStr">
        <is>
          <t>CC-068</t>
        </is>
      </c>
      <c r="C662" s="2" t="inlineStr">
        <is>
          <t>PA withdraws Marsaskala yacht marina plans</t>
        </is>
      </c>
      <c r="D662" s="2" t="inlineStr">
        <is>
          <t>Newsbook</t>
        </is>
      </c>
      <c r="E662" s="2" t="inlineStr">
        <is>
          <t>3 May 2024</t>
        </is>
      </c>
      <c r="F662" s="2" t="inlineStr">
        <is>
          <t>News (full text read)</t>
        </is>
      </c>
      <c r="G662" s="2" t="inlineStr">
        <is>
          <t>Lead, not retrieved as primary: outlet text of a PA statement; headline says 'withdrawn' but body says the PA 'commenced the process'</t>
        </is>
      </c>
      <c r="H662" s="5" t="inlineStr">
        <is>
          <t>https://newsbook.com.mt/en/pa-withdraws-marsaskala-yacht-marina-plans/</t>
        </is>
      </c>
    </row>
    <row r="663">
      <c r="A663" s="2" t="inlineStr">
        <is>
          <t>653</t>
        </is>
      </c>
      <c r="B663" s="2" t="inlineStr">
        <is>
          <t>CC-068</t>
        </is>
      </c>
      <c r="C663" s="2" t="inlineStr">
        <is>
          <t>Marsascala yacht marina will not happen, says Prime Minister</t>
        </is>
      </c>
      <c r="D663" s="2" t="inlineStr">
        <is>
          <t>Business Now</t>
        </is>
      </c>
      <c r="E663" s="2" t="inlineStr">
        <is>
          <t>23 Feb 2022</t>
        </is>
      </c>
      <c r="F663" s="2" t="inlineStr">
        <is>
          <t>News (full text read)</t>
        </is>
      </c>
      <c r="G663" s="2" t="inlineStr">
        <is>
          <t>Lead, not retrieved as primary: Abela quoted 'the best decision is for this project to stop at once' (campaign event, 22 Feb 2022)</t>
        </is>
      </c>
      <c r="H663" s="5" t="inlineStr">
        <is>
          <t>https://businessnow.mt/marsascala-yacht-marina-will-not-happen-says-prime-minister/</t>
        </is>
      </c>
    </row>
    <row r="664">
      <c r="A664" s="2" t="inlineStr">
        <is>
          <t>654</t>
        </is>
      </c>
      <c r="B664" s="2" t="inlineStr">
        <is>
          <t>CC-068</t>
        </is>
      </c>
      <c r="C664" s="2" t="inlineStr">
        <is>
          <t>Notice of withdrawal of subsidiary policy SMMS-04 (South Malta Local Plan page)</t>
        </is>
      </c>
      <c r="D664" s="2" t="inlineStr">
        <is>
          <t>Planning Authority</t>
        </is>
      </c>
      <c r="E664" s="2" t="inlineStr">
        <is>
          <t>2024</t>
        </is>
      </c>
      <c r="F664" s="2" t="inlineStr">
        <is>
          <t>Official notice (not retrieved)</t>
        </is>
      </c>
      <c r="G664" s="2" t="inlineStr">
        <is>
          <t>Lead, not retrieved: pa.org.mt 403 to scripts; known only from a search summary (second-hand); needed to settle whether the withdrawal was adopted</t>
        </is>
      </c>
      <c r="H664" s="5" t="inlineStr">
        <is>
          <t>https://www.pa.org.mt/en/local-plan-details/south-malta-local-plan</t>
        </is>
      </c>
    </row>
    <row r="665">
      <c r="A665" s="2" t="inlineStr">
        <is>
          <t>655</t>
        </is>
      </c>
      <c r="B665" s="2" t="inlineStr">
        <is>
          <t>CC-071</t>
        </is>
      </c>
      <c r="C665" s="2" t="inlineStr">
        <is>
          <t>'Free' public transport reaches EUR 100 million a year in subsidies as traffic gridlock worsens</t>
        </is>
      </c>
      <c r="D665" s="2" t="inlineStr">
        <is>
          <t>The Shift News</t>
        </is>
      </c>
      <c r="E665" s="2" t="inlineStr">
        <is>
          <t>26 Feb 2026</t>
        </is>
      </c>
      <c r="F665" s="2" t="inlineStr">
        <is>
          <t>News (full text read)</t>
        </is>
      </c>
      <c r="G665" s="2" t="inlineStr">
        <is>
          <t>Primary: the claim itself (outlet is the speaker); figures from PQ replies not read</t>
        </is>
      </c>
      <c r="H665" s="5" t="inlineStr">
        <is>
          <t>https://theshiftnews.com/2026/02/26/free-public-transport-reaches-e100-million-a-year-in-subsidies-as-traffic-gridlock-worsens/</t>
        </is>
      </c>
    </row>
    <row r="666">
      <c r="A666" s="2" t="inlineStr">
        <is>
          <t>656</t>
        </is>
      </c>
      <c r="B666" s="2" t="inlineStr">
        <is>
          <t>CC-071</t>
        </is>
      </c>
      <c r="C666" s="2" t="inlineStr">
        <is>
          <t>Nefqa ta' EUR 100 miljun fis-sena ghal trasport pubbliku b'xejn</t>
        </is>
      </c>
      <c r="D666" s="2" t="inlineStr">
        <is>
          <t>Newsbook</t>
        </is>
      </c>
      <c r="E666" s="2" t="inlineStr">
        <is>
          <t>27 Feb 2026</t>
        </is>
      </c>
      <c r="F666" s="2" t="inlineStr">
        <is>
          <t>News (full text read)</t>
        </is>
      </c>
      <c r="G666" s="2" t="inlineStr">
        <is>
          <t>Outlet report of the same tabled document; second-hand for the figures</t>
        </is>
      </c>
      <c r="H666" s="5" t="inlineStr">
        <is>
          <t>https://newsbook.com.mt/nefqa-ta-e100-miljun-fis-sena-ghal-trasport-pubbliku-bxejn/</t>
        </is>
      </c>
    </row>
    <row r="667">
      <c r="A667" s="2" t="inlineStr">
        <is>
          <t>657</t>
        </is>
      </c>
      <c r="B667" s="2" t="inlineStr">
        <is>
          <t>CC-071</t>
        </is>
      </c>
      <c r="C667" s="2" t="inlineStr">
        <is>
          <t>Government shells out close to EUR 70 million to national bus operator Malta Public Transport in 2023</t>
        </is>
      </c>
      <c r="D667" s="2" t="inlineStr">
        <is>
          <t>Business Now</t>
        </is>
      </c>
      <c r="E667" s="2" t="inlineStr">
        <is>
          <t>18 Apr 2024</t>
        </is>
      </c>
      <c r="F667" s="2" t="inlineStr">
        <is>
          <t>News (full text read)</t>
        </is>
      </c>
      <c r="G667" s="2" t="inlineStr">
        <is>
          <t>Second-hand: payments 2021-2023 and Budget 2024 allocations</t>
        </is>
      </c>
      <c r="H667" s="5" t="inlineStr">
        <is>
          <t>https://businessnow.mt/government-shells-out-close-to-e70-million-to-national-bus-operator-malta-public-transport-in-2023/</t>
        </is>
      </c>
    </row>
    <row r="668">
      <c r="A668" s="2" t="inlineStr">
        <is>
          <t>658</t>
        </is>
      </c>
      <c r="B668" s="2" t="inlineStr">
        <is>
          <t>CC-071</t>
        </is>
      </c>
      <c r="C668" s="2" t="inlineStr">
        <is>
          <t>Passenger cars (road_eqs_carmot); Population on 1 January (demo_gind)</t>
        </is>
      </c>
      <c r="D668" s="2" t="inlineStr">
        <is>
          <t>Eurostat</t>
        </is>
      </c>
      <c r="E668" s="2" t="inlineStr">
        <is>
          <t>retrieved 10 Oct 2026</t>
        </is>
      </c>
      <c r="F668" s="2" t="inlineStr">
        <is>
          <t>Official statistics (downloaded)</t>
        </is>
      </c>
      <c r="G668" s="2" t="inlineStr">
        <is>
          <t>Primary; 2025 values latest release</t>
        </is>
      </c>
      <c r="H668" s="5" t="inlineStr">
        <is>
          <t>https://doi.org/10.2908/ROAD_EQS_CARMOT</t>
        </is>
      </c>
    </row>
    <row r="669">
      <c r="A669" s="2" t="inlineStr">
        <is>
          <t>659</t>
        </is>
      </c>
      <c r="B669" s="2" t="inlineStr">
        <is>
          <t>CC-071</t>
        </is>
      </c>
      <c r="C669" s="2" t="inlineStr">
        <is>
          <t>Traffic Index: Valletta</t>
        </is>
      </c>
      <c r="D669" s="2" t="inlineStr">
        <is>
          <t>TomTom</t>
        </is>
      </c>
      <c r="E669" s="2" t="inlineStr">
        <is>
          <t>read 10 Oct 2026</t>
        </is>
      </c>
      <c r="F669" s="2" t="inlineStr">
        <is>
          <t>Commercial dataset (page data read)</t>
        </is>
      </c>
      <c r="G669" s="2" t="inlineStr">
        <is>
          <t>Primary for congestion level; metro area, two years read</t>
        </is>
      </c>
      <c r="H669" s="5" t="inlineStr">
        <is>
          <t>https://www.tomtom.com/traffic-index/city/valletta/</t>
        </is>
      </c>
    </row>
    <row r="670">
      <c r="A670" s="2" t="inlineStr">
        <is>
          <t>660</t>
        </is>
      </c>
      <c r="B670" s="2" t="inlineStr">
        <is>
          <t>CC-090</t>
        </is>
      </c>
      <c r="C670" s="2" t="inlineStr">
        <is>
          <t>Momentum: Government withholds information on the localities of heat-related deaths</t>
        </is>
      </c>
      <c r="D670" s="2" t="inlineStr">
        <is>
          <t>Momentum (party)</t>
        </is>
      </c>
      <c r="E670" s="2" t="inlineStr">
        <is>
          <t>26 Aug 2026</t>
        </is>
      </c>
      <c r="F670" s="2" t="inlineStr">
        <is>
          <t>News / party statement</t>
        </is>
      </c>
      <c r="G670" s="2" t="inlineStr">
        <is>
          <t>Lead, not retrieved as ministry wording; party paraphrase of the ministry confirmation of 13 Aug 2026</t>
        </is>
      </c>
      <c r="H670" s="5" t="inlineStr">
        <is>
          <t>https://partitmomentum.org/?p=6437</t>
        </is>
      </c>
    </row>
    <row r="671">
      <c r="A671" s="2" t="inlineStr">
        <is>
          <t>661</t>
        </is>
      </c>
      <c r="B671" s="2" t="inlineStr">
        <is>
          <t>CC-090</t>
        </is>
      </c>
      <c r="C671" s="2" t="inlineStr">
        <is>
          <t>Malta, heat linked to 20 deaths in one week</t>
        </is>
      </c>
      <c r="D671" s="2" t="inlineStr">
        <is>
          <t>Italpress/MNA</t>
        </is>
      </c>
      <c r="E671" s="2" t="inlineStr">
        <is>
          <t>14 Aug 2026</t>
        </is>
      </c>
      <c r="F671" s="2" t="inlineStr">
        <is>
          <t>News (full text read)</t>
        </is>
      </c>
      <c r="G671" s="2" t="inlineStr">
        <is>
          <t>Lead, not retrieved as ministry wording; outlet paraphrase</t>
        </is>
      </c>
      <c r="H671" s="5" t="inlineStr">
        <is>
          <t>https://www.italpress.com/malta-heat-linked-to-20-deaths-in-one-week/</t>
        </is>
      </c>
    </row>
    <row r="672">
      <c r="A672" s="2" t="inlineStr">
        <is>
          <t>194</t>
        </is>
      </c>
      <c r="B672" s="2" t="inlineStr">
        <is>
          <t>CC-062</t>
        </is>
      </c>
      <c r="C672" s="2" t="inlineStr">
        <is>
          <t>Construction Industry and Property Market Report 2025</t>
        </is>
      </c>
      <c r="D672" s="2" t="inlineStr">
        <is>
          <t>KPMG for the MDA</t>
        </is>
      </c>
      <c r="E672" s="2" t="inlineStr">
        <is>
          <t>Dec 2025</t>
        </is>
      </c>
      <c r="F672" s="2" t="inlineStr">
        <is>
          <t>Primary statement</t>
        </is>
      </c>
      <c r="G672" s="2" t="inlineStr">
        <is>
          <t>Primary statement (foreword, PDF p. 10) and Tables 1.1-1.3; read 8 Oct 2026; not committed (copyright)</t>
        </is>
      </c>
      <c r="H672" s="5" t="inlineStr">
        <is>
          <t>https://assets.kpmg.com/content/dam/kpmgsites/mt/pdf/2025/12/kpmg-mda-construction-industry-and-property-market-report-2025.pdf</t>
        </is>
      </c>
    </row>
    <row r="673">
      <c r="A673" s="2" t="inlineStr">
        <is>
          <t>662</t>
        </is>
      </c>
      <c r="B673" s="2" t="inlineStr">
        <is>
          <t>CC-062</t>
        </is>
      </c>
      <c r="C673" s="2" t="inlineStr">
        <is>
          <t>Eurostat nama_10_a64: GVA and output by industry, Malta</t>
        </is>
      </c>
      <c r="D673" s="2" t="inlineStr">
        <is>
          <t>Eurostat</t>
        </is>
      </c>
      <c r="E673" s="2" t="inlineStr">
        <is>
          <t>2026-10-08</t>
        </is>
      </c>
      <c r="F673" s="2" t="inlineStr">
        <is>
          <t>Official statistics</t>
        </is>
      </c>
      <c r="G673" s="2" t="inlineStr">
        <is>
          <t>Retrieved 8 Oct 2026; data/cc-062/nama_10_a64_MT.json</t>
        </is>
      </c>
      <c r="H673" s="5" t="inlineStr">
        <is>
          <t>https://ec.europa.eu/eurostat/databrowser/view/nama_10_a64/</t>
        </is>
      </c>
    </row>
    <row r="674">
      <c r="A674" s="2" t="inlineStr">
        <is>
          <t>663</t>
        </is>
      </c>
      <c r="B674" s="2" t="inlineStr">
        <is>
          <t>CC-062</t>
        </is>
      </c>
      <c r="C674" s="2" t="inlineStr">
        <is>
          <t>Eurostat naio_10_cp1750: symmetric input-output table, Malta (2015, 2020)</t>
        </is>
      </c>
      <c r="D674" s="2" t="inlineStr">
        <is>
          <t>Eurostat</t>
        </is>
      </c>
      <c r="E674" s="2" t="inlineStr">
        <is>
          <t>2026-10-08</t>
        </is>
      </c>
      <c r="F674" s="2" t="inlineStr">
        <is>
          <t>Official statistics</t>
        </is>
      </c>
      <c r="G674" s="2" t="inlineStr">
        <is>
          <t>Retrieved 8 Oct 2026; partial for Malta (72% of 2015 value added); used to test whether multipliers can be re-derived</t>
        </is>
      </c>
      <c r="H674" s="5" t="inlineStr">
        <is>
          <t>https://ec.europa.eu/eurostat/databrowser/view/naio_10_cp1750/</t>
        </is>
      </c>
    </row>
    <row r="675">
      <c r="A675" s="2" t="inlineStr">
        <is>
          <t>664</t>
        </is>
      </c>
      <c r="B675" s="2" t="inlineStr">
        <is>
          <t>CC-056</t>
        </is>
      </c>
      <c r="C675" s="2" t="inlineStr">
        <is>
          <t>Infrastructure Malta spokesperson on Central Link trees (via Lovin Malta, 25 Jul 2019)</t>
        </is>
      </c>
      <c r="D675" s="2" t="inlineStr">
        <is>
          <t>Lovin Malta</t>
        </is>
      </c>
      <c r="E675" s="2" t="inlineStr">
        <is>
          <t>2019-07-25</t>
        </is>
      </c>
      <c r="F675" s="2" t="inlineStr">
        <is>
          <t>News outlet</t>
        </is>
      </c>
      <c r="G675" s="2" t="inlineStr">
        <is>
          <t>Lead, read in full; only the 4 m tree height sentence is in quotation marks; 254 is the outlet's figure</t>
        </is>
      </c>
      <c r="H675" s="5" t="inlineStr">
        <is>
          <t>https://lovinmalta.com/news/major-central-link-pledge-only-254-trees-will-be-destroyed-all-replacements-will-be-mature/</t>
        </is>
      </c>
    </row>
    <row r="676">
      <c r="A676" s="2" t="inlineStr">
        <is>
          <t>665</t>
        </is>
      </c>
      <c r="B676" s="2" t="inlineStr">
        <is>
          <t>CC-056</t>
        </is>
      </c>
      <c r="C676" s="2" t="inlineStr">
        <is>
          <t>Some trees marked with spray paint will be removed for Central Link project</t>
        </is>
      </c>
      <c r="D676" s="2" t="inlineStr">
        <is>
          <t>The Shift</t>
        </is>
      </c>
      <c r="E676" s="2" t="inlineStr">
        <is>
          <t>2020-01-21</t>
        </is>
      </c>
      <c r="F676" s="2" t="inlineStr">
        <is>
          <t>News outlet</t>
        </is>
      </c>
      <c r="G676" s="2" t="inlineStr">
        <is>
          <t>Lead, read: IM statement in quotation marks (285 more trees); CEO Azzopardi: 439 trees to be removed, 185 transplanted; ERA instructed 1,274 compensatory trees (also see CC-057)</t>
        </is>
      </c>
      <c r="H676" s="5" t="inlineStr">
        <is>
          <t>https://theshiftnews.com/2020/01/21/some-trees-marked-with-spray-paint-will-be-removed-for-central-link-project/</t>
        </is>
      </c>
    </row>
    <row r="677">
      <c r="A677" s="2" t="inlineStr">
        <is>
          <t>666</t>
        </is>
      </c>
      <c r="B677" s="2" t="inlineStr">
        <is>
          <t>CC-059</t>
        </is>
      </c>
      <c r="C677" s="2" t="inlineStr">
        <is>
          <t>Malta, statistics office report rise in agricultural subsidies</t>
        </is>
      </c>
      <c r="D677" s="2" t="inlineStr">
        <is>
          <t>Italpress/MNA</t>
        </is>
      </c>
      <c r="E677" s="2" t="inlineStr">
        <is>
          <t>2026-09-29</t>
        </is>
      </c>
      <c r="F677" s="2" t="inlineStr">
        <is>
          <t>News outlet (relay)</t>
        </is>
      </c>
      <c r="G677" s="2" t="inlineStr">
        <is>
          <t>Lead, read: indirect speech of the NSO release; NSO release itself not retrieved (403)</t>
        </is>
      </c>
      <c r="H677" s="5" t="inlineStr">
        <is>
          <t>https://www.italpress.com/?p=752830</t>
        </is>
      </c>
    </row>
  </sheetData>
  <autoFilter ref="A1:H677"/>
  <hyperlinks>
    <hyperlink xmlns:r="http://schemas.openxmlformats.org/officeDocument/2006/relationships" ref="H3" r:id="rId1"/>
    <hyperlink xmlns:r="http://schemas.openxmlformats.org/officeDocument/2006/relationships" ref="H4" r:id="rId2"/>
    <hyperlink xmlns:r="http://schemas.openxmlformats.org/officeDocument/2006/relationships" ref="H5" r:id="rId3"/>
    <hyperlink xmlns:r="http://schemas.openxmlformats.org/officeDocument/2006/relationships" ref="H6" r:id="rId4"/>
    <hyperlink xmlns:r="http://schemas.openxmlformats.org/officeDocument/2006/relationships" ref="H7" r:id="rId5"/>
    <hyperlink xmlns:r="http://schemas.openxmlformats.org/officeDocument/2006/relationships" ref="H8" r:id="rId6"/>
    <hyperlink xmlns:r="http://schemas.openxmlformats.org/officeDocument/2006/relationships" ref="H9" r:id="rId7"/>
    <hyperlink xmlns:r="http://schemas.openxmlformats.org/officeDocument/2006/relationships" ref="H10" r:id="rId8"/>
    <hyperlink xmlns:r="http://schemas.openxmlformats.org/officeDocument/2006/relationships" ref="H11" r:id="rId9"/>
    <hyperlink xmlns:r="http://schemas.openxmlformats.org/officeDocument/2006/relationships" ref="H12" r:id="rId10"/>
    <hyperlink xmlns:r="http://schemas.openxmlformats.org/officeDocument/2006/relationships" ref="H13" r:id="rId11"/>
    <hyperlink xmlns:r="http://schemas.openxmlformats.org/officeDocument/2006/relationships" ref="H14" r:id="rId12"/>
    <hyperlink xmlns:r="http://schemas.openxmlformats.org/officeDocument/2006/relationships" ref="H15" r:id="rId13"/>
    <hyperlink xmlns:r="http://schemas.openxmlformats.org/officeDocument/2006/relationships" ref="H16" r:id="rId14"/>
    <hyperlink xmlns:r="http://schemas.openxmlformats.org/officeDocument/2006/relationships" ref="H17" r:id="rId15"/>
    <hyperlink xmlns:r="http://schemas.openxmlformats.org/officeDocument/2006/relationships" ref="H18" r:id="rId16"/>
    <hyperlink xmlns:r="http://schemas.openxmlformats.org/officeDocument/2006/relationships" ref="H19" r:id="rId17"/>
    <hyperlink xmlns:r="http://schemas.openxmlformats.org/officeDocument/2006/relationships" ref="H20" r:id="rId18"/>
    <hyperlink xmlns:r="http://schemas.openxmlformats.org/officeDocument/2006/relationships" ref="H21" r:id="rId19"/>
    <hyperlink xmlns:r="http://schemas.openxmlformats.org/officeDocument/2006/relationships" ref="H22" r:id="rId20"/>
    <hyperlink xmlns:r="http://schemas.openxmlformats.org/officeDocument/2006/relationships" ref="H23" r:id="rId21"/>
    <hyperlink xmlns:r="http://schemas.openxmlformats.org/officeDocument/2006/relationships" ref="H24" r:id="rId22"/>
    <hyperlink xmlns:r="http://schemas.openxmlformats.org/officeDocument/2006/relationships" ref="H25" r:id="rId23"/>
    <hyperlink xmlns:r="http://schemas.openxmlformats.org/officeDocument/2006/relationships" ref="H26" r:id="rId24"/>
    <hyperlink xmlns:r="http://schemas.openxmlformats.org/officeDocument/2006/relationships" ref="H27" r:id="rId25"/>
    <hyperlink xmlns:r="http://schemas.openxmlformats.org/officeDocument/2006/relationships" ref="H28" r:id="rId26"/>
    <hyperlink xmlns:r="http://schemas.openxmlformats.org/officeDocument/2006/relationships" ref="H29" r:id="rId27"/>
    <hyperlink xmlns:r="http://schemas.openxmlformats.org/officeDocument/2006/relationships" ref="H30" r:id="rId28"/>
    <hyperlink xmlns:r="http://schemas.openxmlformats.org/officeDocument/2006/relationships" ref="H31" r:id="rId29"/>
    <hyperlink xmlns:r="http://schemas.openxmlformats.org/officeDocument/2006/relationships" ref="H32" r:id="rId30"/>
    <hyperlink xmlns:r="http://schemas.openxmlformats.org/officeDocument/2006/relationships" ref="H33" r:id="rId31"/>
    <hyperlink xmlns:r="http://schemas.openxmlformats.org/officeDocument/2006/relationships" ref="H34" r:id="rId32"/>
    <hyperlink xmlns:r="http://schemas.openxmlformats.org/officeDocument/2006/relationships" ref="H35" r:id="rId33"/>
    <hyperlink xmlns:r="http://schemas.openxmlformats.org/officeDocument/2006/relationships" ref="H36" r:id="rId34"/>
    <hyperlink xmlns:r="http://schemas.openxmlformats.org/officeDocument/2006/relationships" ref="H37" r:id="rId35"/>
    <hyperlink xmlns:r="http://schemas.openxmlformats.org/officeDocument/2006/relationships" ref="H38" r:id="rId36"/>
    <hyperlink xmlns:r="http://schemas.openxmlformats.org/officeDocument/2006/relationships" ref="H39" r:id="rId37"/>
    <hyperlink xmlns:r="http://schemas.openxmlformats.org/officeDocument/2006/relationships" ref="H40" r:id="rId38"/>
    <hyperlink xmlns:r="http://schemas.openxmlformats.org/officeDocument/2006/relationships" ref="H41" r:id="rId39"/>
    <hyperlink xmlns:r="http://schemas.openxmlformats.org/officeDocument/2006/relationships" ref="H42" r:id="rId40"/>
    <hyperlink xmlns:r="http://schemas.openxmlformats.org/officeDocument/2006/relationships" ref="H43" r:id="rId41"/>
    <hyperlink xmlns:r="http://schemas.openxmlformats.org/officeDocument/2006/relationships" ref="H44" r:id="rId42"/>
    <hyperlink xmlns:r="http://schemas.openxmlformats.org/officeDocument/2006/relationships" ref="H45" r:id="rId43"/>
    <hyperlink xmlns:r="http://schemas.openxmlformats.org/officeDocument/2006/relationships" ref="H46" r:id="rId44"/>
    <hyperlink xmlns:r="http://schemas.openxmlformats.org/officeDocument/2006/relationships" ref="H47" r:id="rId45"/>
    <hyperlink xmlns:r="http://schemas.openxmlformats.org/officeDocument/2006/relationships" ref="H48" r:id="rId46"/>
    <hyperlink xmlns:r="http://schemas.openxmlformats.org/officeDocument/2006/relationships" ref="H49" r:id="rId47"/>
    <hyperlink xmlns:r="http://schemas.openxmlformats.org/officeDocument/2006/relationships" ref="H50" r:id="rId48"/>
    <hyperlink xmlns:r="http://schemas.openxmlformats.org/officeDocument/2006/relationships" ref="H51" r:id="rId49"/>
    <hyperlink xmlns:r="http://schemas.openxmlformats.org/officeDocument/2006/relationships" ref="H52" r:id="rId50"/>
    <hyperlink xmlns:r="http://schemas.openxmlformats.org/officeDocument/2006/relationships" ref="H53" r:id="rId51"/>
    <hyperlink xmlns:r="http://schemas.openxmlformats.org/officeDocument/2006/relationships" ref="H54" r:id="rId52"/>
    <hyperlink xmlns:r="http://schemas.openxmlformats.org/officeDocument/2006/relationships" ref="H55" r:id="rId53"/>
    <hyperlink xmlns:r="http://schemas.openxmlformats.org/officeDocument/2006/relationships" ref="H56" r:id="rId54"/>
    <hyperlink xmlns:r="http://schemas.openxmlformats.org/officeDocument/2006/relationships" ref="H57" r:id="rId55"/>
    <hyperlink xmlns:r="http://schemas.openxmlformats.org/officeDocument/2006/relationships" ref="H58" r:id="rId56"/>
    <hyperlink xmlns:r="http://schemas.openxmlformats.org/officeDocument/2006/relationships" ref="H59" r:id="rId57"/>
    <hyperlink xmlns:r="http://schemas.openxmlformats.org/officeDocument/2006/relationships" ref="H60" r:id="rId58"/>
    <hyperlink xmlns:r="http://schemas.openxmlformats.org/officeDocument/2006/relationships" ref="H61" r:id="rId59"/>
    <hyperlink xmlns:r="http://schemas.openxmlformats.org/officeDocument/2006/relationships" ref="H62" r:id="rId60"/>
    <hyperlink xmlns:r="http://schemas.openxmlformats.org/officeDocument/2006/relationships" ref="H63" r:id="rId61"/>
    <hyperlink xmlns:r="http://schemas.openxmlformats.org/officeDocument/2006/relationships" ref="H64" r:id="rId62"/>
    <hyperlink xmlns:r="http://schemas.openxmlformats.org/officeDocument/2006/relationships" ref="H65" r:id="rId63"/>
    <hyperlink xmlns:r="http://schemas.openxmlformats.org/officeDocument/2006/relationships" ref="H66" r:id="rId64"/>
    <hyperlink xmlns:r="http://schemas.openxmlformats.org/officeDocument/2006/relationships" ref="H67" r:id="rId65"/>
    <hyperlink xmlns:r="http://schemas.openxmlformats.org/officeDocument/2006/relationships" ref="H68" r:id="rId66"/>
    <hyperlink xmlns:r="http://schemas.openxmlformats.org/officeDocument/2006/relationships" ref="H69" r:id="rId67"/>
    <hyperlink xmlns:r="http://schemas.openxmlformats.org/officeDocument/2006/relationships" ref="H70" r:id="rId68"/>
    <hyperlink xmlns:r="http://schemas.openxmlformats.org/officeDocument/2006/relationships" ref="H71" r:id="rId69"/>
    <hyperlink xmlns:r="http://schemas.openxmlformats.org/officeDocument/2006/relationships" ref="H72" r:id="rId70"/>
    <hyperlink xmlns:r="http://schemas.openxmlformats.org/officeDocument/2006/relationships" ref="H73" r:id="rId71"/>
    <hyperlink xmlns:r="http://schemas.openxmlformats.org/officeDocument/2006/relationships" ref="H74" r:id="rId72"/>
    <hyperlink xmlns:r="http://schemas.openxmlformats.org/officeDocument/2006/relationships" ref="H75" r:id="rId73"/>
    <hyperlink xmlns:r="http://schemas.openxmlformats.org/officeDocument/2006/relationships" ref="H76" r:id="rId74"/>
    <hyperlink xmlns:r="http://schemas.openxmlformats.org/officeDocument/2006/relationships" ref="H77" r:id="rId75"/>
    <hyperlink xmlns:r="http://schemas.openxmlformats.org/officeDocument/2006/relationships" ref="H78" r:id="rId76"/>
    <hyperlink xmlns:r="http://schemas.openxmlformats.org/officeDocument/2006/relationships" ref="H79" r:id="rId77"/>
    <hyperlink xmlns:r="http://schemas.openxmlformats.org/officeDocument/2006/relationships" ref="H80" r:id="rId78"/>
    <hyperlink xmlns:r="http://schemas.openxmlformats.org/officeDocument/2006/relationships" ref="H81" r:id="rId79"/>
    <hyperlink xmlns:r="http://schemas.openxmlformats.org/officeDocument/2006/relationships" ref="H82" r:id="rId80"/>
    <hyperlink xmlns:r="http://schemas.openxmlformats.org/officeDocument/2006/relationships" ref="H83" r:id="rId81"/>
    <hyperlink xmlns:r="http://schemas.openxmlformats.org/officeDocument/2006/relationships" ref="H84" r:id="rId82"/>
    <hyperlink xmlns:r="http://schemas.openxmlformats.org/officeDocument/2006/relationships" ref="H85" r:id="rId83"/>
    <hyperlink xmlns:r="http://schemas.openxmlformats.org/officeDocument/2006/relationships" ref="H86" r:id="rId84"/>
    <hyperlink xmlns:r="http://schemas.openxmlformats.org/officeDocument/2006/relationships" ref="H87" r:id="rId85"/>
    <hyperlink xmlns:r="http://schemas.openxmlformats.org/officeDocument/2006/relationships" ref="H88" r:id="rId86"/>
    <hyperlink xmlns:r="http://schemas.openxmlformats.org/officeDocument/2006/relationships" ref="H89" r:id="rId87"/>
    <hyperlink xmlns:r="http://schemas.openxmlformats.org/officeDocument/2006/relationships" ref="H90" r:id="rId88"/>
    <hyperlink xmlns:r="http://schemas.openxmlformats.org/officeDocument/2006/relationships" ref="H91" r:id="rId89"/>
    <hyperlink xmlns:r="http://schemas.openxmlformats.org/officeDocument/2006/relationships" ref="H92" r:id="rId90"/>
    <hyperlink xmlns:r="http://schemas.openxmlformats.org/officeDocument/2006/relationships" ref="H93" r:id="rId91"/>
    <hyperlink xmlns:r="http://schemas.openxmlformats.org/officeDocument/2006/relationships" ref="H94" r:id="rId92"/>
    <hyperlink xmlns:r="http://schemas.openxmlformats.org/officeDocument/2006/relationships" ref="H95" r:id="rId93"/>
    <hyperlink xmlns:r="http://schemas.openxmlformats.org/officeDocument/2006/relationships" ref="H96" r:id="rId94"/>
    <hyperlink xmlns:r="http://schemas.openxmlformats.org/officeDocument/2006/relationships" ref="H97" r:id="rId95"/>
    <hyperlink xmlns:r="http://schemas.openxmlformats.org/officeDocument/2006/relationships" ref="H98" r:id="rId96"/>
    <hyperlink xmlns:r="http://schemas.openxmlformats.org/officeDocument/2006/relationships" ref="H99" r:id="rId97"/>
    <hyperlink xmlns:r="http://schemas.openxmlformats.org/officeDocument/2006/relationships" ref="H100" r:id="rId98"/>
    <hyperlink xmlns:r="http://schemas.openxmlformats.org/officeDocument/2006/relationships" ref="H101" r:id="rId99"/>
    <hyperlink xmlns:r="http://schemas.openxmlformats.org/officeDocument/2006/relationships" ref="H102" r:id="rId100"/>
    <hyperlink xmlns:r="http://schemas.openxmlformats.org/officeDocument/2006/relationships" ref="H103" r:id="rId101"/>
    <hyperlink xmlns:r="http://schemas.openxmlformats.org/officeDocument/2006/relationships" ref="H104" r:id="rId102"/>
    <hyperlink xmlns:r="http://schemas.openxmlformats.org/officeDocument/2006/relationships" ref="H105" r:id="rId103"/>
    <hyperlink xmlns:r="http://schemas.openxmlformats.org/officeDocument/2006/relationships" ref="H106" r:id="rId104"/>
    <hyperlink xmlns:r="http://schemas.openxmlformats.org/officeDocument/2006/relationships" ref="H107" r:id="rId105"/>
    <hyperlink xmlns:r="http://schemas.openxmlformats.org/officeDocument/2006/relationships" ref="H108" r:id="rId106"/>
    <hyperlink xmlns:r="http://schemas.openxmlformats.org/officeDocument/2006/relationships" ref="H109" r:id="rId107"/>
    <hyperlink xmlns:r="http://schemas.openxmlformats.org/officeDocument/2006/relationships" ref="H110" r:id="rId108"/>
    <hyperlink xmlns:r="http://schemas.openxmlformats.org/officeDocument/2006/relationships" ref="H111" r:id="rId109"/>
    <hyperlink xmlns:r="http://schemas.openxmlformats.org/officeDocument/2006/relationships" ref="H112" r:id="rId110"/>
    <hyperlink xmlns:r="http://schemas.openxmlformats.org/officeDocument/2006/relationships" ref="H113" r:id="rId111"/>
    <hyperlink xmlns:r="http://schemas.openxmlformats.org/officeDocument/2006/relationships" ref="H114" r:id="rId112"/>
    <hyperlink xmlns:r="http://schemas.openxmlformats.org/officeDocument/2006/relationships" ref="H115" r:id="rId113"/>
    <hyperlink xmlns:r="http://schemas.openxmlformats.org/officeDocument/2006/relationships" ref="H116" r:id="rId114"/>
    <hyperlink xmlns:r="http://schemas.openxmlformats.org/officeDocument/2006/relationships" ref="H117" r:id="rId115"/>
    <hyperlink xmlns:r="http://schemas.openxmlformats.org/officeDocument/2006/relationships" ref="H118" r:id="rId116"/>
    <hyperlink xmlns:r="http://schemas.openxmlformats.org/officeDocument/2006/relationships" ref="H119" r:id="rId117"/>
    <hyperlink xmlns:r="http://schemas.openxmlformats.org/officeDocument/2006/relationships" ref="H120" r:id="rId118"/>
    <hyperlink xmlns:r="http://schemas.openxmlformats.org/officeDocument/2006/relationships" ref="H121" r:id="rId119"/>
    <hyperlink xmlns:r="http://schemas.openxmlformats.org/officeDocument/2006/relationships" ref="H122" r:id="rId120"/>
    <hyperlink xmlns:r="http://schemas.openxmlformats.org/officeDocument/2006/relationships" ref="H123" r:id="rId121"/>
    <hyperlink xmlns:r="http://schemas.openxmlformats.org/officeDocument/2006/relationships" ref="H124" r:id="rId122"/>
    <hyperlink xmlns:r="http://schemas.openxmlformats.org/officeDocument/2006/relationships" ref="H125" r:id="rId123"/>
    <hyperlink xmlns:r="http://schemas.openxmlformats.org/officeDocument/2006/relationships" ref="H126" r:id="rId124"/>
    <hyperlink xmlns:r="http://schemas.openxmlformats.org/officeDocument/2006/relationships" ref="H127" r:id="rId125"/>
    <hyperlink xmlns:r="http://schemas.openxmlformats.org/officeDocument/2006/relationships" ref="H128" r:id="rId126"/>
    <hyperlink xmlns:r="http://schemas.openxmlformats.org/officeDocument/2006/relationships" ref="H129" r:id="rId127"/>
    <hyperlink xmlns:r="http://schemas.openxmlformats.org/officeDocument/2006/relationships" ref="H130" r:id="rId128"/>
    <hyperlink xmlns:r="http://schemas.openxmlformats.org/officeDocument/2006/relationships" ref="H131" r:id="rId129"/>
    <hyperlink xmlns:r="http://schemas.openxmlformats.org/officeDocument/2006/relationships" ref="H132" r:id="rId130"/>
    <hyperlink xmlns:r="http://schemas.openxmlformats.org/officeDocument/2006/relationships" ref="H133" r:id="rId131"/>
    <hyperlink xmlns:r="http://schemas.openxmlformats.org/officeDocument/2006/relationships" ref="H134" r:id="rId132"/>
    <hyperlink xmlns:r="http://schemas.openxmlformats.org/officeDocument/2006/relationships" ref="H135" r:id="rId133"/>
    <hyperlink xmlns:r="http://schemas.openxmlformats.org/officeDocument/2006/relationships" ref="H136" r:id="rId134"/>
    <hyperlink xmlns:r="http://schemas.openxmlformats.org/officeDocument/2006/relationships" ref="H137" r:id="rId135"/>
    <hyperlink xmlns:r="http://schemas.openxmlformats.org/officeDocument/2006/relationships" ref="H138" r:id="rId136"/>
    <hyperlink xmlns:r="http://schemas.openxmlformats.org/officeDocument/2006/relationships" ref="H139" r:id="rId137"/>
    <hyperlink xmlns:r="http://schemas.openxmlformats.org/officeDocument/2006/relationships" ref="H140" r:id="rId138"/>
    <hyperlink xmlns:r="http://schemas.openxmlformats.org/officeDocument/2006/relationships" ref="H141" r:id="rId139"/>
    <hyperlink xmlns:r="http://schemas.openxmlformats.org/officeDocument/2006/relationships" ref="H142" r:id="rId140"/>
    <hyperlink xmlns:r="http://schemas.openxmlformats.org/officeDocument/2006/relationships" ref="H143" r:id="rId141"/>
    <hyperlink xmlns:r="http://schemas.openxmlformats.org/officeDocument/2006/relationships" ref="H144" r:id="rId142"/>
    <hyperlink xmlns:r="http://schemas.openxmlformats.org/officeDocument/2006/relationships" ref="H145" r:id="rId143"/>
    <hyperlink xmlns:r="http://schemas.openxmlformats.org/officeDocument/2006/relationships" ref="H146" r:id="rId144"/>
    <hyperlink xmlns:r="http://schemas.openxmlformats.org/officeDocument/2006/relationships" ref="H147" r:id="rId145"/>
    <hyperlink xmlns:r="http://schemas.openxmlformats.org/officeDocument/2006/relationships" ref="H148" r:id="rId146"/>
    <hyperlink xmlns:r="http://schemas.openxmlformats.org/officeDocument/2006/relationships" ref="H149" r:id="rId147"/>
    <hyperlink xmlns:r="http://schemas.openxmlformats.org/officeDocument/2006/relationships" ref="H150" r:id="rId148"/>
    <hyperlink xmlns:r="http://schemas.openxmlformats.org/officeDocument/2006/relationships" ref="H151" r:id="rId149"/>
    <hyperlink xmlns:r="http://schemas.openxmlformats.org/officeDocument/2006/relationships" ref="H152" r:id="rId150"/>
    <hyperlink xmlns:r="http://schemas.openxmlformats.org/officeDocument/2006/relationships" ref="H153" r:id="rId151"/>
    <hyperlink xmlns:r="http://schemas.openxmlformats.org/officeDocument/2006/relationships" ref="H154" r:id="rId152"/>
    <hyperlink xmlns:r="http://schemas.openxmlformats.org/officeDocument/2006/relationships" ref="H155" r:id="rId153"/>
    <hyperlink xmlns:r="http://schemas.openxmlformats.org/officeDocument/2006/relationships" ref="H156" r:id="rId154"/>
    <hyperlink xmlns:r="http://schemas.openxmlformats.org/officeDocument/2006/relationships" ref="H157" r:id="rId155"/>
    <hyperlink xmlns:r="http://schemas.openxmlformats.org/officeDocument/2006/relationships" ref="H158" r:id="rId156"/>
    <hyperlink xmlns:r="http://schemas.openxmlformats.org/officeDocument/2006/relationships" ref="H159" r:id="rId157"/>
    <hyperlink xmlns:r="http://schemas.openxmlformats.org/officeDocument/2006/relationships" ref="H160" r:id="rId158"/>
    <hyperlink xmlns:r="http://schemas.openxmlformats.org/officeDocument/2006/relationships" ref="H161" r:id="rId159"/>
    <hyperlink xmlns:r="http://schemas.openxmlformats.org/officeDocument/2006/relationships" ref="H162" r:id="rId160"/>
    <hyperlink xmlns:r="http://schemas.openxmlformats.org/officeDocument/2006/relationships" ref="H163" r:id="rId161"/>
    <hyperlink xmlns:r="http://schemas.openxmlformats.org/officeDocument/2006/relationships" ref="H164" r:id="rId162"/>
    <hyperlink xmlns:r="http://schemas.openxmlformats.org/officeDocument/2006/relationships" ref="H165" r:id="rId163"/>
    <hyperlink xmlns:r="http://schemas.openxmlformats.org/officeDocument/2006/relationships" ref="H166" r:id="rId164"/>
    <hyperlink xmlns:r="http://schemas.openxmlformats.org/officeDocument/2006/relationships" ref="H167" r:id="rId165"/>
    <hyperlink xmlns:r="http://schemas.openxmlformats.org/officeDocument/2006/relationships" ref="H168" r:id="rId166"/>
    <hyperlink xmlns:r="http://schemas.openxmlformats.org/officeDocument/2006/relationships" ref="H169" r:id="rId167"/>
    <hyperlink xmlns:r="http://schemas.openxmlformats.org/officeDocument/2006/relationships" ref="H170" r:id="rId168"/>
    <hyperlink xmlns:r="http://schemas.openxmlformats.org/officeDocument/2006/relationships" ref="H171" r:id="rId169"/>
    <hyperlink xmlns:r="http://schemas.openxmlformats.org/officeDocument/2006/relationships" ref="H172" r:id="rId170"/>
    <hyperlink xmlns:r="http://schemas.openxmlformats.org/officeDocument/2006/relationships" ref="H173" r:id="rId171"/>
    <hyperlink xmlns:r="http://schemas.openxmlformats.org/officeDocument/2006/relationships" ref="H174" r:id="rId172"/>
    <hyperlink xmlns:r="http://schemas.openxmlformats.org/officeDocument/2006/relationships" ref="H175" r:id="rId173"/>
    <hyperlink xmlns:r="http://schemas.openxmlformats.org/officeDocument/2006/relationships" ref="H176" r:id="rId174"/>
    <hyperlink xmlns:r="http://schemas.openxmlformats.org/officeDocument/2006/relationships" ref="H177" r:id="rId175"/>
    <hyperlink xmlns:r="http://schemas.openxmlformats.org/officeDocument/2006/relationships" ref="H178" r:id="rId176"/>
    <hyperlink xmlns:r="http://schemas.openxmlformats.org/officeDocument/2006/relationships" ref="H179" r:id="rId177"/>
    <hyperlink xmlns:r="http://schemas.openxmlformats.org/officeDocument/2006/relationships" ref="H180" r:id="rId178"/>
    <hyperlink xmlns:r="http://schemas.openxmlformats.org/officeDocument/2006/relationships" ref="H181" r:id="rId179"/>
    <hyperlink xmlns:r="http://schemas.openxmlformats.org/officeDocument/2006/relationships" ref="H182" r:id="rId180"/>
    <hyperlink xmlns:r="http://schemas.openxmlformats.org/officeDocument/2006/relationships" ref="H183" r:id="rId181"/>
    <hyperlink xmlns:r="http://schemas.openxmlformats.org/officeDocument/2006/relationships" ref="H184" r:id="rId182"/>
    <hyperlink xmlns:r="http://schemas.openxmlformats.org/officeDocument/2006/relationships" ref="H185" r:id="rId183"/>
    <hyperlink xmlns:r="http://schemas.openxmlformats.org/officeDocument/2006/relationships" ref="H186" r:id="rId184"/>
    <hyperlink xmlns:r="http://schemas.openxmlformats.org/officeDocument/2006/relationships" ref="H187" r:id="rId185"/>
    <hyperlink xmlns:r="http://schemas.openxmlformats.org/officeDocument/2006/relationships" ref="H188" r:id="rId186"/>
    <hyperlink xmlns:r="http://schemas.openxmlformats.org/officeDocument/2006/relationships" ref="H189" r:id="rId187"/>
    <hyperlink xmlns:r="http://schemas.openxmlformats.org/officeDocument/2006/relationships" ref="H190" r:id="rId188"/>
    <hyperlink xmlns:r="http://schemas.openxmlformats.org/officeDocument/2006/relationships" ref="H191" r:id="rId189"/>
    <hyperlink xmlns:r="http://schemas.openxmlformats.org/officeDocument/2006/relationships" ref="H192" r:id="rId190"/>
    <hyperlink xmlns:r="http://schemas.openxmlformats.org/officeDocument/2006/relationships" ref="H193" r:id="rId191"/>
    <hyperlink xmlns:r="http://schemas.openxmlformats.org/officeDocument/2006/relationships" ref="H194" r:id="rId192"/>
    <hyperlink xmlns:r="http://schemas.openxmlformats.org/officeDocument/2006/relationships" ref="H195" r:id="rId193"/>
    <hyperlink xmlns:r="http://schemas.openxmlformats.org/officeDocument/2006/relationships" ref="H196" r:id="rId194"/>
    <hyperlink xmlns:r="http://schemas.openxmlformats.org/officeDocument/2006/relationships" ref="H197" r:id="rId195"/>
    <hyperlink xmlns:r="http://schemas.openxmlformats.org/officeDocument/2006/relationships" ref="H198" r:id="rId196"/>
    <hyperlink xmlns:r="http://schemas.openxmlformats.org/officeDocument/2006/relationships" ref="H199" r:id="rId197"/>
    <hyperlink xmlns:r="http://schemas.openxmlformats.org/officeDocument/2006/relationships" ref="H200" r:id="rId198"/>
    <hyperlink xmlns:r="http://schemas.openxmlformats.org/officeDocument/2006/relationships" ref="H201" r:id="rId199"/>
    <hyperlink xmlns:r="http://schemas.openxmlformats.org/officeDocument/2006/relationships" ref="H202" r:id="rId200"/>
    <hyperlink xmlns:r="http://schemas.openxmlformats.org/officeDocument/2006/relationships" ref="H203" r:id="rId201"/>
    <hyperlink xmlns:r="http://schemas.openxmlformats.org/officeDocument/2006/relationships" ref="H204" r:id="rId202"/>
    <hyperlink xmlns:r="http://schemas.openxmlformats.org/officeDocument/2006/relationships" ref="H205" r:id="rId203"/>
    <hyperlink xmlns:r="http://schemas.openxmlformats.org/officeDocument/2006/relationships" ref="H206" r:id="rId204"/>
    <hyperlink xmlns:r="http://schemas.openxmlformats.org/officeDocument/2006/relationships" ref="H207" r:id="rId205"/>
    <hyperlink xmlns:r="http://schemas.openxmlformats.org/officeDocument/2006/relationships" ref="H208" r:id="rId206"/>
    <hyperlink xmlns:r="http://schemas.openxmlformats.org/officeDocument/2006/relationships" ref="H209" r:id="rId207"/>
    <hyperlink xmlns:r="http://schemas.openxmlformats.org/officeDocument/2006/relationships" ref="H210" r:id="rId208"/>
    <hyperlink xmlns:r="http://schemas.openxmlformats.org/officeDocument/2006/relationships" ref="H211" r:id="rId209"/>
    <hyperlink xmlns:r="http://schemas.openxmlformats.org/officeDocument/2006/relationships" ref="H212" r:id="rId210"/>
    <hyperlink xmlns:r="http://schemas.openxmlformats.org/officeDocument/2006/relationships" ref="H213" r:id="rId211"/>
    <hyperlink xmlns:r="http://schemas.openxmlformats.org/officeDocument/2006/relationships" ref="H214" r:id="rId212"/>
    <hyperlink xmlns:r="http://schemas.openxmlformats.org/officeDocument/2006/relationships" ref="H215" r:id="rId213"/>
    <hyperlink xmlns:r="http://schemas.openxmlformats.org/officeDocument/2006/relationships" ref="H216" r:id="rId214"/>
    <hyperlink xmlns:r="http://schemas.openxmlformats.org/officeDocument/2006/relationships" ref="H217" r:id="rId215"/>
    <hyperlink xmlns:r="http://schemas.openxmlformats.org/officeDocument/2006/relationships" ref="H218" r:id="rId216"/>
    <hyperlink xmlns:r="http://schemas.openxmlformats.org/officeDocument/2006/relationships" ref="H219" r:id="rId217"/>
    <hyperlink xmlns:r="http://schemas.openxmlformats.org/officeDocument/2006/relationships" ref="H220" r:id="rId218"/>
    <hyperlink xmlns:r="http://schemas.openxmlformats.org/officeDocument/2006/relationships" ref="H221" r:id="rId219"/>
    <hyperlink xmlns:r="http://schemas.openxmlformats.org/officeDocument/2006/relationships" ref="H222" r:id="rId220"/>
    <hyperlink xmlns:r="http://schemas.openxmlformats.org/officeDocument/2006/relationships" ref="H223" r:id="rId221"/>
    <hyperlink xmlns:r="http://schemas.openxmlformats.org/officeDocument/2006/relationships" ref="H224" r:id="rId222"/>
    <hyperlink xmlns:r="http://schemas.openxmlformats.org/officeDocument/2006/relationships" ref="H225" r:id="rId223"/>
    <hyperlink xmlns:r="http://schemas.openxmlformats.org/officeDocument/2006/relationships" ref="H226" r:id="rId224"/>
    <hyperlink xmlns:r="http://schemas.openxmlformats.org/officeDocument/2006/relationships" ref="H227" r:id="rId225"/>
    <hyperlink xmlns:r="http://schemas.openxmlformats.org/officeDocument/2006/relationships" ref="H228" r:id="rId226"/>
    <hyperlink xmlns:r="http://schemas.openxmlformats.org/officeDocument/2006/relationships" ref="H229" r:id="rId227"/>
    <hyperlink xmlns:r="http://schemas.openxmlformats.org/officeDocument/2006/relationships" ref="H230" r:id="rId228"/>
    <hyperlink xmlns:r="http://schemas.openxmlformats.org/officeDocument/2006/relationships" ref="H231" r:id="rId229"/>
    <hyperlink xmlns:r="http://schemas.openxmlformats.org/officeDocument/2006/relationships" ref="H232" r:id="rId230"/>
    <hyperlink xmlns:r="http://schemas.openxmlformats.org/officeDocument/2006/relationships" ref="H233" r:id="rId231"/>
    <hyperlink xmlns:r="http://schemas.openxmlformats.org/officeDocument/2006/relationships" ref="H234" r:id="rId232"/>
    <hyperlink xmlns:r="http://schemas.openxmlformats.org/officeDocument/2006/relationships" ref="H235" r:id="rId233"/>
    <hyperlink xmlns:r="http://schemas.openxmlformats.org/officeDocument/2006/relationships" ref="H236" r:id="rId234"/>
    <hyperlink xmlns:r="http://schemas.openxmlformats.org/officeDocument/2006/relationships" ref="H237" r:id="rId235"/>
    <hyperlink xmlns:r="http://schemas.openxmlformats.org/officeDocument/2006/relationships" ref="H238" r:id="rId236"/>
    <hyperlink xmlns:r="http://schemas.openxmlformats.org/officeDocument/2006/relationships" ref="H239" r:id="rId237"/>
    <hyperlink xmlns:r="http://schemas.openxmlformats.org/officeDocument/2006/relationships" ref="H240" r:id="rId238"/>
    <hyperlink xmlns:r="http://schemas.openxmlformats.org/officeDocument/2006/relationships" ref="H241" r:id="rId239"/>
    <hyperlink xmlns:r="http://schemas.openxmlformats.org/officeDocument/2006/relationships" ref="H242" r:id="rId240"/>
    <hyperlink xmlns:r="http://schemas.openxmlformats.org/officeDocument/2006/relationships" ref="H243" r:id="rId241"/>
    <hyperlink xmlns:r="http://schemas.openxmlformats.org/officeDocument/2006/relationships" ref="H244" r:id="rId242"/>
    <hyperlink xmlns:r="http://schemas.openxmlformats.org/officeDocument/2006/relationships" ref="H245" r:id="rId243"/>
    <hyperlink xmlns:r="http://schemas.openxmlformats.org/officeDocument/2006/relationships" ref="H246" r:id="rId244"/>
    <hyperlink xmlns:r="http://schemas.openxmlformats.org/officeDocument/2006/relationships" ref="H247" r:id="rId245"/>
    <hyperlink xmlns:r="http://schemas.openxmlformats.org/officeDocument/2006/relationships" ref="H248" r:id="rId246"/>
    <hyperlink xmlns:r="http://schemas.openxmlformats.org/officeDocument/2006/relationships" ref="H249" r:id="rId247"/>
    <hyperlink xmlns:r="http://schemas.openxmlformats.org/officeDocument/2006/relationships" ref="H250" r:id="rId248"/>
    <hyperlink xmlns:r="http://schemas.openxmlformats.org/officeDocument/2006/relationships" ref="H251" r:id="rId249"/>
    <hyperlink xmlns:r="http://schemas.openxmlformats.org/officeDocument/2006/relationships" ref="H252" r:id="rId250"/>
    <hyperlink xmlns:r="http://schemas.openxmlformats.org/officeDocument/2006/relationships" ref="H253" r:id="rId251"/>
    <hyperlink xmlns:r="http://schemas.openxmlformats.org/officeDocument/2006/relationships" ref="H254" r:id="rId252"/>
    <hyperlink xmlns:r="http://schemas.openxmlformats.org/officeDocument/2006/relationships" ref="H255" r:id="rId253"/>
    <hyperlink xmlns:r="http://schemas.openxmlformats.org/officeDocument/2006/relationships" ref="H256" r:id="rId254"/>
    <hyperlink xmlns:r="http://schemas.openxmlformats.org/officeDocument/2006/relationships" ref="H257" r:id="rId255"/>
    <hyperlink xmlns:r="http://schemas.openxmlformats.org/officeDocument/2006/relationships" ref="H258" r:id="rId256"/>
    <hyperlink xmlns:r="http://schemas.openxmlformats.org/officeDocument/2006/relationships" ref="H259" r:id="rId257"/>
    <hyperlink xmlns:r="http://schemas.openxmlformats.org/officeDocument/2006/relationships" ref="H260" r:id="rId258"/>
    <hyperlink xmlns:r="http://schemas.openxmlformats.org/officeDocument/2006/relationships" ref="H261" r:id="rId259"/>
    <hyperlink xmlns:r="http://schemas.openxmlformats.org/officeDocument/2006/relationships" ref="H262" r:id="rId260"/>
    <hyperlink xmlns:r="http://schemas.openxmlformats.org/officeDocument/2006/relationships" ref="H263" r:id="rId261"/>
    <hyperlink xmlns:r="http://schemas.openxmlformats.org/officeDocument/2006/relationships" ref="H264" r:id="rId262"/>
    <hyperlink xmlns:r="http://schemas.openxmlformats.org/officeDocument/2006/relationships" ref="H265" r:id="rId263"/>
    <hyperlink xmlns:r="http://schemas.openxmlformats.org/officeDocument/2006/relationships" ref="H266" r:id="rId264"/>
    <hyperlink xmlns:r="http://schemas.openxmlformats.org/officeDocument/2006/relationships" ref="H267" r:id="rId265"/>
    <hyperlink xmlns:r="http://schemas.openxmlformats.org/officeDocument/2006/relationships" ref="H268" r:id="rId266"/>
    <hyperlink xmlns:r="http://schemas.openxmlformats.org/officeDocument/2006/relationships" ref="H269" r:id="rId267"/>
    <hyperlink xmlns:r="http://schemas.openxmlformats.org/officeDocument/2006/relationships" ref="H270" r:id="rId268"/>
    <hyperlink xmlns:r="http://schemas.openxmlformats.org/officeDocument/2006/relationships" ref="H271" r:id="rId269"/>
    <hyperlink xmlns:r="http://schemas.openxmlformats.org/officeDocument/2006/relationships" ref="H272" r:id="rId270"/>
    <hyperlink xmlns:r="http://schemas.openxmlformats.org/officeDocument/2006/relationships" ref="H273" r:id="rId271"/>
    <hyperlink xmlns:r="http://schemas.openxmlformats.org/officeDocument/2006/relationships" ref="H274" r:id="rId272"/>
    <hyperlink xmlns:r="http://schemas.openxmlformats.org/officeDocument/2006/relationships" ref="H275" r:id="rId273"/>
    <hyperlink xmlns:r="http://schemas.openxmlformats.org/officeDocument/2006/relationships" ref="H276" r:id="rId274"/>
    <hyperlink xmlns:r="http://schemas.openxmlformats.org/officeDocument/2006/relationships" ref="H277" r:id="rId275"/>
    <hyperlink xmlns:r="http://schemas.openxmlformats.org/officeDocument/2006/relationships" ref="H278" r:id="rId276"/>
    <hyperlink xmlns:r="http://schemas.openxmlformats.org/officeDocument/2006/relationships" ref="H279" r:id="rId277"/>
    <hyperlink xmlns:r="http://schemas.openxmlformats.org/officeDocument/2006/relationships" ref="H280" r:id="rId278"/>
    <hyperlink xmlns:r="http://schemas.openxmlformats.org/officeDocument/2006/relationships" ref="H281" r:id="rId279"/>
    <hyperlink xmlns:r="http://schemas.openxmlformats.org/officeDocument/2006/relationships" ref="H282" r:id="rId280"/>
    <hyperlink xmlns:r="http://schemas.openxmlformats.org/officeDocument/2006/relationships" ref="H283" r:id="rId281"/>
    <hyperlink xmlns:r="http://schemas.openxmlformats.org/officeDocument/2006/relationships" ref="H284" r:id="rId282"/>
    <hyperlink xmlns:r="http://schemas.openxmlformats.org/officeDocument/2006/relationships" ref="H285" r:id="rId283"/>
    <hyperlink xmlns:r="http://schemas.openxmlformats.org/officeDocument/2006/relationships" ref="H286" r:id="rId284"/>
    <hyperlink xmlns:r="http://schemas.openxmlformats.org/officeDocument/2006/relationships" ref="H287" r:id="rId285"/>
    <hyperlink xmlns:r="http://schemas.openxmlformats.org/officeDocument/2006/relationships" ref="H288" r:id="rId286"/>
    <hyperlink xmlns:r="http://schemas.openxmlformats.org/officeDocument/2006/relationships" ref="H289" r:id="rId287"/>
    <hyperlink xmlns:r="http://schemas.openxmlformats.org/officeDocument/2006/relationships" ref="H290" r:id="rId288"/>
    <hyperlink xmlns:r="http://schemas.openxmlformats.org/officeDocument/2006/relationships" ref="H291" r:id="rId289"/>
    <hyperlink xmlns:r="http://schemas.openxmlformats.org/officeDocument/2006/relationships" ref="H292" r:id="rId290"/>
    <hyperlink xmlns:r="http://schemas.openxmlformats.org/officeDocument/2006/relationships" ref="H293" r:id="rId291"/>
    <hyperlink xmlns:r="http://schemas.openxmlformats.org/officeDocument/2006/relationships" ref="H294" r:id="rId292"/>
    <hyperlink xmlns:r="http://schemas.openxmlformats.org/officeDocument/2006/relationships" ref="H295" r:id="rId293"/>
    <hyperlink xmlns:r="http://schemas.openxmlformats.org/officeDocument/2006/relationships" ref="H296" r:id="rId294"/>
    <hyperlink xmlns:r="http://schemas.openxmlformats.org/officeDocument/2006/relationships" ref="H297" r:id="rId295"/>
    <hyperlink xmlns:r="http://schemas.openxmlformats.org/officeDocument/2006/relationships" ref="H298" r:id="rId296"/>
    <hyperlink xmlns:r="http://schemas.openxmlformats.org/officeDocument/2006/relationships" ref="H299" r:id="rId297"/>
    <hyperlink xmlns:r="http://schemas.openxmlformats.org/officeDocument/2006/relationships" ref="H300" r:id="rId298"/>
    <hyperlink xmlns:r="http://schemas.openxmlformats.org/officeDocument/2006/relationships" ref="H301" r:id="rId299"/>
    <hyperlink xmlns:r="http://schemas.openxmlformats.org/officeDocument/2006/relationships" ref="H302" r:id="rId300"/>
    <hyperlink xmlns:r="http://schemas.openxmlformats.org/officeDocument/2006/relationships" ref="H303" r:id="rId301"/>
    <hyperlink xmlns:r="http://schemas.openxmlformats.org/officeDocument/2006/relationships" ref="H304" r:id="rId302"/>
    <hyperlink xmlns:r="http://schemas.openxmlformats.org/officeDocument/2006/relationships" ref="H305" r:id="rId303"/>
    <hyperlink xmlns:r="http://schemas.openxmlformats.org/officeDocument/2006/relationships" ref="H306" r:id="rId304"/>
    <hyperlink xmlns:r="http://schemas.openxmlformats.org/officeDocument/2006/relationships" ref="H307" r:id="rId305"/>
    <hyperlink xmlns:r="http://schemas.openxmlformats.org/officeDocument/2006/relationships" ref="H308" r:id="rId306"/>
    <hyperlink xmlns:r="http://schemas.openxmlformats.org/officeDocument/2006/relationships" ref="H309" r:id="rId307"/>
    <hyperlink xmlns:r="http://schemas.openxmlformats.org/officeDocument/2006/relationships" ref="H310" r:id="rId308"/>
    <hyperlink xmlns:r="http://schemas.openxmlformats.org/officeDocument/2006/relationships" ref="H311" r:id="rId309"/>
    <hyperlink xmlns:r="http://schemas.openxmlformats.org/officeDocument/2006/relationships" ref="H312" r:id="rId310"/>
    <hyperlink xmlns:r="http://schemas.openxmlformats.org/officeDocument/2006/relationships" ref="H313" r:id="rId311"/>
    <hyperlink xmlns:r="http://schemas.openxmlformats.org/officeDocument/2006/relationships" ref="H314" r:id="rId312"/>
    <hyperlink xmlns:r="http://schemas.openxmlformats.org/officeDocument/2006/relationships" ref="H315" r:id="rId313"/>
    <hyperlink xmlns:r="http://schemas.openxmlformats.org/officeDocument/2006/relationships" ref="H316" r:id="rId314"/>
    <hyperlink xmlns:r="http://schemas.openxmlformats.org/officeDocument/2006/relationships" ref="H317" r:id="rId315"/>
    <hyperlink xmlns:r="http://schemas.openxmlformats.org/officeDocument/2006/relationships" ref="H318" r:id="rId316"/>
    <hyperlink xmlns:r="http://schemas.openxmlformats.org/officeDocument/2006/relationships" ref="H319" r:id="rId317"/>
    <hyperlink xmlns:r="http://schemas.openxmlformats.org/officeDocument/2006/relationships" ref="H320" r:id="rId318"/>
    <hyperlink xmlns:r="http://schemas.openxmlformats.org/officeDocument/2006/relationships" ref="H321" r:id="rId319"/>
    <hyperlink xmlns:r="http://schemas.openxmlformats.org/officeDocument/2006/relationships" ref="H322" r:id="rId320"/>
    <hyperlink xmlns:r="http://schemas.openxmlformats.org/officeDocument/2006/relationships" ref="H323" r:id="rId321"/>
    <hyperlink xmlns:r="http://schemas.openxmlformats.org/officeDocument/2006/relationships" ref="H324" r:id="rId322"/>
    <hyperlink xmlns:r="http://schemas.openxmlformats.org/officeDocument/2006/relationships" ref="H325" r:id="rId323"/>
    <hyperlink xmlns:r="http://schemas.openxmlformats.org/officeDocument/2006/relationships" ref="H326" r:id="rId324"/>
    <hyperlink xmlns:r="http://schemas.openxmlformats.org/officeDocument/2006/relationships" ref="H327" r:id="rId325"/>
    <hyperlink xmlns:r="http://schemas.openxmlformats.org/officeDocument/2006/relationships" ref="H328" r:id="rId326"/>
    <hyperlink xmlns:r="http://schemas.openxmlformats.org/officeDocument/2006/relationships" ref="H329" r:id="rId327"/>
    <hyperlink xmlns:r="http://schemas.openxmlformats.org/officeDocument/2006/relationships" ref="H330" r:id="rId328"/>
    <hyperlink xmlns:r="http://schemas.openxmlformats.org/officeDocument/2006/relationships" ref="H331" r:id="rId329"/>
    <hyperlink xmlns:r="http://schemas.openxmlformats.org/officeDocument/2006/relationships" ref="H332" r:id="rId330"/>
    <hyperlink xmlns:r="http://schemas.openxmlformats.org/officeDocument/2006/relationships" ref="H333" r:id="rId331"/>
    <hyperlink xmlns:r="http://schemas.openxmlformats.org/officeDocument/2006/relationships" ref="H334" r:id="rId332"/>
    <hyperlink xmlns:r="http://schemas.openxmlformats.org/officeDocument/2006/relationships" ref="H335" r:id="rId333"/>
    <hyperlink xmlns:r="http://schemas.openxmlformats.org/officeDocument/2006/relationships" ref="H336" r:id="rId334"/>
    <hyperlink xmlns:r="http://schemas.openxmlformats.org/officeDocument/2006/relationships" ref="H337" r:id="rId335"/>
    <hyperlink xmlns:r="http://schemas.openxmlformats.org/officeDocument/2006/relationships" ref="H338" r:id="rId336"/>
    <hyperlink xmlns:r="http://schemas.openxmlformats.org/officeDocument/2006/relationships" ref="H339" r:id="rId337"/>
    <hyperlink xmlns:r="http://schemas.openxmlformats.org/officeDocument/2006/relationships" ref="H340" r:id="rId338"/>
    <hyperlink xmlns:r="http://schemas.openxmlformats.org/officeDocument/2006/relationships" ref="H341" r:id="rId339"/>
    <hyperlink xmlns:r="http://schemas.openxmlformats.org/officeDocument/2006/relationships" ref="H342" r:id="rId340"/>
    <hyperlink xmlns:r="http://schemas.openxmlformats.org/officeDocument/2006/relationships" ref="H343" r:id="rId341"/>
    <hyperlink xmlns:r="http://schemas.openxmlformats.org/officeDocument/2006/relationships" ref="H344" r:id="rId342"/>
    <hyperlink xmlns:r="http://schemas.openxmlformats.org/officeDocument/2006/relationships" ref="H345" r:id="rId343"/>
    <hyperlink xmlns:r="http://schemas.openxmlformats.org/officeDocument/2006/relationships" ref="H346" r:id="rId344"/>
    <hyperlink xmlns:r="http://schemas.openxmlformats.org/officeDocument/2006/relationships" ref="H347" r:id="rId345"/>
    <hyperlink xmlns:r="http://schemas.openxmlformats.org/officeDocument/2006/relationships" ref="H348" r:id="rId346"/>
    <hyperlink xmlns:r="http://schemas.openxmlformats.org/officeDocument/2006/relationships" ref="H349" r:id="rId347"/>
    <hyperlink xmlns:r="http://schemas.openxmlformats.org/officeDocument/2006/relationships" ref="H350" r:id="rId348"/>
    <hyperlink xmlns:r="http://schemas.openxmlformats.org/officeDocument/2006/relationships" ref="H351" r:id="rId349"/>
    <hyperlink xmlns:r="http://schemas.openxmlformats.org/officeDocument/2006/relationships" ref="H352" r:id="rId350"/>
    <hyperlink xmlns:r="http://schemas.openxmlformats.org/officeDocument/2006/relationships" ref="H353" r:id="rId351"/>
    <hyperlink xmlns:r="http://schemas.openxmlformats.org/officeDocument/2006/relationships" ref="H354" r:id="rId352"/>
    <hyperlink xmlns:r="http://schemas.openxmlformats.org/officeDocument/2006/relationships" ref="H355" r:id="rId353"/>
    <hyperlink xmlns:r="http://schemas.openxmlformats.org/officeDocument/2006/relationships" ref="H356" r:id="rId354"/>
    <hyperlink xmlns:r="http://schemas.openxmlformats.org/officeDocument/2006/relationships" ref="H357" r:id="rId355"/>
    <hyperlink xmlns:r="http://schemas.openxmlformats.org/officeDocument/2006/relationships" ref="H358" r:id="rId356"/>
    <hyperlink xmlns:r="http://schemas.openxmlformats.org/officeDocument/2006/relationships" ref="H359" r:id="rId357"/>
    <hyperlink xmlns:r="http://schemas.openxmlformats.org/officeDocument/2006/relationships" ref="H360" r:id="rId358"/>
    <hyperlink xmlns:r="http://schemas.openxmlformats.org/officeDocument/2006/relationships" ref="H361" r:id="rId359"/>
    <hyperlink xmlns:r="http://schemas.openxmlformats.org/officeDocument/2006/relationships" ref="H362" r:id="rId360"/>
    <hyperlink xmlns:r="http://schemas.openxmlformats.org/officeDocument/2006/relationships" ref="H363" r:id="rId361"/>
    <hyperlink xmlns:r="http://schemas.openxmlformats.org/officeDocument/2006/relationships" ref="H364" r:id="rId362"/>
    <hyperlink xmlns:r="http://schemas.openxmlformats.org/officeDocument/2006/relationships" ref="H365" r:id="rId363"/>
    <hyperlink xmlns:r="http://schemas.openxmlformats.org/officeDocument/2006/relationships" ref="H366" r:id="rId364"/>
    <hyperlink xmlns:r="http://schemas.openxmlformats.org/officeDocument/2006/relationships" ref="H367" r:id="rId365"/>
    <hyperlink xmlns:r="http://schemas.openxmlformats.org/officeDocument/2006/relationships" ref="H368" r:id="rId366"/>
    <hyperlink xmlns:r="http://schemas.openxmlformats.org/officeDocument/2006/relationships" ref="H369" r:id="rId367"/>
    <hyperlink xmlns:r="http://schemas.openxmlformats.org/officeDocument/2006/relationships" ref="H370" r:id="rId368"/>
    <hyperlink xmlns:r="http://schemas.openxmlformats.org/officeDocument/2006/relationships" ref="H371" r:id="rId369"/>
    <hyperlink xmlns:r="http://schemas.openxmlformats.org/officeDocument/2006/relationships" ref="H372" r:id="rId370"/>
    <hyperlink xmlns:r="http://schemas.openxmlformats.org/officeDocument/2006/relationships" ref="H373" r:id="rId371"/>
    <hyperlink xmlns:r="http://schemas.openxmlformats.org/officeDocument/2006/relationships" ref="H374" r:id="rId372"/>
    <hyperlink xmlns:r="http://schemas.openxmlformats.org/officeDocument/2006/relationships" ref="H375" r:id="rId373"/>
    <hyperlink xmlns:r="http://schemas.openxmlformats.org/officeDocument/2006/relationships" ref="H376" r:id="rId374"/>
    <hyperlink xmlns:r="http://schemas.openxmlformats.org/officeDocument/2006/relationships" ref="H377" r:id="rId375"/>
    <hyperlink xmlns:r="http://schemas.openxmlformats.org/officeDocument/2006/relationships" ref="H378" r:id="rId376"/>
    <hyperlink xmlns:r="http://schemas.openxmlformats.org/officeDocument/2006/relationships" ref="H379" r:id="rId377"/>
    <hyperlink xmlns:r="http://schemas.openxmlformats.org/officeDocument/2006/relationships" ref="H380" r:id="rId378"/>
    <hyperlink xmlns:r="http://schemas.openxmlformats.org/officeDocument/2006/relationships" ref="H381" r:id="rId379"/>
    <hyperlink xmlns:r="http://schemas.openxmlformats.org/officeDocument/2006/relationships" ref="H382" r:id="rId380"/>
    <hyperlink xmlns:r="http://schemas.openxmlformats.org/officeDocument/2006/relationships" ref="H383" r:id="rId381"/>
    <hyperlink xmlns:r="http://schemas.openxmlformats.org/officeDocument/2006/relationships" ref="H384" r:id="rId382"/>
    <hyperlink xmlns:r="http://schemas.openxmlformats.org/officeDocument/2006/relationships" ref="H385" r:id="rId383"/>
    <hyperlink xmlns:r="http://schemas.openxmlformats.org/officeDocument/2006/relationships" ref="H386" r:id="rId384"/>
    <hyperlink xmlns:r="http://schemas.openxmlformats.org/officeDocument/2006/relationships" ref="H387" r:id="rId385"/>
    <hyperlink xmlns:r="http://schemas.openxmlformats.org/officeDocument/2006/relationships" ref="H388" r:id="rId386"/>
    <hyperlink xmlns:r="http://schemas.openxmlformats.org/officeDocument/2006/relationships" ref="H389" r:id="rId387"/>
    <hyperlink xmlns:r="http://schemas.openxmlformats.org/officeDocument/2006/relationships" ref="H390" r:id="rId388"/>
    <hyperlink xmlns:r="http://schemas.openxmlformats.org/officeDocument/2006/relationships" ref="H391" r:id="rId389"/>
    <hyperlink xmlns:r="http://schemas.openxmlformats.org/officeDocument/2006/relationships" ref="H392" r:id="rId390"/>
    <hyperlink xmlns:r="http://schemas.openxmlformats.org/officeDocument/2006/relationships" ref="H393" r:id="rId391"/>
    <hyperlink xmlns:r="http://schemas.openxmlformats.org/officeDocument/2006/relationships" ref="H394" r:id="rId392"/>
    <hyperlink xmlns:r="http://schemas.openxmlformats.org/officeDocument/2006/relationships" ref="H395" r:id="rId393"/>
    <hyperlink xmlns:r="http://schemas.openxmlformats.org/officeDocument/2006/relationships" ref="H396" r:id="rId394"/>
    <hyperlink xmlns:r="http://schemas.openxmlformats.org/officeDocument/2006/relationships" ref="H397" r:id="rId395"/>
    <hyperlink xmlns:r="http://schemas.openxmlformats.org/officeDocument/2006/relationships" ref="H398" r:id="rId396"/>
    <hyperlink xmlns:r="http://schemas.openxmlformats.org/officeDocument/2006/relationships" ref="H399" r:id="rId397"/>
    <hyperlink xmlns:r="http://schemas.openxmlformats.org/officeDocument/2006/relationships" ref="H400" r:id="rId398"/>
    <hyperlink xmlns:r="http://schemas.openxmlformats.org/officeDocument/2006/relationships" ref="H401" r:id="rId399"/>
    <hyperlink xmlns:r="http://schemas.openxmlformats.org/officeDocument/2006/relationships" ref="H402" r:id="rId400"/>
    <hyperlink xmlns:r="http://schemas.openxmlformats.org/officeDocument/2006/relationships" ref="H403" r:id="rId401"/>
    <hyperlink xmlns:r="http://schemas.openxmlformats.org/officeDocument/2006/relationships" ref="H404" r:id="rId402"/>
    <hyperlink xmlns:r="http://schemas.openxmlformats.org/officeDocument/2006/relationships" ref="H405" r:id="rId403"/>
    <hyperlink xmlns:r="http://schemas.openxmlformats.org/officeDocument/2006/relationships" ref="H406" r:id="rId404"/>
    <hyperlink xmlns:r="http://schemas.openxmlformats.org/officeDocument/2006/relationships" ref="H407" r:id="rId405"/>
    <hyperlink xmlns:r="http://schemas.openxmlformats.org/officeDocument/2006/relationships" ref="H408" r:id="rId406"/>
    <hyperlink xmlns:r="http://schemas.openxmlformats.org/officeDocument/2006/relationships" ref="H409" r:id="rId407"/>
    <hyperlink xmlns:r="http://schemas.openxmlformats.org/officeDocument/2006/relationships" ref="H410" r:id="rId408"/>
    <hyperlink xmlns:r="http://schemas.openxmlformats.org/officeDocument/2006/relationships" ref="H411" r:id="rId409"/>
    <hyperlink xmlns:r="http://schemas.openxmlformats.org/officeDocument/2006/relationships" ref="H412" r:id="rId410"/>
    <hyperlink xmlns:r="http://schemas.openxmlformats.org/officeDocument/2006/relationships" ref="H413" r:id="rId411"/>
    <hyperlink xmlns:r="http://schemas.openxmlformats.org/officeDocument/2006/relationships" ref="H414" r:id="rId412"/>
    <hyperlink xmlns:r="http://schemas.openxmlformats.org/officeDocument/2006/relationships" ref="H415" r:id="rId413"/>
    <hyperlink xmlns:r="http://schemas.openxmlformats.org/officeDocument/2006/relationships" ref="H416" r:id="rId414"/>
    <hyperlink xmlns:r="http://schemas.openxmlformats.org/officeDocument/2006/relationships" ref="H417" r:id="rId415"/>
    <hyperlink xmlns:r="http://schemas.openxmlformats.org/officeDocument/2006/relationships" ref="H418" r:id="rId416"/>
    <hyperlink xmlns:r="http://schemas.openxmlformats.org/officeDocument/2006/relationships" ref="H419" r:id="rId417"/>
    <hyperlink xmlns:r="http://schemas.openxmlformats.org/officeDocument/2006/relationships" ref="H420" r:id="rId418"/>
    <hyperlink xmlns:r="http://schemas.openxmlformats.org/officeDocument/2006/relationships" ref="H421" r:id="rId419"/>
    <hyperlink xmlns:r="http://schemas.openxmlformats.org/officeDocument/2006/relationships" ref="H422" r:id="rId420"/>
    <hyperlink xmlns:r="http://schemas.openxmlformats.org/officeDocument/2006/relationships" ref="H423" r:id="rId421"/>
    <hyperlink xmlns:r="http://schemas.openxmlformats.org/officeDocument/2006/relationships" ref="H424" r:id="rId422"/>
    <hyperlink xmlns:r="http://schemas.openxmlformats.org/officeDocument/2006/relationships" ref="H425" r:id="rId423"/>
    <hyperlink xmlns:r="http://schemas.openxmlformats.org/officeDocument/2006/relationships" ref="H426" r:id="rId424"/>
    <hyperlink xmlns:r="http://schemas.openxmlformats.org/officeDocument/2006/relationships" ref="H427" r:id="rId425"/>
    <hyperlink xmlns:r="http://schemas.openxmlformats.org/officeDocument/2006/relationships" ref="H428" r:id="rId426"/>
    <hyperlink xmlns:r="http://schemas.openxmlformats.org/officeDocument/2006/relationships" ref="H429" r:id="rId427"/>
    <hyperlink xmlns:r="http://schemas.openxmlformats.org/officeDocument/2006/relationships" ref="H430" r:id="rId428"/>
    <hyperlink xmlns:r="http://schemas.openxmlformats.org/officeDocument/2006/relationships" ref="H431" r:id="rId429"/>
    <hyperlink xmlns:r="http://schemas.openxmlformats.org/officeDocument/2006/relationships" ref="H432" r:id="rId430"/>
    <hyperlink xmlns:r="http://schemas.openxmlformats.org/officeDocument/2006/relationships" ref="H433" r:id="rId431"/>
    <hyperlink xmlns:r="http://schemas.openxmlformats.org/officeDocument/2006/relationships" ref="H434" r:id="rId432"/>
    <hyperlink xmlns:r="http://schemas.openxmlformats.org/officeDocument/2006/relationships" ref="H435" r:id="rId433"/>
    <hyperlink xmlns:r="http://schemas.openxmlformats.org/officeDocument/2006/relationships" ref="H436" r:id="rId434"/>
    <hyperlink xmlns:r="http://schemas.openxmlformats.org/officeDocument/2006/relationships" ref="H437" r:id="rId435"/>
    <hyperlink xmlns:r="http://schemas.openxmlformats.org/officeDocument/2006/relationships" ref="H438" r:id="rId436"/>
    <hyperlink xmlns:r="http://schemas.openxmlformats.org/officeDocument/2006/relationships" ref="H439" r:id="rId437"/>
    <hyperlink xmlns:r="http://schemas.openxmlformats.org/officeDocument/2006/relationships" ref="H440" r:id="rId438"/>
    <hyperlink xmlns:r="http://schemas.openxmlformats.org/officeDocument/2006/relationships" ref="H441" r:id="rId439"/>
    <hyperlink xmlns:r="http://schemas.openxmlformats.org/officeDocument/2006/relationships" ref="H442" r:id="rId440"/>
    <hyperlink xmlns:r="http://schemas.openxmlformats.org/officeDocument/2006/relationships" ref="H443" r:id="rId441"/>
    <hyperlink xmlns:r="http://schemas.openxmlformats.org/officeDocument/2006/relationships" ref="H444" r:id="rId442"/>
    <hyperlink xmlns:r="http://schemas.openxmlformats.org/officeDocument/2006/relationships" ref="H445" r:id="rId443"/>
    <hyperlink xmlns:r="http://schemas.openxmlformats.org/officeDocument/2006/relationships" ref="H446" r:id="rId444"/>
    <hyperlink xmlns:r="http://schemas.openxmlformats.org/officeDocument/2006/relationships" ref="H447" r:id="rId445"/>
    <hyperlink xmlns:r="http://schemas.openxmlformats.org/officeDocument/2006/relationships" ref="H448" r:id="rId446"/>
    <hyperlink xmlns:r="http://schemas.openxmlformats.org/officeDocument/2006/relationships" ref="H449" r:id="rId447"/>
    <hyperlink xmlns:r="http://schemas.openxmlformats.org/officeDocument/2006/relationships" ref="H450" r:id="rId448"/>
    <hyperlink xmlns:r="http://schemas.openxmlformats.org/officeDocument/2006/relationships" ref="H451" r:id="rId449"/>
    <hyperlink xmlns:r="http://schemas.openxmlformats.org/officeDocument/2006/relationships" ref="H452" r:id="rId450"/>
    <hyperlink xmlns:r="http://schemas.openxmlformats.org/officeDocument/2006/relationships" ref="H453" r:id="rId451"/>
    <hyperlink xmlns:r="http://schemas.openxmlformats.org/officeDocument/2006/relationships" ref="H454" r:id="rId452"/>
    <hyperlink xmlns:r="http://schemas.openxmlformats.org/officeDocument/2006/relationships" ref="H455" r:id="rId453"/>
    <hyperlink xmlns:r="http://schemas.openxmlformats.org/officeDocument/2006/relationships" ref="H456" r:id="rId454"/>
    <hyperlink xmlns:r="http://schemas.openxmlformats.org/officeDocument/2006/relationships" ref="H457" r:id="rId455"/>
    <hyperlink xmlns:r="http://schemas.openxmlformats.org/officeDocument/2006/relationships" ref="H458" r:id="rId456"/>
    <hyperlink xmlns:r="http://schemas.openxmlformats.org/officeDocument/2006/relationships" ref="H459" r:id="rId457"/>
    <hyperlink xmlns:r="http://schemas.openxmlformats.org/officeDocument/2006/relationships" ref="H460" r:id="rId458"/>
    <hyperlink xmlns:r="http://schemas.openxmlformats.org/officeDocument/2006/relationships" ref="H461" r:id="rId459"/>
    <hyperlink xmlns:r="http://schemas.openxmlformats.org/officeDocument/2006/relationships" ref="H462" r:id="rId460"/>
    <hyperlink xmlns:r="http://schemas.openxmlformats.org/officeDocument/2006/relationships" ref="H463" r:id="rId461"/>
    <hyperlink xmlns:r="http://schemas.openxmlformats.org/officeDocument/2006/relationships" ref="H464" r:id="rId462"/>
    <hyperlink xmlns:r="http://schemas.openxmlformats.org/officeDocument/2006/relationships" ref="H465" r:id="rId463"/>
    <hyperlink xmlns:r="http://schemas.openxmlformats.org/officeDocument/2006/relationships" ref="H466" r:id="rId464"/>
    <hyperlink xmlns:r="http://schemas.openxmlformats.org/officeDocument/2006/relationships" ref="H467" r:id="rId465"/>
    <hyperlink xmlns:r="http://schemas.openxmlformats.org/officeDocument/2006/relationships" ref="H468" r:id="rId466"/>
    <hyperlink xmlns:r="http://schemas.openxmlformats.org/officeDocument/2006/relationships" ref="H469" r:id="rId467"/>
    <hyperlink xmlns:r="http://schemas.openxmlformats.org/officeDocument/2006/relationships" ref="H470" r:id="rId468"/>
    <hyperlink xmlns:r="http://schemas.openxmlformats.org/officeDocument/2006/relationships" ref="H471" r:id="rId469"/>
    <hyperlink xmlns:r="http://schemas.openxmlformats.org/officeDocument/2006/relationships" ref="H472" r:id="rId470"/>
    <hyperlink xmlns:r="http://schemas.openxmlformats.org/officeDocument/2006/relationships" ref="H473" r:id="rId471"/>
    <hyperlink xmlns:r="http://schemas.openxmlformats.org/officeDocument/2006/relationships" ref="H474" r:id="rId472"/>
    <hyperlink xmlns:r="http://schemas.openxmlformats.org/officeDocument/2006/relationships" ref="H475" r:id="rId473"/>
    <hyperlink xmlns:r="http://schemas.openxmlformats.org/officeDocument/2006/relationships" ref="H476" r:id="rId474"/>
    <hyperlink xmlns:r="http://schemas.openxmlformats.org/officeDocument/2006/relationships" ref="H477" r:id="rId475"/>
    <hyperlink xmlns:r="http://schemas.openxmlformats.org/officeDocument/2006/relationships" ref="H478" r:id="rId476"/>
    <hyperlink xmlns:r="http://schemas.openxmlformats.org/officeDocument/2006/relationships" ref="H479" r:id="rId477"/>
    <hyperlink xmlns:r="http://schemas.openxmlformats.org/officeDocument/2006/relationships" ref="H480" r:id="rId478"/>
    <hyperlink xmlns:r="http://schemas.openxmlformats.org/officeDocument/2006/relationships" ref="H481" r:id="rId479"/>
    <hyperlink xmlns:r="http://schemas.openxmlformats.org/officeDocument/2006/relationships" ref="H482" r:id="rId480"/>
    <hyperlink xmlns:r="http://schemas.openxmlformats.org/officeDocument/2006/relationships" ref="H483" r:id="rId481"/>
    <hyperlink xmlns:r="http://schemas.openxmlformats.org/officeDocument/2006/relationships" ref="H484" r:id="rId482"/>
    <hyperlink xmlns:r="http://schemas.openxmlformats.org/officeDocument/2006/relationships" ref="H485" r:id="rId483"/>
    <hyperlink xmlns:r="http://schemas.openxmlformats.org/officeDocument/2006/relationships" ref="H486" r:id="rId484"/>
    <hyperlink xmlns:r="http://schemas.openxmlformats.org/officeDocument/2006/relationships" ref="H487" r:id="rId485"/>
    <hyperlink xmlns:r="http://schemas.openxmlformats.org/officeDocument/2006/relationships" ref="H488" r:id="rId486"/>
    <hyperlink xmlns:r="http://schemas.openxmlformats.org/officeDocument/2006/relationships" ref="H489" r:id="rId487"/>
    <hyperlink xmlns:r="http://schemas.openxmlformats.org/officeDocument/2006/relationships" ref="H490" r:id="rId488"/>
    <hyperlink xmlns:r="http://schemas.openxmlformats.org/officeDocument/2006/relationships" ref="H491" r:id="rId489"/>
    <hyperlink xmlns:r="http://schemas.openxmlformats.org/officeDocument/2006/relationships" ref="H492" r:id="rId490"/>
    <hyperlink xmlns:r="http://schemas.openxmlformats.org/officeDocument/2006/relationships" ref="H493" r:id="rId491"/>
    <hyperlink xmlns:r="http://schemas.openxmlformats.org/officeDocument/2006/relationships" ref="H494" r:id="rId492"/>
    <hyperlink xmlns:r="http://schemas.openxmlformats.org/officeDocument/2006/relationships" ref="H495" r:id="rId493"/>
    <hyperlink xmlns:r="http://schemas.openxmlformats.org/officeDocument/2006/relationships" ref="H496" r:id="rId494"/>
    <hyperlink xmlns:r="http://schemas.openxmlformats.org/officeDocument/2006/relationships" ref="H497" r:id="rId495"/>
    <hyperlink xmlns:r="http://schemas.openxmlformats.org/officeDocument/2006/relationships" ref="H498" r:id="rId496"/>
    <hyperlink xmlns:r="http://schemas.openxmlformats.org/officeDocument/2006/relationships" ref="H499" r:id="rId497"/>
    <hyperlink xmlns:r="http://schemas.openxmlformats.org/officeDocument/2006/relationships" ref="H500" r:id="rId498"/>
    <hyperlink xmlns:r="http://schemas.openxmlformats.org/officeDocument/2006/relationships" ref="H501" r:id="rId499"/>
    <hyperlink xmlns:r="http://schemas.openxmlformats.org/officeDocument/2006/relationships" ref="H502" r:id="rId500"/>
    <hyperlink xmlns:r="http://schemas.openxmlformats.org/officeDocument/2006/relationships" ref="H503" r:id="rId501"/>
    <hyperlink xmlns:r="http://schemas.openxmlformats.org/officeDocument/2006/relationships" ref="H504" r:id="rId502"/>
    <hyperlink xmlns:r="http://schemas.openxmlformats.org/officeDocument/2006/relationships" ref="H505" r:id="rId503"/>
    <hyperlink xmlns:r="http://schemas.openxmlformats.org/officeDocument/2006/relationships" ref="H506" r:id="rId504"/>
    <hyperlink xmlns:r="http://schemas.openxmlformats.org/officeDocument/2006/relationships" ref="H507" r:id="rId505"/>
    <hyperlink xmlns:r="http://schemas.openxmlformats.org/officeDocument/2006/relationships" ref="H508" r:id="rId506"/>
    <hyperlink xmlns:r="http://schemas.openxmlformats.org/officeDocument/2006/relationships" ref="H509" r:id="rId507"/>
    <hyperlink xmlns:r="http://schemas.openxmlformats.org/officeDocument/2006/relationships" ref="H510" r:id="rId508"/>
    <hyperlink xmlns:r="http://schemas.openxmlformats.org/officeDocument/2006/relationships" ref="H511" r:id="rId509"/>
    <hyperlink xmlns:r="http://schemas.openxmlformats.org/officeDocument/2006/relationships" ref="H512" r:id="rId510"/>
    <hyperlink xmlns:r="http://schemas.openxmlformats.org/officeDocument/2006/relationships" ref="H513" r:id="rId511"/>
    <hyperlink xmlns:r="http://schemas.openxmlformats.org/officeDocument/2006/relationships" ref="H514" r:id="rId512"/>
    <hyperlink xmlns:r="http://schemas.openxmlformats.org/officeDocument/2006/relationships" ref="H515" r:id="rId513"/>
    <hyperlink xmlns:r="http://schemas.openxmlformats.org/officeDocument/2006/relationships" ref="H516" r:id="rId514"/>
    <hyperlink xmlns:r="http://schemas.openxmlformats.org/officeDocument/2006/relationships" ref="H517" r:id="rId515"/>
    <hyperlink xmlns:r="http://schemas.openxmlformats.org/officeDocument/2006/relationships" ref="H518" r:id="rId516"/>
    <hyperlink xmlns:r="http://schemas.openxmlformats.org/officeDocument/2006/relationships" ref="H519" r:id="rId517"/>
    <hyperlink xmlns:r="http://schemas.openxmlformats.org/officeDocument/2006/relationships" ref="H520" r:id="rId518"/>
    <hyperlink xmlns:r="http://schemas.openxmlformats.org/officeDocument/2006/relationships" ref="H521" r:id="rId519"/>
    <hyperlink xmlns:r="http://schemas.openxmlformats.org/officeDocument/2006/relationships" ref="H522" r:id="rId520"/>
    <hyperlink xmlns:r="http://schemas.openxmlformats.org/officeDocument/2006/relationships" ref="H523" r:id="rId521"/>
    <hyperlink xmlns:r="http://schemas.openxmlformats.org/officeDocument/2006/relationships" ref="H524" r:id="rId522"/>
    <hyperlink xmlns:r="http://schemas.openxmlformats.org/officeDocument/2006/relationships" ref="H525" r:id="rId523"/>
    <hyperlink xmlns:r="http://schemas.openxmlformats.org/officeDocument/2006/relationships" ref="H526" r:id="rId524"/>
    <hyperlink xmlns:r="http://schemas.openxmlformats.org/officeDocument/2006/relationships" ref="H527" r:id="rId525"/>
    <hyperlink xmlns:r="http://schemas.openxmlformats.org/officeDocument/2006/relationships" ref="H528" r:id="rId526"/>
    <hyperlink xmlns:r="http://schemas.openxmlformats.org/officeDocument/2006/relationships" ref="H529" r:id="rId527"/>
    <hyperlink xmlns:r="http://schemas.openxmlformats.org/officeDocument/2006/relationships" ref="H530" r:id="rId528"/>
    <hyperlink xmlns:r="http://schemas.openxmlformats.org/officeDocument/2006/relationships" ref="H531" r:id="rId529"/>
    <hyperlink xmlns:r="http://schemas.openxmlformats.org/officeDocument/2006/relationships" ref="H532" r:id="rId530"/>
    <hyperlink xmlns:r="http://schemas.openxmlformats.org/officeDocument/2006/relationships" ref="H533" r:id="rId531"/>
    <hyperlink xmlns:r="http://schemas.openxmlformats.org/officeDocument/2006/relationships" ref="H534" r:id="rId532"/>
    <hyperlink xmlns:r="http://schemas.openxmlformats.org/officeDocument/2006/relationships" ref="H535" r:id="rId533"/>
    <hyperlink xmlns:r="http://schemas.openxmlformats.org/officeDocument/2006/relationships" ref="H536" r:id="rId534"/>
    <hyperlink xmlns:r="http://schemas.openxmlformats.org/officeDocument/2006/relationships" ref="H537" r:id="rId535"/>
    <hyperlink xmlns:r="http://schemas.openxmlformats.org/officeDocument/2006/relationships" ref="H538" r:id="rId536"/>
    <hyperlink xmlns:r="http://schemas.openxmlformats.org/officeDocument/2006/relationships" ref="H539" r:id="rId537"/>
    <hyperlink xmlns:r="http://schemas.openxmlformats.org/officeDocument/2006/relationships" ref="H540" r:id="rId538"/>
    <hyperlink xmlns:r="http://schemas.openxmlformats.org/officeDocument/2006/relationships" ref="H541" r:id="rId539"/>
    <hyperlink xmlns:r="http://schemas.openxmlformats.org/officeDocument/2006/relationships" ref="H542" r:id="rId540"/>
    <hyperlink xmlns:r="http://schemas.openxmlformats.org/officeDocument/2006/relationships" ref="H543" r:id="rId541"/>
    <hyperlink xmlns:r="http://schemas.openxmlformats.org/officeDocument/2006/relationships" ref="H544" r:id="rId542"/>
    <hyperlink xmlns:r="http://schemas.openxmlformats.org/officeDocument/2006/relationships" ref="H545" r:id="rId543"/>
    <hyperlink xmlns:r="http://schemas.openxmlformats.org/officeDocument/2006/relationships" ref="H546" r:id="rId544"/>
    <hyperlink xmlns:r="http://schemas.openxmlformats.org/officeDocument/2006/relationships" ref="H547" r:id="rId545"/>
    <hyperlink xmlns:r="http://schemas.openxmlformats.org/officeDocument/2006/relationships" ref="H548" r:id="rId546"/>
    <hyperlink xmlns:r="http://schemas.openxmlformats.org/officeDocument/2006/relationships" ref="H549" r:id="rId547"/>
    <hyperlink xmlns:r="http://schemas.openxmlformats.org/officeDocument/2006/relationships" ref="H550" r:id="rId548"/>
    <hyperlink xmlns:r="http://schemas.openxmlformats.org/officeDocument/2006/relationships" ref="H551" r:id="rId549"/>
    <hyperlink xmlns:r="http://schemas.openxmlformats.org/officeDocument/2006/relationships" ref="H552" r:id="rId550"/>
    <hyperlink xmlns:r="http://schemas.openxmlformats.org/officeDocument/2006/relationships" ref="H553" r:id="rId551"/>
    <hyperlink xmlns:r="http://schemas.openxmlformats.org/officeDocument/2006/relationships" ref="H554" r:id="rId552"/>
    <hyperlink xmlns:r="http://schemas.openxmlformats.org/officeDocument/2006/relationships" ref="H555" r:id="rId553"/>
    <hyperlink xmlns:r="http://schemas.openxmlformats.org/officeDocument/2006/relationships" ref="H556" r:id="rId554"/>
    <hyperlink xmlns:r="http://schemas.openxmlformats.org/officeDocument/2006/relationships" ref="H557" r:id="rId555"/>
    <hyperlink xmlns:r="http://schemas.openxmlformats.org/officeDocument/2006/relationships" ref="H558" r:id="rId556"/>
    <hyperlink xmlns:r="http://schemas.openxmlformats.org/officeDocument/2006/relationships" ref="H559" r:id="rId557"/>
    <hyperlink xmlns:r="http://schemas.openxmlformats.org/officeDocument/2006/relationships" ref="H560" r:id="rId558"/>
    <hyperlink xmlns:r="http://schemas.openxmlformats.org/officeDocument/2006/relationships" ref="H561" r:id="rId559"/>
    <hyperlink xmlns:r="http://schemas.openxmlformats.org/officeDocument/2006/relationships" ref="H562" r:id="rId560"/>
    <hyperlink xmlns:r="http://schemas.openxmlformats.org/officeDocument/2006/relationships" ref="H563" r:id="rId561"/>
    <hyperlink xmlns:r="http://schemas.openxmlformats.org/officeDocument/2006/relationships" ref="H564" r:id="rId562"/>
    <hyperlink xmlns:r="http://schemas.openxmlformats.org/officeDocument/2006/relationships" ref="H565" r:id="rId563"/>
    <hyperlink xmlns:r="http://schemas.openxmlformats.org/officeDocument/2006/relationships" ref="H566" r:id="rId564"/>
    <hyperlink xmlns:r="http://schemas.openxmlformats.org/officeDocument/2006/relationships" ref="H567" r:id="rId565"/>
    <hyperlink xmlns:r="http://schemas.openxmlformats.org/officeDocument/2006/relationships" ref="H568" r:id="rId566"/>
    <hyperlink xmlns:r="http://schemas.openxmlformats.org/officeDocument/2006/relationships" ref="H569" r:id="rId567"/>
    <hyperlink xmlns:r="http://schemas.openxmlformats.org/officeDocument/2006/relationships" ref="H570" r:id="rId568"/>
    <hyperlink xmlns:r="http://schemas.openxmlformats.org/officeDocument/2006/relationships" ref="H571" r:id="rId569"/>
    <hyperlink xmlns:r="http://schemas.openxmlformats.org/officeDocument/2006/relationships" ref="H572" r:id="rId570"/>
    <hyperlink xmlns:r="http://schemas.openxmlformats.org/officeDocument/2006/relationships" ref="H573" r:id="rId571"/>
    <hyperlink xmlns:r="http://schemas.openxmlformats.org/officeDocument/2006/relationships" ref="H574" r:id="rId572"/>
    <hyperlink xmlns:r="http://schemas.openxmlformats.org/officeDocument/2006/relationships" ref="H575" r:id="rId573"/>
    <hyperlink xmlns:r="http://schemas.openxmlformats.org/officeDocument/2006/relationships" ref="H576" r:id="rId574"/>
    <hyperlink xmlns:r="http://schemas.openxmlformats.org/officeDocument/2006/relationships" ref="H577" r:id="rId575"/>
    <hyperlink xmlns:r="http://schemas.openxmlformats.org/officeDocument/2006/relationships" ref="H578" r:id="rId576"/>
    <hyperlink xmlns:r="http://schemas.openxmlformats.org/officeDocument/2006/relationships" ref="H579" r:id="rId577"/>
    <hyperlink xmlns:r="http://schemas.openxmlformats.org/officeDocument/2006/relationships" ref="H580" r:id="rId578"/>
    <hyperlink xmlns:r="http://schemas.openxmlformats.org/officeDocument/2006/relationships" ref="H581" r:id="rId579"/>
    <hyperlink xmlns:r="http://schemas.openxmlformats.org/officeDocument/2006/relationships" ref="H582" r:id="rId580"/>
    <hyperlink xmlns:r="http://schemas.openxmlformats.org/officeDocument/2006/relationships" ref="H583" r:id="rId581"/>
    <hyperlink xmlns:r="http://schemas.openxmlformats.org/officeDocument/2006/relationships" ref="H584" r:id="rId582"/>
    <hyperlink xmlns:r="http://schemas.openxmlformats.org/officeDocument/2006/relationships" ref="H585" r:id="rId583"/>
    <hyperlink xmlns:r="http://schemas.openxmlformats.org/officeDocument/2006/relationships" ref="H586" r:id="rId584"/>
    <hyperlink xmlns:r="http://schemas.openxmlformats.org/officeDocument/2006/relationships" ref="H587" r:id="rId585"/>
    <hyperlink xmlns:r="http://schemas.openxmlformats.org/officeDocument/2006/relationships" ref="H588" r:id="rId586"/>
    <hyperlink xmlns:r="http://schemas.openxmlformats.org/officeDocument/2006/relationships" ref="H589" r:id="rId587"/>
    <hyperlink xmlns:r="http://schemas.openxmlformats.org/officeDocument/2006/relationships" ref="H590" r:id="rId588"/>
    <hyperlink xmlns:r="http://schemas.openxmlformats.org/officeDocument/2006/relationships" ref="H591" r:id="rId589"/>
    <hyperlink xmlns:r="http://schemas.openxmlformats.org/officeDocument/2006/relationships" ref="H592" r:id="rId590"/>
    <hyperlink xmlns:r="http://schemas.openxmlformats.org/officeDocument/2006/relationships" ref="H593" r:id="rId591"/>
    <hyperlink xmlns:r="http://schemas.openxmlformats.org/officeDocument/2006/relationships" ref="H594" r:id="rId592"/>
    <hyperlink xmlns:r="http://schemas.openxmlformats.org/officeDocument/2006/relationships" ref="H595" r:id="rId593"/>
    <hyperlink xmlns:r="http://schemas.openxmlformats.org/officeDocument/2006/relationships" ref="H596" r:id="rId594"/>
    <hyperlink xmlns:r="http://schemas.openxmlformats.org/officeDocument/2006/relationships" ref="H597" r:id="rId595"/>
    <hyperlink xmlns:r="http://schemas.openxmlformats.org/officeDocument/2006/relationships" ref="H598" r:id="rId596"/>
    <hyperlink xmlns:r="http://schemas.openxmlformats.org/officeDocument/2006/relationships" ref="H599" r:id="rId597"/>
    <hyperlink xmlns:r="http://schemas.openxmlformats.org/officeDocument/2006/relationships" ref="H600" r:id="rId598"/>
    <hyperlink xmlns:r="http://schemas.openxmlformats.org/officeDocument/2006/relationships" ref="H601" r:id="rId599"/>
    <hyperlink xmlns:r="http://schemas.openxmlformats.org/officeDocument/2006/relationships" ref="H602" r:id="rId600"/>
    <hyperlink xmlns:r="http://schemas.openxmlformats.org/officeDocument/2006/relationships" ref="H603" r:id="rId601"/>
    <hyperlink xmlns:r="http://schemas.openxmlformats.org/officeDocument/2006/relationships" ref="H604" r:id="rId602"/>
    <hyperlink xmlns:r="http://schemas.openxmlformats.org/officeDocument/2006/relationships" ref="H605" r:id="rId603"/>
    <hyperlink xmlns:r="http://schemas.openxmlformats.org/officeDocument/2006/relationships" ref="H606" r:id="rId604"/>
    <hyperlink xmlns:r="http://schemas.openxmlformats.org/officeDocument/2006/relationships" ref="H607" r:id="rId605"/>
    <hyperlink xmlns:r="http://schemas.openxmlformats.org/officeDocument/2006/relationships" ref="H608" r:id="rId606"/>
    <hyperlink xmlns:r="http://schemas.openxmlformats.org/officeDocument/2006/relationships" ref="H609" r:id="rId607"/>
    <hyperlink xmlns:r="http://schemas.openxmlformats.org/officeDocument/2006/relationships" ref="H610" r:id="rId608"/>
    <hyperlink xmlns:r="http://schemas.openxmlformats.org/officeDocument/2006/relationships" ref="H611" r:id="rId609"/>
    <hyperlink xmlns:r="http://schemas.openxmlformats.org/officeDocument/2006/relationships" ref="H612" r:id="rId610"/>
    <hyperlink xmlns:r="http://schemas.openxmlformats.org/officeDocument/2006/relationships" ref="H613" r:id="rId611"/>
    <hyperlink xmlns:r="http://schemas.openxmlformats.org/officeDocument/2006/relationships" ref="H614" r:id="rId612"/>
    <hyperlink xmlns:r="http://schemas.openxmlformats.org/officeDocument/2006/relationships" ref="H615" r:id="rId613"/>
    <hyperlink xmlns:r="http://schemas.openxmlformats.org/officeDocument/2006/relationships" ref="H616" r:id="rId614"/>
    <hyperlink xmlns:r="http://schemas.openxmlformats.org/officeDocument/2006/relationships" ref="H617" r:id="rId615"/>
    <hyperlink xmlns:r="http://schemas.openxmlformats.org/officeDocument/2006/relationships" ref="H618" r:id="rId616"/>
    <hyperlink xmlns:r="http://schemas.openxmlformats.org/officeDocument/2006/relationships" ref="H619" r:id="rId617"/>
    <hyperlink xmlns:r="http://schemas.openxmlformats.org/officeDocument/2006/relationships" ref="H620" r:id="rId618"/>
    <hyperlink xmlns:r="http://schemas.openxmlformats.org/officeDocument/2006/relationships" ref="H621" r:id="rId619"/>
    <hyperlink xmlns:r="http://schemas.openxmlformats.org/officeDocument/2006/relationships" ref="H622" r:id="rId620"/>
    <hyperlink xmlns:r="http://schemas.openxmlformats.org/officeDocument/2006/relationships" ref="H623" r:id="rId621"/>
    <hyperlink xmlns:r="http://schemas.openxmlformats.org/officeDocument/2006/relationships" ref="H624" r:id="rId622"/>
    <hyperlink xmlns:r="http://schemas.openxmlformats.org/officeDocument/2006/relationships" ref="H625" r:id="rId623"/>
    <hyperlink xmlns:r="http://schemas.openxmlformats.org/officeDocument/2006/relationships" ref="H626" r:id="rId624"/>
    <hyperlink xmlns:r="http://schemas.openxmlformats.org/officeDocument/2006/relationships" ref="H627" r:id="rId625"/>
    <hyperlink xmlns:r="http://schemas.openxmlformats.org/officeDocument/2006/relationships" ref="H628" r:id="rId626"/>
    <hyperlink xmlns:r="http://schemas.openxmlformats.org/officeDocument/2006/relationships" ref="H629" r:id="rId627"/>
    <hyperlink xmlns:r="http://schemas.openxmlformats.org/officeDocument/2006/relationships" ref="H630" r:id="rId628"/>
    <hyperlink xmlns:r="http://schemas.openxmlformats.org/officeDocument/2006/relationships" ref="H631" r:id="rId629"/>
    <hyperlink xmlns:r="http://schemas.openxmlformats.org/officeDocument/2006/relationships" ref="H632" r:id="rId630"/>
    <hyperlink xmlns:r="http://schemas.openxmlformats.org/officeDocument/2006/relationships" ref="H633" r:id="rId631"/>
    <hyperlink xmlns:r="http://schemas.openxmlformats.org/officeDocument/2006/relationships" ref="H634" r:id="rId632"/>
    <hyperlink xmlns:r="http://schemas.openxmlformats.org/officeDocument/2006/relationships" ref="H635" r:id="rId633"/>
    <hyperlink xmlns:r="http://schemas.openxmlformats.org/officeDocument/2006/relationships" ref="H636" r:id="rId634"/>
    <hyperlink xmlns:r="http://schemas.openxmlformats.org/officeDocument/2006/relationships" ref="H637" r:id="rId635"/>
    <hyperlink xmlns:r="http://schemas.openxmlformats.org/officeDocument/2006/relationships" ref="H638" r:id="rId636"/>
    <hyperlink xmlns:r="http://schemas.openxmlformats.org/officeDocument/2006/relationships" ref="H639" r:id="rId637"/>
    <hyperlink xmlns:r="http://schemas.openxmlformats.org/officeDocument/2006/relationships" ref="H640" r:id="rId638"/>
    <hyperlink xmlns:r="http://schemas.openxmlformats.org/officeDocument/2006/relationships" ref="H641" r:id="rId639"/>
    <hyperlink xmlns:r="http://schemas.openxmlformats.org/officeDocument/2006/relationships" ref="H642" r:id="rId640"/>
    <hyperlink xmlns:r="http://schemas.openxmlformats.org/officeDocument/2006/relationships" ref="H643" r:id="rId641"/>
    <hyperlink xmlns:r="http://schemas.openxmlformats.org/officeDocument/2006/relationships" ref="H644" r:id="rId642"/>
    <hyperlink xmlns:r="http://schemas.openxmlformats.org/officeDocument/2006/relationships" ref="H645" r:id="rId643"/>
    <hyperlink xmlns:r="http://schemas.openxmlformats.org/officeDocument/2006/relationships" ref="H646" r:id="rId644"/>
    <hyperlink xmlns:r="http://schemas.openxmlformats.org/officeDocument/2006/relationships" ref="H647" r:id="rId645"/>
    <hyperlink xmlns:r="http://schemas.openxmlformats.org/officeDocument/2006/relationships" ref="H648" r:id="rId646"/>
    <hyperlink xmlns:r="http://schemas.openxmlformats.org/officeDocument/2006/relationships" ref="H649" r:id="rId647"/>
    <hyperlink xmlns:r="http://schemas.openxmlformats.org/officeDocument/2006/relationships" ref="H650" r:id="rId648"/>
    <hyperlink xmlns:r="http://schemas.openxmlformats.org/officeDocument/2006/relationships" ref="H651" r:id="rId649"/>
    <hyperlink xmlns:r="http://schemas.openxmlformats.org/officeDocument/2006/relationships" ref="H652" r:id="rId650"/>
    <hyperlink xmlns:r="http://schemas.openxmlformats.org/officeDocument/2006/relationships" ref="H653" r:id="rId651"/>
    <hyperlink xmlns:r="http://schemas.openxmlformats.org/officeDocument/2006/relationships" ref="H654" r:id="rId652"/>
    <hyperlink xmlns:r="http://schemas.openxmlformats.org/officeDocument/2006/relationships" ref="H655" r:id="rId653"/>
    <hyperlink xmlns:r="http://schemas.openxmlformats.org/officeDocument/2006/relationships" ref="H656" r:id="rId654"/>
    <hyperlink xmlns:r="http://schemas.openxmlformats.org/officeDocument/2006/relationships" ref="H657" r:id="rId655"/>
    <hyperlink xmlns:r="http://schemas.openxmlformats.org/officeDocument/2006/relationships" ref="H658" r:id="rId656"/>
    <hyperlink xmlns:r="http://schemas.openxmlformats.org/officeDocument/2006/relationships" ref="H659" r:id="rId657"/>
    <hyperlink xmlns:r="http://schemas.openxmlformats.org/officeDocument/2006/relationships" ref="H660" r:id="rId658"/>
    <hyperlink xmlns:r="http://schemas.openxmlformats.org/officeDocument/2006/relationships" ref="H661" r:id="rId659"/>
    <hyperlink xmlns:r="http://schemas.openxmlformats.org/officeDocument/2006/relationships" ref="H662" r:id="rId660"/>
    <hyperlink xmlns:r="http://schemas.openxmlformats.org/officeDocument/2006/relationships" ref="H663" r:id="rId661"/>
    <hyperlink xmlns:r="http://schemas.openxmlformats.org/officeDocument/2006/relationships" ref="H664" r:id="rId662"/>
    <hyperlink xmlns:r="http://schemas.openxmlformats.org/officeDocument/2006/relationships" ref="H665" r:id="rId663"/>
    <hyperlink xmlns:r="http://schemas.openxmlformats.org/officeDocument/2006/relationships" ref="H666" r:id="rId664"/>
    <hyperlink xmlns:r="http://schemas.openxmlformats.org/officeDocument/2006/relationships" ref="H667" r:id="rId665"/>
    <hyperlink xmlns:r="http://schemas.openxmlformats.org/officeDocument/2006/relationships" ref="H668" r:id="rId666"/>
    <hyperlink xmlns:r="http://schemas.openxmlformats.org/officeDocument/2006/relationships" ref="H669" r:id="rId667"/>
    <hyperlink xmlns:r="http://schemas.openxmlformats.org/officeDocument/2006/relationships" ref="H670" r:id="rId668"/>
    <hyperlink xmlns:r="http://schemas.openxmlformats.org/officeDocument/2006/relationships" ref="H671" r:id="rId669"/>
    <hyperlink xmlns:r="http://schemas.openxmlformats.org/officeDocument/2006/relationships" ref="H672" r:id="rId670"/>
    <hyperlink xmlns:r="http://schemas.openxmlformats.org/officeDocument/2006/relationships" ref="H673" r:id="rId671"/>
    <hyperlink xmlns:r="http://schemas.openxmlformats.org/officeDocument/2006/relationships" ref="H674" r:id="rId672"/>
    <hyperlink xmlns:r="http://schemas.openxmlformats.org/officeDocument/2006/relationships" ref="H675" r:id="rId673"/>
    <hyperlink xmlns:r="http://schemas.openxmlformats.org/officeDocument/2006/relationships" ref="H676" r:id="rId674"/>
    <hyperlink xmlns:r="http://schemas.openxmlformats.org/officeDocument/2006/relationships" ref="H677" r:id="rId675"/>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8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6" customWidth="1" min="2" max="2"/>
    <col width="12" customWidth="1" min="3" max="3"/>
    <col width="26" customWidth="1" min="4" max="4"/>
    <col width="30" customWidth="1" min="5" max="5"/>
    <col width="24" customWidth="1" min="6" max="6"/>
    <col width="40" customWidth="1" min="7" max="7"/>
    <col width="9" customWidth="1" min="8" max="8"/>
  </cols>
  <sheetData>
    <row r="1">
      <c r="A1" s="4" t="inlineStr">
        <is>
          <t>ID</t>
        </is>
      </c>
      <c r="B1" s="4" t="inlineStr">
        <is>
          <t>Name</t>
        </is>
      </c>
      <c r="C1" s="4" t="inlineStr">
        <is>
          <t>Kind</t>
        </is>
      </c>
      <c r="D1" s="4" t="inlineStr">
        <is>
          <t>Type</t>
        </is>
      </c>
      <c r="E1" s="4" t="inlineStr">
        <is>
          <t>Parent</t>
        </is>
      </c>
      <c r="F1" s="4" t="inlineStr">
        <is>
          <t>Role</t>
        </is>
      </c>
      <c r="G1" s="4" t="inlineStr">
        <is>
          <t>Claims</t>
        </is>
      </c>
      <c r="H1" s="4" t="inlineStr">
        <is>
          <t>Claims (count)</t>
        </is>
      </c>
    </row>
    <row r="2">
      <c r="A2" s="2" t="inlineStr">
        <is>
          <t>government-of-malta</t>
        </is>
      </c>
      <c r="B2" s="2" t="inlineStr">
        <is>
          <t>Government of Malta</t>
        </is>
      </c>
      <c r="C2" s="2" t="inlineStr">
        <is>
          <t>organisation</t>
        </is>
      </c>
      <c r="D2" s="2" t="inlineStr">
        <is>
          <t>Government &amp; ministers</t>
        </is>
      </c>
      <c r="E2" s="2" t="inlineStr"/>
      <c r="F2" s="2" t="inlineStr"/>
      <c r="G2" s="2" t="inlineStr">
        <is>
          <t>CC-006, CC-021, CC-023, CC-024, CC-025, CC-041, CC-043, CC-045, CC-060, CC-061, CC-095, CC-096</t>
        </is>
      </c>
      <c r="H2" s="2" t="n">
        <v>12</v>
      </c>
    </row>
    <row r="3">
      <c r="A3" s="2" t="inlineStr">
        <is>
          <t>opm</t>
        </is>
      </c>
      <c r="B3" s="2" t="inlineStr">
        <is>
          <t>Office of the Prime Minister</t>
        </is>
      </c>
      <c r="C3" s="2" t="inlineStr">
        <is>
          <t>organisation</t>
        </is>
      </c>
      <c r="D3" s="2" t="inlineStr">
        <is>
          <t>Government &amp; ministers</t>
        </is>
      </c>
      <c r="E3" s="2" t="inlineStr">
        <is>
          <t>Government of Malta</t>
        </is>
      </c>
      <c r="F3" s="2" t="inlineStr"/>
      <c r="G3" s="2" t="inlineStr"/>
      <c r="H3" s="2" t="n">
        <v>0</v>
      </c>
    </row>
    <row r="4">
      <c r="A4" s="2" t="inlineStr">
        <is>
          <t>robert-abela</t>
        </is>
      </c>
      <c r="B4" s="2" t="inlineStr">
        <is>
          <t>Robert Abela</t>
        </is>
      </c>
      <c r="C4" s="2" t="inlineStr">
        <is>
          <t>person</t>
        </is>
      </c>
      <c r="D4" s="2" t="inlineStr">
        <is>
          <t>Government &amp; ministers</t>
        </is>
      </c>
      <c r="E4" s="2" t="inlineStr">
        <is>
          <t>Office of the Prime Minister</t>
        </is>
      </c>
      <c r="F4" s="2" t="inlineStr">
        <is>
          <t>Prime Minister</t>
        </is>
      </c>
      <c r="G4" s="2" t="inlineStr">
        <is>
          <t>CC-012, CC-016, CC-017, CC-027, CC-055, CC-064, CC-068</t>
        </is>
      </c>
      <c r="H4" s="2" t="n">
        <v>7</v>
      </c>
    </row>
    <row r="5">
      <c r="A5" s="2" t="inlineStr">
        <is>
          <t>ministry-environment</t>
        </is>
      </c>
      <c r="B5" s="2" t="inlineStr">
        <is>
          <t>Ministry for the Environment</t>
        </is>
      </c>
      <c r="C5" s="2" t="inlineStr">
        <is>
          <t>organisation</t>
        </is>
      </c>
      <c r="D5" s="2" t="inlineStr">
        <is>
          <t>Government &amp; ministers</t>
        </is>
      </c>
      <c r="E5" s="2" t="inlineStr">
        <is>
          <t>Government of Malta</t>
        </is>
      </c>
      <c r="F5" s="2" t="inlineStr"/>
      <c r="G5" s="2" t="inlineStr">
        <is>
          <t>CC-003, CC-004, CC-010, CC-022, CC-029, CC-048, CC-079</t>
        </is>
      </c>
      <c r="H5" s="2" t="n">
        <v>7</v>
      </c>
    </row>
    <row r="6">
      <c r="A6" s="2" t="inlineStr">
        <is>
          <t>miriam-dalli</t>
        </is>
      </c>
      <c r="B6" s="2" t="inlineStr">
        <is>
          <t>Miriam Dalli</t>
        </is>
      </c>
      <c r="C6" s="2" t="inlineStr">
        <is>
          <t>person</t>
        </is>
      </c>
      <c r="D6" s="2" t="inlineStr">
        <is>
          <t>Government &amp; ministers</t>
        </is>
      </c>
      <c r="E6" s="2" t="inlineStr">
        <is>
          <t>Ministry for the Environment</t>
        </is>
      </c>
      <c r="F6" s="2" t="inlineStr">
        <is>
          <t>Minister for the Environment and Energy</t>
        </is>
      </c>
      <c r="G6" s="2" t="inlineStr">
        <is>
          <t>CC-004, CC-027, CC-051</t>
        </is>
      </c>
      <c r="H6" s="2" t="n">
        <v>3</v>
      </c>
    </row>
    <row r="7">
      <c r="A7" s="2" t="inlineStr">
        <is>
          <t>ministry-finance</t>
        </is>
      </c>
      <c r="B7" s="2" t="inlineStr">
        <is>
          <t>Ministry for Finance</t>
        </is>
      </c>
      <c r="C7" s="2" t="inlineStr">
        <is>
          <t>organisation</t>
        </is>
      </c>
      <c r="D7" s="2" t="inlineStr">
        <is>
          <t>Government &amp; ministers</t>
        </is>
      </c>
      <c r="E7" s="2" t="inlineStr">
        <is>
          <t>Government of Malta</t>
        </is>
      </c>
      <c r="F7" s="2" t="inlineStr"/>
      <c r="G7" s="2" t="inlineStr"/>
      <c r="H7" s="2" t="n">
        <v>0</v>
      </c>
    </row>
    <row r="8">
      <c r="A8" s="2" t="inlineStr">
        <is>
          <t>clyde-caruana</t>
        </is>
      </c>
      <c r="B8" s="2" t="inlineStr">
        <is>
          <t>Clyde Caruana</t>
        </is>
      </c>
      <c r="C8" s="2" t="inlineStr">
        <is>
          <t>person</t>
        </is>
      </c>
      <c r="D8" s="2" t="inlineStr">
        <is>
          <t>Government &amp; ministers</t>
        </is>
      </c>
      <c r="E8" s="2" t="inlineStr">
        <is>
          <t>Ministry for Finance</t>
        </is>
      </c>
      <c r="F8" s="2" t="inlineStr">
        <is>
          <t>Minister for Finance</t>
        </is>
      </c>
      <c r="G8" s="2" t="inlineStr">
        <is>
          <t>CC-017</t>
        </is>
      </c>
      <c r="H8" s="2" t="n">
        <v>1</v>
      </c>
    </row>
    <row r="9">
      <c r="A9" s="2" t="inlineStr">
        <is>
          <t>ministry-transport</t>
        </is>
      </c>
      <c r="B9" s="2" t="inlineStr">
        <is>
          <t>Ministry for Transport</t>
        </is>
      </c>
      <c r="C9" s="2" t="inlineStr">
        <is>
          <t>organisation</t>
        </is>
      </c>
      <c r="D9" s="2" t="inlineStr">
        <is>
          <t>Government &amp; ministers</t>
        </is>
      </c>
      <c r="E9" s="2" t="inlineStr">
        <is>
          <t>Government of Malta</t>
        </is>
      </c>
      <c r="F9" s="2" t="inlineStr"/>
      <c r="G9" s="2" t="inlineStr">
        <is>
          <t>CC-016, CC-069, CC-072</t>
        </is>
      </c>
      <c r="H9" s="2" t="n">
        <v>3</v>
      </c>
    </row>
    <row r="10">
      <c r="A10" s="2" t="inlineStr">
        <is>
          <t>chris-bonett</t>
        </is>
      </c>
      <c r="B10" s="2" t="inlineStr">
        <is>
          <t>Chris Bonett</t>
        </is>
      </c>
      <c r="C10" s="2" t="inlineStr">
        <is>
          <t>person</t>
        </is>
      </c>
      <c r="D10" s="2" t="inlineStr">
        <is>
          <t>Government &amp; ministers</t>
        </is>
      </c>
      <c r="E10" s="2" t="inlineStr">
        <is>
          <t>Ministry for Transport</t>
        </is>
      </c>
      <c r="F10" s="2" t="inlineStr">
        <is>
          <t>Transport Minister</t>
        </is>
      </c>
      <c r="G10" s="2" t="inlineStr">
        <is>
          <t>CC-073, CC-077</t>
        </is>
      </c>
      <c r="H10" s="2" t="n">
        <v>2</v>
      </c>
    </row>
    <row r="11">
      <c r="A11" s="2" t="inlineStr">
        <is>
          <t>ministry-gozo</t>
        </is>
      </c>
      <c r="B11" s="2" t="inlineStr">
        <is>
          <t>Ministry for Gozo</t>
        </is>
      </c>
      <c r="C11" s="2" t="inlineStr">
        <is>
          <t>organisation</t>
        </is>
      </c>
      <c r="D11" s="2" t="inlineStr">
        <is>
          <t>Government &amp; ministers</t>
        </is>
      </c>
      <c r="E11" s="2" t="inlineStr">
        <is>
          <t>Government of Malta</t>
        </is>
      </c>
      <c r="F11" s="2" t="inlineStr"/>
      <c r="G11" s="2" t="inlineStr">
        <is>
          <t>CC-078</t>
        </is>
      </c>
      <c r="H11" s="2" t="n">
        <v>1</v>
      </c>
    </row>
    <row r="12">
      <c r="A12" s="2" t="inlineStr">
        <is>
          <t>clint-camilleri</t>
        </is>
      </c>
      <c r="B12" s="2" t="inlineStr">
        <is>
          <t>Clint Camilleri</t>
        </is>
      </c>
      <c r="C12" s="2" t="inlineStr">
        <is>
          <t>person</t>
        </is>
      </c>
      <c r="D12" s="2" t="inlineStr">
        <is>
          <t>Government &amp; ministers</t>
        </is>
      </c>
      <c r="E12" s="2" t="inlineStr">
        <is>
          <t>Ministry for Gozo</t>
        </is>
      </c>
      <c r="F12" s="2" t="inlineStr">
        <is>
          <t>Minister for Gozo</t>
        </is>
      </c>
      <c r="G12" s="2" t="inlineStr">
        <is>
          <t>CC-031, CC-032</t>
        </is>
      </c>
      <c r="H12" s="2" t="n">
        <v>2</v>
      </c>
    </row>
    <row r="13">
      <c r="A13" s="2" t="inlineStr">
        <is>
          <t>ministry-tourism</t>
        </is>
      </c>
      <c r="B13" s="2" t="inlineStr">
        <is>
          <t>Ministry for Tourism</t>
        </is>
      </c>
      <c r="C13" s="2" t="inlineStr">
        <is>
          <t>organisation</t>
        </is>
      </c>
      <c r="D13" s="2" t="inlineStr">
        <is>
          <t>Government &amp; ministers</t>
        </is>
      </c>
      <c r="E13" s="2" t="inlineStr">
        <is>
          <t>Government of Malta</t>
        </is>
      </c>
      <c r="F13" s="2" t="inlineStr"/>
      <c r="G13" s="2" t="inlineStr">
        <is>
          <t>CC-087</t>
        </is>
      </c>
      <c r="H13" s="2" t="n">
        <v>1</v>
      </c>
    </row>
    <row r="14">
      <c r="A14" s="2" t="inlineStr">
        <is>
          <t>ian-borg</t>
        </is>
      </c>
      <c r="B14" s="2" t="inlineStr">
        <is>
          <t>Ian Borg</t>
        </is>
      </c>
      <c r="C14" s="2" t="inlineStr">
        <is>
          <t>person</t>
        </is>
      </c>
      <c r="D14" s="2" t="inlineStr">
        <is>
          <t>Government &amp; ministers</t>
        </is>
      </c>
      <c r="E14" s="2" t="inlineStr">
        <is>
          <t>Ministry for Tourism</t>
        </is>
      </c>
      <c r="F14" s="2" t="inlineStr">
        <is>
          <t>Deputy Prime Minister and Minister for Tourism</t>
        </is>
      </c>
      <c r="G14" s="2" t="inlineStr">
        <is>
          <t>CC-083, CC-086</t>
        </is>
      </c>
      <c r="H14" s="2" t="n">
        <v>2</v>
      </c>
    </row>
    <row r="15">
      <c r="A15" s="2" t="inlineStr">
        <is>
          <t>ministry-health</t>
        </is>
      </c>
      <c r="B15" s="2" t="inlineStr">
        <is>
          <t>Ministry for Health</t>
        </is>
      </c>
      <c r="C15" s="2" t="inlineStr">
        <is>
          <t>organisation</t>
        </is>
      </c>
      <c r="D15" s="2" t="inlineStr">
        <is>
          <t>Government &amp; ministers</t>
        </is>
      </c>
      <c r="E15" s="2" t="inlineStr">
        <is>
          <t>Government of Malta</t>
        </is>
      </c>
      <c r="F15" s="2" t="inlineStr"/>
      <c r="G15" s="2" t="inlineStr">
        <is>
          <t>CC-090, CC-103</t>
        </is>
      </c>
      <c r="H15" s="2" t="n">
        <v>2</v>
      </c>
    </row>
    <row r="16">
      <c r="A16" s="2" t="inlineStr">
        <is>
          <t>ministry-agriculture</t>
        </is>
      </c>
      <c r="B16" s="2" t="inlineStr">
        <is>
          <t>Ministry for Agriculture, Fisheries and Animal Rights</t>
        </is>
      </c>
      <c r="C16" s="2" t="inlineStr">
        <is>
          <t>organisation</t>
        </is>
      </c>
      <c r="D16" s="2" t="inlineStr">
        <is>
          <t>Government &amp; ministers</t>
        </is>
      </c>
      <c r="E16" s="2" t="inlineStr">
        <is>
          <t>Government of Malta</t>
        </is>
      </c>
      <c r="F16" s="2" t="inlineStr"/>
      <c r="G16" s="2" t="inlineStr">
        <is>
          <t>CC-048</t>
        </is>
      </c>
      <c r="H16" s="2" t="n">
        <v>1</v>
      </c>
    </row>
    <row r="17">
      <c r="A17" s="2" t="inlineStr">
        <is>
          <t>ministry-cleanliness</t>
        </is>
      </c>
      <c r="B17" s="2" t="inlineStr">
        <is>
          <t>Ministry for Public Cleanliness and Regeneration</t>
        </is>
      </c>
      <c r="C17" s="2" t="inlineStr">
        <is>
          <t>organisation</t>
        </is>
      </c>
      <c r="D17" s="2" t="inlineStr">
        <is>
          <t>Government &amp; ministers</t>
        </is>
      </c>
      <c r="E17" s="2" t="inlineStr">
        <is>
          <t>Government of Malta</t>
        </is>
      </c>
      <c r="F17" s="2" t="inlineStr"/>
      <c r="G17" s="2" t="inlineStr">
        <is>
          <t>CC-054</t>
        </is>
      </c>
      <c r="H17" s="2" t="n">
        <v>1</v>
      </c>
    </row>
    <row r="18">
      <c r="A18" s="2" t="inlineStr">
        <is>
          <t>ministry-lands</t>
        </is>
      </c>
      <c r="B18" s="2" t="inlineStr">
        <is>
          <t>Ministry for Lands</t>
        </is>
      </c>
      <c r="C18" s="2" t="inlineStr">
        <is>
          <t>organisation</t>
        </is>
      </c>
      <c r="D18" s="2" t="inlineStr">
        <is>
          <t>Government &amp; ministers</t>
        </is>
      </c>
      <c r="E18" s="2" t="inlineStr">
        <is>
          <t>Government of Malta</t>
        </is>
      </c>
      <c r="F18" s="2" t="inlineStr"/>
      <c r="G18" s="2" t="inlineStr"/>
      <c r="H18" s="2" t="n">
        <v>0</v>
      </c>
    </row>
    <row r="19">
      <c r="A19" s="2" t="inlineStr">
        <is>
          <t>owen-bonnici</t>
        </is>
      </c>
      <c r="B19" s="2" t="inlineStr">
        <is>
          <t>Owen Bonnici</t>
        </is>
      </c>
      <c r="C19" s="2" t="inlineStr">
        <is>
          <t>person</t>
        </is>
      </c>
      <c r="D19" s="2" t="inlineStr">
        <is>
          <t>Government &amp; ministers</t>
        </is>
      </c>
      <c r="E19" s="2" t="inlineStr">
        <is>
          <t>Ministry for Lands</t>
        </is>
      </c>
      <c r="F19" s="2" t="inlineStr">
        <is>
          <t>Lands Minister</t>
        </is>
      </c>
      <c r="G19" s="2" t="inlineStr"/>
      <c r="H19" s="2" t="n">
        <v>0</v>
      </c>
    </row>
    <row r="20">
      <c r="A20" s="2" t="inlineStr">
        <is>
          <t>public-works-ministry</t>
        </is>
      </c>
      <c r="B20" s="2" t="inlineStr">
        <is>
          <t>Public Works Ministry</t>
        </is>
      </c>
      <c r="C20" s="2" t="inlineStr">
        <is>
          <t>organisation</t>
        </is>
      </c>
      <c r="D20" s="2" t="inlineStr">
        <is>
          <t>Government &amp; ministers</t>
        </is>
      </c>
      <c r="E20" s="2" t="inlineStr">
        <is>
          <t>Government of Malta</t>
        </is>
      </c>
      <c r="F20" s="2" t="inlineStr"/>
      <c r="G20" s="2" t="inlineStr">
        <is>
          <t>CC-012</t>
        </is>
      </c>
      <c r="H20" s="2" t="n">
        <v>1</v>
      </c>
    </row>
    <row r="21">
      <c r="A21" s="2" t="inlineStr">
        <is>
          <t>parl-sec-public-works</t>
        </is>
      </c>
      <c r="B21" s="2" t="inlineStr">
        <is>
          <t>Parliamentary Secretariat for Public Works</t>
        </is>
      </c>
      <c r="C21" s="2" t="inlineStr">
        <is>
          <t>organisation</t>
        </is>
      </c>
      <c r="D21" s="2" t="inlineStr">
        <is>
          <t>Government &amp; ministers</t>
        </is>
      </c>
      <c r="E21" s="2" t="inlineStr">
        <is>
          <t>Government of Malta</t>
        </is>
      </c>
      <c r="F21" s="2" t="inlineStr"/>
      <c r="G21" s="2" t="inlineStr">
        <is>
          <t>CC-032, CC-044</t>
        </is>
      </c>
      <c r="H21" s="2" t="n">
        <v>2</v>
      </c>
    </row>
    <row r="22">
      <c r="A22" s="2" t="inlineStr">
        <is>
          <t>public-works-department</t>
        </is>
      </c>
      <c r="B22" s="2" t="inlineStr">
        <is>
          <t>Public Works Department</t>
        </is>
      </c>
      <c r="C22" s="2" t="inlineStr">
        <is>
          <t>organisation</t>
        </is>
      </c>
      <c r="D22" s="2" t="inlineStr">
        <is>
          <t>Government &amp; ministers</t>
        </is>
      </c>
      <c r="E22" s="2" t="inlineStr">
        <is>
          <t>Government of Malta</t>
        </is>
      </c>
      <c r="F22" s="2" t="inlineStr"/>
      <c r="G22" s="2" t="inlineStr">
        <is>
          <t>CC-045</t>
        </is>
      </c>
      <c r="H22" s="2" t="n">
        <v>1</v>
      </c>
    </row>
    <row r="23">
      <c r="A23" s="2" t="inlineStr">
        <is>
          <t>aquaculture-directorate</t>
        </is>
      </c>
      <c r="B23" s="2" t="inlineStr">
        <is>
          <t>Aquaculture Directorate</t>
        </is>
      </c>
      <c r="C23" s="2" t="inlineStr">
        <is>
          <t>organisation</t>
        </is>
      </c>
      <c r="D23" s="2" t="inlineStr">
        <is>
          <t>Government &amp; ministers</t>
        </is>
      </c>
      <c r="E23" s="2" t="inlineStr">
        <is>
          <t>Government of Malta</t>
        </is>
      </c>
      <c r="F23" s="2" t="inlineStr"/>
      <c r="G23" s="2" t="inlineStr">
        <is>
          <t>CC-096</t>
        </is>
      </c>
      <c r="H23" s="2" t="n">
        <v>1</v>
      </c>
    </row>
    <row r="24">
      <c r="A24" s="2" t="inlineStr">
        <is>
          <t>ambjent-malta</t>
        </is>
      </c>
      <c r="B24" s="2" t="inlineStr">
        <is>
          <t>Ambjent Malta</t>
        </is>
      </c>
      <c r="C24" s="2" t="inlineStr">
        <is>
          <t>organisation</t>
        </is>
      </c>
      <c r="D24" s="2" t="inlineStr">
        <is>
          <t>Public agencies &amp; companies</t>
        </is>
      </c>
      <c r="E24" s="2" t="inlineStr"/>
      <c r="F24" s="2" t="inlineStr"/>
      <c r="G24" s="2" t="inlineStr">
        <is>
          <t>CC-001</t>
        </is>
      </c>
      <c r="H24" s="2" t="n">
        <v>1</v>
      </c>
    </row>
    <row r="25">
      <c r="A25" s="2" t="inlineStr">
        <is>
          <t>infrastructure-malta</t>
        </is>
      </c>
      <c r="B25" s="2" t="inlineStr">
        <is>
          <t>Infrastructure Malta</t>
        </is>
      </c>
      <c r="C25" s="2" t="inlineStr">
        <is>
          <t>organisation</t>
        </is>
      </c>
      <c r="D25" s="2" t="inlineStr">
        <is>
          <t>Public agencies &amp; companies</t>
        </is>
      </c>
      <c r="E25" s="2" t="inlineStr"/>
      <c r="F25" s="2" t="inlineStr"/>
      <c r="G25" s="2" t="inlineStr">
        <is>
          <t>CC-008, CC-016, CC-021, CC-056</t>
        </is>
      </c>
      <c r="H25" s="2" t="n">
        <v>4</v>
      </c>
    </row>
    <row r="26">
      <c r="A26" s="2" t="inlineStr">
        <is>
          <t>wsc</t>
        </is>
      </c>
      <c r="B26" s="2" t="inlineStr">
        <is>
          <t>Water Services Corporation</t>
        </is>
      </c>
      <c r="C26" s="2" t="inlineStr">
        <is>
          <t>organisation</t>
        </is>
      </c>
      <c r="D26" s="2" t="inlineStr">
        <is>
          <t>Public agencies &amp; companies</t>
        </is>
      </c>
      <c r="E26" s="2" t="inlineStr"/>
      <c r="F26" s="2" t="inlineStr"/>
      <c r="G26" s="2" t="inlineStr">
        <is>
          <t>CC-009, CC-039, CC-041, CC-046, CC-108</t>
        </is>
      </c>
      <c r="H26" s="2" t="n">
        <v>5</v>
      </c>
    </row>
    <row r="27">
      <c r="A27" s="2" t="inlineStr">
        <is>
          <t>wasteserv</t>
        </is>
      </c>
      <c r="B27" s="2" t="inlineStr">
        <is>
          <t>WasteServ</t>
        </is>
      </c>
      <c r="C27" s="2" t="inlineStr">
        <is>
          <t>organisation</t>
        </is>
      </c>
      <c r="D27" s="2" t="inlineStr">
        <is>
          <t>Public agencies &amp; companies</t>
        </is>
      </c>
      <c r="E27" s="2" t="inlineStr"/>
      <c r="F27" s="2" t="inlineStr"/>
      <c r="G27" s="2" t="inlineStr">
        <is>
          <t>CC-004, CC-079, CC-080</t>
        </is>
      </c>
      <c r="H27" s="2" t="n">
        <v>3</v>
      </c>
    </row>
    <row r="28">
      <c r="A28" s="2" t="inlineStr">
        <is>
          <t>project-green</t>
        </is>
      </c>
      <c r="B28" s="2" t="inlineStr">
        <is>
          <t>Project Green</t>
        </is>
      </c>
      <c r="C28" s="2" t="inlineStr">
        <is>
          <t>organisation</t>
        </is>
      </c>
      <c r="D28" s="2" t="inlineStr">
        <is>
          <t>Public agencies &amp; companies</t>
        </is>
      </c>
      <c r="E28" s="2" t="inlineStr"/>
      <c r="F28" s="2" t="inlineStr"/>
      <c r="G28" s="2" t="inlineStr">
        <is>
          <t>CC-010, CC-054</t>
        </is>
      </c>
      <c r="H28" s="2" t="n">
        <v>2</v>
      </c>
    </row>
    <row r="29">
      <c r="A29" s="2" t="inlineStr">
        <is>
          <t>enemalta</t>
        </is>
      </c>
      <c r="B29" s="2" t="inlineStr">
        <is>
          <t>Enemalta</t>
        </is>
      </c>
      <c r="C29" s="2" t="inlineStr">
        <is>
          <t>organisation</t>
        </is>
      </c>
      <c r="D29" s="2" t="inlineStr">
        <is>
          <t>Public agencies &amp; companies</t>
        </is>
      </c>
      <c r="E29" s="2" t="inlineStr"/>
      <c r="F29" s="2" t="inlineStr"/>
      <c r="G29" s="2" t="inlineStr">
        <is>
          <t>CC-028</t>
        </is>
      </c>
      <c r="H29" s="2" t="n">
        <v>1</v>
      </c>
    </row>
    <row r="30">
      <c r="A30" s="2" t="inlineStr">
        <is>
          <t>interconnect-malta</t>
        </is>
      </c>
      <c r="B30" s="2" t="inlineStr">
        <is>
          <t>Interconnect Malta</t>
        </is>
      </c>
      <c r="C30" s="2" t="inlineStr">
        <is>
          <t>organisation</t>
        </is>
      </c>
      <c r="D30" s="2" t="inlineStr">
        <is>
          <t>Public agencies &amp; companies</t>
        </is>
      </c>
      <c r="E30" s="2" t="inlineStr"/>
      <c r="F30" s="2" t="inlineStr"/>
      <c r="G30" s="2" t="inlineStr">
        <is>
          <t>CC-023, CC-029</t>
        </is>
      </c>
      <c r="H30" s="2" t="n">
        <v>2</v>
      </c>
    </row>
    <row r="31">
      <c r="A31" s="2" t="inlineStr">
        <is>
          <t>gozo-channel</t>
        </is>
      </c>
      <c r="B31" s="2" t="inlineStr">
        <is>
          <t>Gozo Channel</t>
        </is>
      </c>
      <c r="C31" s="2" t="inlineStr">
        <is>
          <t>organisation</t>
        </is>
      </c>
      <c r="D31" s="2" t="inlineStr">
        <is>
          <t>Public agencies &amp; companies</t>
        </is>
      </c>
      <c r="E31" s="2" t="inlineStr"/>
      <c r="F31" s="2" t="inlineStr"/>
      <c r="G31" s="2" t="inlineStr">
        <is>
          <t>CC-078</t>
        </is>
      </c>
      <c r="H31" s="2" t="n">
        <v>1</v>
      </c>
    </row>
    <row r="32">
      <c r="A32" s="2" t="inlineStr">
        <is>
          <t>housing-authority</t>
        </is>
      </c>
      <c r="B32" s="2" t="inlineStr">
        <is>
          <t>Housing Authority</t>
        </is>
      </c>
      <c r="C32" s="2" t="inlineStr">
        <is>
          <t>organisation</t>
        </is>
      </c>
      <c r="D32" s="2" t="inlineStr">
        <is>
          <t>Public agencies &amp; companies</t>
        </is>
      </c>
      <c r="E32" s="2" t="inlineStr"/>
      <c r="F32" s="2" t="inlineStr"/>
      <c r="G32" s="2" t="inlineStr">
        <is>
          <t>CC-060</t>
        </is>
      </c>
      <c r="H32" s="2" t="n">
        <v>1</v>
      </c>
    </row>
    <row r="33">
      <c r="A33" s="2" t="inlineStr">
        <is>
          <t>malta-tourism-authority</t>
        </is>
      </c>
      <c r="B33" s="2" t="inlineStr">
        <is>
          <t>Malta Tourism Authority</t>
        </is>
      </c>
      <c r="C33" s="2" t="inlineStr">
        <is>
          <t>organisation</t>
        </is>
      </c>
      <c r="D33" s="2" t="inlineStr">
        <is>
          <t>Public agencies &amp; companies</t>
        </is>
      </c>
      <c r="E33" s="2" t="inlineStr"/>
      <c r="F33" s="2" t="inlineStr"/>
      <c r="G33" s="2" t="inlineStr">
        <is>
          <t>CC-087</t>
        </is>
      </c>
      <c r="H33" s="2" t="n">
        <v>1</v>
      </c>
    </row>
    <row r="34">
      <c r="A34" s="2" t="inlineStr">
        <is>
          <t>energy-water-agency</t>
        </is>
      </c>
      <c r="B34" s="2" t="inlineStr">
        <is>
          <t>Energy and Water Agency</t>
        </is>
      </c>
      <c r="C34" s="2" t="inlineStr">
        <is>
          <t>organisation</t>
        </is>
      </c>
      <c r="D34" s="2" t="inlineStr">
        <is>
          <t>Public agencies &amp; companies</t>
        </is>
      </c>
      <c r="E34" s="2" t="inlineStr"/>
      <c r="F34" s="2" t="inlineStr"/>
      <c r="G34" s="2" t="inlineStr">
        <is>
          <t>CC-040, CC-108</t>
        </is>
      </c>
      <c r="H34" s="2" t="n">
        <v>2</v>
      </c>
    </row>
    <row r="35">
      <c r="A35" s="2" t="inlineStr">
        <is>
          <t>manuel-sapiano</t>
        </is>
      </c>
      <c r="B35" s="2" t="inlineStr">
        <is>
          <t>Manuel Sapiano</t>
        </is>
      </c>
      <c r="C35" s="2" t="inlineStr">
        <is>
          <t>person</t>
        </is>
      </c>
      <c r="D35" s="2" t="inlineStr">
        <is>
          <t>Public agencies &amp; companies</t>
        </is>
      </c>
      <c r="E35" s="2" t="inlineStr">
        <is>
          <t>Energy and Water Agency</t>
        </is>
      </c>
      <c r="F35" s="2" t="inlineStr"/>
      <c r="G35" s="2" t="inlineStr">
        <is>
          <t>CC-040</t>
        </is>
      </c>
      <c r="H35" s="2" t="n">
        <v>1</v>
      </c>
    </row>
    <row r="36">
      <c r="A36" s="2" t="inlineStr">
        <is>
          <t>ta-qali-park-unit</t>
        </is>
      </c>
      <c r="B36" s="2" t="inlineStr">
        <is>
          <t>Ta' Qali park unit</t>
        </is>
      </c>
      <c r="C36" s="2" t="inlineStr">
        <is>
          <t>organisation</t>
        </is>
      </c>
      <c r="D36" s="2" t="inlineStr">
        <is>
          <t>Public agencies &amp; companies</t>
        </is>
      </c>
      <c r="E36" s="2" t="inlineStr"/>
      <c r="F36" s="2" t="inlineStr"/>
      <c r="G36" s="2" t="inlineStr">
        <is>
          <t>CC-012</t>
        </is>
      </c>
      <c r="H36" s="2" t="n">
        <v>1</v>
      </c>
    </row>
    <row r="37">
      <c r="A37" s="2" t="inlineStr">
        <is>
          <t>jason-micallef</t>
        </is>
      </c>
      <c r="B37" s="2" t="inlineStr">
        <is>
          <t>Jason Micallef</t>
        </is>
      </c>
      <c r="C37" s="2" t="inlineStr">
        <is>
          <t>person</t>
        </is>
      </c>
      <c r="D37" s="2" t="inlineStr">
        <is>
          <t>Public agencies &amp; companies</t>
        </is>
      </c>
      <c r="E37" s="2" t="inlineStr">
        <is>
          <t>Ta' Qali park unit</t>
        </is>
      </c>
      <c r="F37" s="2" t="inlineStr">
        <is>
          <t>Head of the Ta' Qali park unit</t>
        </is>
      </c>
      <c r="G37" s="2" t="inlineStr">
        <is>
          <t>CC-012</t>
        </is>
      </c>
      <c r="H37" s="2" t="n">
        <v>1</v>
      </c>
    </row>
    <row r="38">
      <c r="A38" s="2" t="inlineStr">
        <is>
          <t>era</t>
        </is>
      </c>
      <c r="B38" s="2" t="inlineStr">
        <is>
          <t>Environment and Resources Authority (ERA)</t>
        </is>
      </c>
      <c r="C38" s="2" t="inlineStr">
        <is>
          <t>organisation</t>
        </is>
      </c>
      <c r="D38" s="2" t="inlineStr">
        <is>
          <t>Regulators &amp; authorities</t>
        </is>
      </c>
      <c r="E38" s="2" t="inlineStr"/>
      <c r="F38" s="2" t="inlineStr"/>
      <c r="G38" s="2" t="inlineStr">
        <is>
          <t>CC-002, CC-034, CC-036, CC-038, CC-051, CC-052, CC-057, CC-082</t>
        </is>
      </c>
      <c r="H38" s="2" t="n">
        <v>8</v>
      </c>
    </row>
    <row r="39">
      <c r="A39" s="2" t="inlineStr">
        <is>
          <t>planning-authority</t>
        </is>
      </c>
      <c r="B39" s="2" t="inlineStr">
        <is>
          <t>Planning Authority</t>
        </is>
      </c>
      <c r="C39" s="2" t="inlineStr">
        <is>
          <t>organisation</t>
        </is>
      </c>
      <c r="D39" s="2" t="inlineStr">
        <is>
          <t>Regulators &amp; authorities</t>
        </is>
      </c>
      <c r="E39" s="2" t="inlineStr"/>
      <c r="F39" s="2" t="inlineStr"/>
      <c r="G39" s="2" t="inlineStr">
        <is>
          <t>CC-068</t>
        </is>
      </c>
      <c r="H39" s="2" t="n">
        <v>1</v>
      </c>
    </row>
    <row r="40">
      <c r="A40" s="2" t="inlineStr">
        <is>
          <t>johann-buttigieg</t>
        </is>
      </c>
      <c r="B40" s="2" t="inlineStr">
        <is>
          <t>Johann Buttigieg</t>
        </is>
      </c>
      <c r="C40" s="2" t="inlineStr">
        <is>
          <t>person</t>
        </is>
      </c>
      <c r="D40" s="2" t="inlineStr">
        <is>
          <t>Regulators &amp; authorities</t>
        </is>
      </c>
      <c r="E40" s="2" t="inlineStr">
        <is>
          <t>Planning Authority</t>
        </is>
      </c>
      <c r="F40" s="2" t="inlineStr">
        <is>
          <t>Planning Authority CEO</t>
        </is>
      </c>
      <c r="G40" s="2" t="inlineStr">
        <is>
          <t>CC-013, CC-014, CC-015</t>
        </is>
      </c>
      <c r="H40" s="2" t="n">
        <v>3</v>
      </c>
    </row>
    <row r="41">
      <c r="A41" s="2" t="inlineStr">
        <is>
          <t>transport-malta</t>
        </is>
      </c>
      <c r="B41" s="2" t="inlineStr">
        <is>
          <t>Transport Malta</t>
        </is>
      </c>
      <c r="C41" s="2" t="inlineStr">
        <is>
          <t>organisation</t>
        </is>
      </c>
      <c r="D41" s="2" t="inlineStr">
        <is>
          <t>Regulators &amp; authorities</t>
        </is>
      </c>
      <c r="E41" s="2" t="inlineStr"/>
      <c r="F41" s="2" t="inlineStr"/>
      <c r="G41" s="2" t="inlineStr">
        <is>
          <t>CC-070, CC-074, CC-077</t>
        </is>
      </c>
      <c r="H41" s="2" t="n">
        <v>3</v>
      </c>
    </row>
    <row r="42">
      <c r="A42" s="2" t="inlineStr">
        <is>
          <t>ohsa</t>
        </is>
      </c>
      <c r="B42" s="2" t="inlineStr">
        <is>
          <t>Occupational Health and Safety Authority (OHSA)</t>
        </is>
      </c>
      <c r="C42" s="2" t="inlineStr">
        <is>
          <t>organisation</t>
        </is>
      </c>
      <c r="D42" s="2" t="inlineStr">
        <is>
          <t>Regulators &amp; authorities</t>
        </is>
      </c>
      <c r="E42" s="2" t="inlineStr"/>
      <c r="F42" s="2" t="inlineStr"/>
      <c r="G42" s="2" t="inlineStr">
        <is>
          <t>CC-091</t>
        </is>
      </c>
      <c r="H42" s="2" t="n">
        <v>1</v>
      </c>
    </row>
    <row r="43">
      <c r="A43" s="2" t="inlineStr">
        <is>
          <t>climate-action-authority</t>
        </is>
      </c>
      <c r="B43" s="2" t="inlineStr">
        <is>
          <t>Climate Action Authority</t>
        </is>
      </c>
      <c r="C43" s="2" t="inlineStr">
        <is>
          <t>organisation</t>
        </is>
      </c>
      <c r="D43" s="2" t="inlineStr">
        <is>
          <t>Regulators &amp; authorities</t>
        </is>
      </c>
      <c r="E43" s="2" t="inlineStr"/>
      <c r="F43" s="2" t="inlineStr"/>
      <c r="G43" s="2" t="inlineStr">
        <is>
          <t>CC-003</t>
        </is>
      </c>
      <c r="H43" s="2" t="n">
        <v>1</v>
      </c>
    </row>
    <row r="44">
      <c r="A44" s="2" t="inlineStr">
        <is>
          <t>cultural-heritage</t>
        </is>
      </c>
      <c r="B44" s="2" t="inlineStr">
        <is>
          <t>Superintendence of Cultural Heritage</t>
        </is>
      </c>
      <c r="C44" s="2" t="inlineStr">
        <is>
          <t>organisation</t>
        </is>
      </c>
      <c r="D44" s="2" t="inlineStr">
        <is>
          <t>Regulators &amp; authorities</t>
        </is>
      </c>
      <c r="E44" s="2" t="inlineStr"/>
      <c r="F44" s="2" t="inlineStr"/>
      <c r="G44" s="2" t="inlineStr">
        <is>
          <t>CC-066</t>
        </is>
      </c>
      <c r="H44" s="2" t="n">
        <v>1</v>
      </c>
    </row>
    <row r="45">
      <c r="A45" s="2" t="inlineStr">
        <is>
          <t>eprt</t>
        </is>
      </c>
      <c r="B45" s="2" t="inlineStr">
        <is>
          <t>Environment and Planning Review Tribunal</t>
        </is>
      </c>
      <c r="C45" s="2" t="inlineStr">
        <is>
          <t>organisation</t>
        </is>
      </c>
      <c r="D45" s="2" t="inlineStr">
        <is>
          <t>Courts, tribunals &amp; oversight</t>
        </is>
      </c>
      <c r="E45" s="2" t="inlineStr"/>
      <c r="F45" s="2" t="inlineStr"/>
      <c r="G45" s="2" t="inlineStr">
        <is>
          <t>CC-066</t>
        </is>
      </c>
      <c r="H45" s="2" t="n">
        <v>1</v>
      </c>
    </row>
    <row r="46">
      <c r="A46" s="2" t="inlineStr">
        <is>
          <t>ombudsman</t>
        </is>
      </c>
      <c r="B46" s="2" t="inlineStr">
        <is>
          <t>Parliamentary Ombudsman</t>
        </is>
      </c>
      <c r="C46" s="2" t="inlineStr">
        <is>
          <t>organisation</t>
        </is>
      </c>
      <c r="D46" s="2" t="inlineStr">
        <is>
          <t>Courts, tribunals &amp; oversight</t>
        </is>
      </c>
      <c r="E46" s="2" t="inlineStr"/>
      <c r="F46" s="2" t="inlineStr"/>
      <c r="G46" s="2" t="inlineStr">
        <is>
          <t>CC-102</t>
        </is>
      </c>
      <c r="H46" s="2" t="n">
        <v>1</v>
      </c>
    </row>
    <row r="47">
      <c r="A47" s="2" t="inlineStr">
        <is>
          <t>joseph-zammit-mckeon</t>
        </is>
      </c>
      <c r="B47" s="2" t="inlineStr">
        <is>
          <t>Joseph Zammit McKeon</t>
        </is>
      </c>
      <c r="C47" s="2" t="inlineStr">
        <is>
          <t>person</t>
        </is>
      </c>
      <c r="D47" s="2" t="inlineStr">
        <is>
          <t>Courts, tribunals &amp; oversight</t>
        </is>
      </c>
      <c r="E47" s="2" t="inlineStr">
        <is>
          <t>Parliamentary Ombudsman</t>
        </is>
      </c>
      <c r="F47" s="2" t="inlineStr">
        <is>
          <t>Parliamentary Ombudsman</t>
        </is>
      </c>
      <c r="G47" s="2" t="inlineStr">
        <is>
          <t>CC-102</t>
        </is>
      </c>
      <c r="H47" s="2" t="n">
        <v>1</v>
      </c>
    </row>
    <row r="48">
      <c r="A48" s="2" t="inlineStr">
        <is>
          <t>pl</t>
        </is>
      </c>
      <c r="B48" s="2" t="inlineStr">
        <is>
          <t>Partit Laburista (Labour Party)</t>
        </is>
      </c>
      <c r="C48" s="2" t="inlineStr">
        <is>
          <t>organisation</t>
        </is>
      </c>
      <c r="D48" s="2" t="inlineStr">
        <is>
          <t>Political parties</t>
        </is>
      </c>
      <c r="E48" s="2" t="inlineStr"/>
      <c r="F48" s="2" t="inlineStr"/>
      <c r="G48" s="2" t="inlineStr">
        <is>
          <t>CC-010, CC-011</t>
        </is>
      </c>
      <c r="H48" s="2" t="n">
        <v>2</v>
      </c>
    </row>
    <row r="49">
      <c r="A49" s="2" t="inlineStr">
        <is>
          <t>pn</t>
        </is>
      </c>
      <c r="B49" s="2" t="inlineStr">
        <is>
          <t>Partit Nazzjonalista (Nationalist Party)</t>
        </is>
      </c>
      <c r="C49" s="2" t="inlineStr">
        <is>
          <t>organisation</t>
        </is>
      </c>
      <c r="D49" s="2" t="inlineStr">
        <is>
          <t>Political parties</t>
        </is>
      </c>
      <c r="E49" s="2" t="inlineStr"/>
      <c r="F49" s="2" t="inlineStr"/>
      <c r="G49" s="2" t="inlineStr">
        <is>
          <t>CC-012, CC-042, CC-092, CC-093, CC-104, CC-107, CC-114</t>
        </is>
      </c>
      <c r="H49" s="2" t="n">
        <v>7</v>
      </c>
    </row>
    <row r="50">
      <c r="A50" s="2" t="inlineStr">
        <is>
          <t>albert-buttigieg</t>
        </is>
      </c>
      <c r="B50" s="2" t="inlineStr">
        <is>
          <t>Albert Buttigieg</t>
        </is>
      </c>
      <c r="C50" s="2" t="inlineStr">
        <is>
          <t>person</t>
        </is>
      </c>
      <c r="D50" s="2" t="inlineStr">
        <is>
          <t>Political parties</t>
        </is>
      </c>
      <c r="E50" s="2" t="inlineStr">
        <is>
          <t>Partit Nazzjonalista (Nationalist Party)</t>
        </is>
      </c>
      <c r="F50" s="2" t="inlineStr">
        <is>
          <t>PN MP</t>
        </is>
      </c>
      <c r="G50" s="2" t="inlineStr">
        <is>
          <t>CC-104</t>
        </is>
      </c>
      <c r="H50" s="2" t="n">
        <v>1</v>
      </c>
    </row>
    <row r="51">
      <c r="A51" s="2" t="inlineStr">
        <is>
          <t>peter-agius</t>
        </is>
      </c>
      <c r="B51" s="2" t="inlineStr">
        <is>
          <t>Peter Agius</t>
        </is>
      </c>
      <c r="C51" s="2" t="inlineStr">
        <is>
          <t>person</t>
        </is>
      </c>
      <c r="D51" s="2" t="inlineStr">
        <is>
          <t>Political parties</t>
        </is>
      </c>
      <c r="E51" s="2" t="inlineStr">
        <is>
          <t>Partit Nazzjonalista (Nationalist Party)</t>
        </is>
      </c>
      <c r="F51" s="2" t="inlineStr">
        <is>
          <t>MEP (PN)</t>
        </is>
      </c>
      <c r="G51" s="2" t="inlineStr">
        <is>
          <t>CC-104</t>
        </is>
      </c>
      <c r="H51" s="2" t="n">
        <v>1</v>
      </c>
    </row>
    <row r="52">
      <c r="A52" s="2" t="inlineStr">
        <is>
          <t>adpd</t>
        </is>
      </c>
      <c r="B52" s="2" t="inlineStr">
        <is>
          <t>ADPD – The Green Party</t>
        </is>
      </c>
      <c r="C52" s="2" t="inlineStr">
        <is>
          <t>organisation</t>
        </is>
      </c>
      <c r="D52" s="2" t="inlineStr">
        <is>
          <t>Political parties</t>
        </is>
      </c>
      <c r="E52" s="2" t="inlineStr"/>
      <c r="F52" s="2" t="inlineStr"/>
      <c r="G52" s="2" t="inlineStr">
        <is>
          <t>CC-065, CC-084, CC-105</t>
        </is>
      </c>
      <c r="H52" s="2" t="n">
        <v>3</v>
      </c>
    </row>
    <row r="53">
      <c r="A53" s="2" t="inlineStr">
        <is>
          <t>sandra-gauci</t>
        </is>
      </c>
      <c r="B53" s="2" t="inlineStr">
        <is>
          <t>Sandra Gauci</t>
        </is>
      </c>
      <c r="C53" s="2" t="inlineStr">
        <is>
          <t>person</t>
        </is>
      </c>
      <c r="D53" s="2" t="inlineStr">
        <is>
          <t>Political parties</t>
        </is>
      </c>
      <c r="E53" s="2" t="inlineStr">
        <is>
          <t>ADPD – The Green Party</t>
        </is>
      </c>
      <c r="F53" s="2" t="inlineStr"/>
      <c r="G53" s="2" t="inlineStr">
        <is>
          <t>CC-065, CC-084</t>
        </is>
      </c>
      <c r="H53" s="2" t="n">
        <v>2</v>
      </c>
    </row>
    <row r="54">
      <c r="A54" s="2" t="inlineStr">
        <is>
          <t>momentum</t>
        </is>
      </c>
      <c r="B54" s="2" t="inlineStr">
        <is>
          <t>Momentum</t>
        </is>
      </c>
      <c r="C54" s="2" t="inlineStr">
        <is>
          <t>organisation</t>
        </is>
      </c>
      <c r="D54" s="2" t="inlineStr">
        <is>
          <t>Political parties</t>
        </is>
      </c>
      <c r="E54" s="2" t="inlineStr"/>
      <c r="F54" s="2" t="inlineStr"/>
      <c r="G54" s="2" t="inlineStr">
        <is>
          <t>CC-012, CC-067</t>
        </is>
      </c>
      <c r="H54" s="2" t="n">
        <v>2</v>
      </c>
    </row>
    <row r="55">
      <c r="A55" s="2" t="inlineStr">
        <is>
          <t>birdlife</t>
        </is>
      </c>
      <c r="B55" s="2" t="inlineStr">
        <is>
          <t>BirdLife Malta</t>
        </is>
      </c>
      <c r="C55" s="2" t="inlineStr">
        <is>
          <t>organisation</t>
        </is>
      </c>
      <c r="D55" s="2" t="inlineStr">
        <is>
          <t>NGOs &amp; unions</t>
        </is>
      </c>
      <c r="E55" s="2" t="inlineStr"/>
      <c r="F55" s="2" t="inlineStr"/>
      <c r="G55" s="2" t="inlineStr">
        <is>
          <t>CC-049, CC-050, CC-106</t>
        </is>
      </c>
      <c r="H55" s="2" t="n">
        <v>3</v>
      </c>
    </row>
    <row r="56">
      <c r="A56" s="2" t="inlineStr">
        <is>
          <t>graffitti</t>
        </is>
      </c>
      <c r="B56" s="2" t="inlineStr">
        <is>
          <t>Moviment Graffitti</t>
        </is>
      </c>
      <c r="C56" s="2" t="inlineStr">
        <is>
          <t>organisation</t>
        </is>
      </c>
      <c r="D56" s="2" t="inlineStr">
        <is>
          <t>NGOs &amp; unions</t>
        </is>
      </c>
      <c r="E56" s="2" t="inlineStr"/>
      <c r="F56" s="2" t="inlineStr"/>
      <c r="G56" s="2" t="inlineStr">
        <is>
          <t>CC-098</t>
        </is>
      </c>
      <c r="H56" s="2" t="n">
        <v>1</v>
      </c>
    </row>
    <row r="57">
      <c r="A57" s="2" t="inlineStr">
        <is>
          <t>wirt-artna</t>
        </is>
      </c>
      <c r="B57" s="2" t="inlineStr">
        <is>
          <t>Fondazzjoni Wirt Artna</t>
        </is>
      </c>
      <c r="C57" s="2" t="inlineStr">
        <is>
          <t>organisation</t>
        </is>
      </c>
      <c r="D57" s="2" t="inlineStr">
        <is>
          <t>NGOs &amp; unions</t>
        </is>
      </c>
      <c r="E57" s="2" t="inlineStr"/>
      <c r="F57" s="2" t="inlineStr"/>
      <c r="G57" s="2" t="inlineStr">
        <is>
          <t>CC-001</t>
        </is>
      </c>
      <c r="H57" s="2" t="n">
        <v>1</v>
      </c>
    </row>
    <row r="58">
      <c r="A58" s="2" t="inlineStr">
        <is>
          <t>fee-malta</t>
        </is>
      </c>
      <c r="B58" s="2" t="inlineStr">
        <is>
          <t>FEE Malta</t>
        </is>
      </c>
      <c r="C58" s="2" t="inlineStr">
        <is>
          <t>organisation</t>
        </is>
      </c>
      <c r="D58" s="2" t="inlineStr">
        <is>
          <t>NGOs &amp; unions</t>
        </is>
      </c>
      <c r="E58" s="2" t="inlineStr"/>
      <c r="F58" s="2" t="inlineStr"/>
      <c r="G58" s="2" t="inlineStr">
        <is>
          <t>CC-043</t>
        </is>
      </c>
      <c r="H58" s="2" t="n">
        <v>1</v>
      </c>
    </row>
    <row r="59">
      <c r="A59" s="2" t="inlineStr">
        <is>
          <t>gwu</t>
        </is>
      </c>
      <c r="B59" s="2" t="inlineStr">
        <is>
          <t>General Workers' Union (GWU)</t>
        </is>
      </c>
      <c r="C59" s="2" t="inlineStr">
        <is>
          <t>organisation</t>
        </is>
      </c>
      <c r="D59" s="2" t="inlineStr">
        <is>
          <t>NGOs &amp; unions</t>
        </is>
      </c>
      <c r="E59" s="2" t="inlineStr"/>
      <c r="F59" s="2" t="inlineStr"/>
      <c r="G59" s="2" t="inlineStr">
        <is>
          <t>CC-097</t>
        </is>
      </c>
      <c r="H59" s="2" t="n">
        <v>1</v>
      </c>
    </row>
    <row r="60">
      <c r="A60" s="2" t="inlineStr">
        <is>
          <t>mda</t>
        </is>
      </c>
      <c r="B60" s="2" t="inlineStr">
        <is>
          <t>Malta Developers Association (MDA)</t>
        </is>
      </c>
      <c r="C60" s="2" t="inlineStr">
        <is>
          <t>organisation</t>
        </is>
      </c>
      <c r="D60" s="2" t="inlineStr">
        <is>
          <t>Business &amp; industry</t>
        </is>
      </c>
      <c r="E60" s="2" t="inlineStr"/>
      <c r="F60" s="2" t="inlineStr"/>
      <c r="G60" s="2" t="inlineStr">
        <is>
          <t>CC-018, CC-063</t>
        </is>
      </c>
      <c r="H60" s="2" t="n">
        <v>2</v>
      </c>
    </row>
    <row r="61">
      <c r="A61" s="2" t="inlineStr">
        <is>
          <t>mhra</t>
        </is>
      </c>
      <c r="B61" s="2" t="inlineStr">
        <is>
          <t>Malta Hotels and Restaurants Association (MHRA)</t>
        </is>
      </c>
      <c r="C61" s="2" t="inlineStr">
        <is>
          <t>organisation</t>
        </is>
      </c>
      <c r="D61" s="2" t="inlineStr">
        <is>
          <t>Business &amp; industry</t>
        </is>
      </c>
      <c r="E61" s="2" t="inlineStr"/>
      <c r="F61" s="2" t="inlineStr"/>
      <c r="G61" s="2" t="inlineStr">
        <is>
          <t>CC-085</t>
        </is>
      </c>
      <c r="H61" s="2" t="n">
        <v>1</v>
      </c>
    </row>
    <row r="62">
      <c r="A62" s="2" t="inlineStr">
        <is>
          <t>malta-chamber</t>
        </is>
      </c>
      <c r="B62" s="2" t="inlineStr">
        <is>
          <t>The Malta Chamber of Commerce, Enterprise and Industry</t>
        </is>
      </c>
      <c r="C62" s="2" t="inlineStr">
        <is>
          <t>organisation</t>
        </is>
      </c>
      <c r="D62" s="2" t="inlineStr">
        <is>
          <t>Business &amp; industry</t>
        </is>
      </c>
      <c r="E62" s="2" t="inlineStr"/>
      <c r="F62" s="2" t="inlineStr"/>
      <c r="G62" s="2" t="inlineStr">
        <is>
          <t>CC-089, CC-115</t>
        </is>
      </c>
      <c r="H62" s="2" t="n">
        <v>2</v>
      </c>
    </row>
    <row r="63">
      <c r="A63" s="2" t="inlineStr">
        <is>
          <t>kpmg</t>
        </is>
      </c>
      <c r="B63" s="2" t="inlineStr">
        <is>
          <t>KPMG</t>
        </is>
      </c>
      <c r="C63" s="2" t="inlineStr">
        <is>
          <t>organisation</t>
        </is>
      </c>
      <c r="D63" s="2" t="inlineStr">
        <is>
          <t>Business &amp; industry</t>
        </is>
      </c>
      <c r="E63" s="2" t="inlineStr"/>
      <c r="F63" s="2" t="inlineStr"/>
      <c r="G63" s="2" t="inlineStr">
        <is>
          <t>CC-062</t>
        </is>
      </c>
      <c r="H63" s="2" t="n">
        <v>1</v>
      </c>
    </row>
    <row r="64">
      <c r="A64" s="2" t="inlineStr">
        <is>
          <t>d3-power</t>
        </is>
      </c>
      <c r="B64" s="2" t="inlineStr">
        <is>
          <t>D3 Power Generation Ltd</t>
        </is>
      </c>
      <c r="C64" s="2" t="inlineStr">
        <is>
          <t>organisation</t>
        </is>
      </c>
      <c r="D64" s="2" t="inlineStr">
        <is>
          <t>Business &amp; industry</t>
        </is>
      </c>
      <c r="E64" s="2" t="inlineStr"/>
      <c r="F64" s="2" t="inlineStr"/>
      <c r="G64" s="2" t="inlineStr">
        <is>
          <t>CC-033</t>
        </is>
      </c>
      <c r="H64" s="2" t="n">
        <v>1</v>
      </c>
    </row>
    <row r="65">
      <c r="A65" s="2" t="inlineStr">
        <is>
          <t>malta-airport</t>
        </is>
      </c>
      <c r="B65" s="2" t="inlineStr">
        <is>
          <t>Malta International Airport plc</t>
        </is>
      </c>
      <c r="C65" s="2" t="inlineStr">
        <is>
          <t>organisation</t>
        </is>
      </c>
      <c r="D65" s="2" t="inlineStr">
        <is>
          <t>Business &amp; industry</t>
        </is>
      </c>
      <c r="E65" s="2" t="inlineStr"/>
      <c r="F65" s="2" t="inlineStr"/>
      <c r="G65" s="2" t="inlineStr">
        <is>
          <t>CC-030, CC-100</t>
        </is>
      </c>
      <c r="H65" s="2" t="n">
        <v>2</v>
      </c>
    </row>
    <row r="66">
      <c r="A66" s="2" t="inlineStr">
        <is>
          <t>malta-met-office</t>
        </is>
      </c>
      <c r="B66" s="2" t="inlineStr">
        <is>
          <t>Malta Meteorological Office</t>
        </is>
      </c>
      <c r="C66" s="2" t="inlineStr">
        <is>
          <t>organisation</t>
        </is>
      </c>
      <c r="D66" s="2" t="inlineStr">
        <is>
          <t>Business &amp; industry</t>
        </is>
      </c>
      <c r="E66" s="2" t="inlineStr">
        <is>
          <t>Malta International Airport plc</t>
        </is>
      </c>
      <c r="F66" s="2" t="inlineStr"/>
      <c r="G66" s="2" t="inlineStr">
        <is>
          <t>CC-038</t>
        </is>
      </c>
      <c r="H66" s="2" t="n">
        <v>1</v>
      </c>
    </row>
    <row r="67">
      <c r="A67" s="2" t="inlineStr">
        <is>
          <t>malta-public-transport</t>
        </is>
      </c>
      <c r="B67" s="2" t="inlineStr">
        <is>
          <t>Malta Public Transport</t>
        </is>
      </c>
      <c r="C67" s="2" t="inlineStr">
        <is>
          <t>organisation</t>
        </is>
      </c>
      <c r="D67" s="2" t="inlineStr">
        <is>
          <t>Business &amp; industry</t>
        </is>
      </c>
      <c r="E67" s="2" t="inlineStr"/>
      <c r="F67" s="2" t="inlineStr"/>
      <c r="G67" s="2" t="inlineStr">
        <is>
          <t>CC-069</t>
        </is>
      </c>
      <c r="H67" s="2" t="n">
        <v>1</v>
      </c>
    </row>
    <row r="68">
      <c r="A68" s="2" t="inlineStr">
        <is>
          <t>amphora-media</t>
        </is>
      </c>
      <c r="B68" s="2" t="inlineStr">
        <is>
          <t>Amphora Media</t>
        </is>
      </c>
      <c r="C68" s="2" t="inlineStr">
        <is>
          <t>organisation</t>
        </is>
      </c>
      <c r="D68" s="2" t="inlineStr">
        <is>
          <t>Media</t>
        </is>
      </c>
      <c r="E68" s="2" t="inlineStr"/>
      <c r="F68" s="2" t="inlineStr"/>
      <c r="G68" s="2" t="inlineStr">
        <is>
          <t>CC-019, CC-037</t>
        </is>
      </c>
      <c r="H68" s="2" t="n">
        <v>2</v>
      </c>
    </row>
    <row r="69">
      <c r="A69" s="2" t="inlineStr">
        <is>
          <t>lovin-malta</t>
        </is>
      </c>
      <c r="B69" s="2" t="inlineStr">
        <is>
          <t>Lovin Malta</t>
        </is>
      </c>
      <c r="C69" s="2" t="inlineStr">
        <is>
          <t>organisation</t>
        </is>
      </c>
      <c r="D69" s="2" t="inlineStr">
        <is>
          <t>Media</t>
        </is>
      </c>
      <c r="E69" s="2" t="inlineStr"/>
      <c r="F69" s="2" t="inlineStr"/>
      <c r="G69" s="2" t="inlineStr">
        <is>
          <t>CC-058, CC-075</t>
        </is>
      </c>
      <c r="H69" s="2" t="n">
        <v>2</v>
      </c>
    </row>
    <row r="70">
      <c r="A70" s="2" t="inlineStr">
        <is>
          <t>maltatoday</t>
        </is>
      </c>
      <c r="B70" s="2" t="inlineStr">
        <is>
          <t>MaltaToday</t>
        </is>
      </c>
      <c r="C70" s="2" t="inlineStr">
        <is>
          <t>organisation</t>
        </is>
      </c>
      <c r="D70" s="2" t="inlineStr">
        <is>
          <t>Media</t>
        </is>
      </c>
      <c r="E70" s="2" t="inlineStr"/>
      <c r="F70" s="2" t="inlineStr"/>
      <c r="G70" s="2" t="inlineStr">
        <is>
          <t>CC-047</t>
        </is>
      </c>
      <c r="H70" s="2" t="n">
        <v>1</v>
      </c>
    </row>
    <row r="71">
      <c r="A71" s="2" t="inlineStr">
        <is>
          <t>newsbook</t>
        </is>
      </c>
      <c r="B71" s="2" t="inlineStr">
        <is>
          <t>Newsbook</t>
        </is>
      </c>
      <c r="C71" s="2" t="inlineStr">
        <is>
          <t>organisation</t>
        </is>
      </c>
      <c r="D71" s="2" t="inlineStr">
        <is>
          <t>Media</t>
        </is>
      </c>
      <c r="E71" s="2" t="inlineStr"/>
      <c r="F71" s="2" t="inlineStr"/>
      <c r="G71" s="2" t="inlineStr">
        <is>
          <t>CC-007, CC-026, CC-059</t>
        </is>
      </c>
      <c r="H71" s="2" t="n">
        <v>3</v>
      </c>
    </row>
    <row r="72">
      <c r="A72" s="2" t="inlineStr">
        <is>
          <t>the-shift</t>
        </is>
      </c>
      <c r="B72" s="2" t="inlineStr">
        <is>
          <t>The Shift News</t>
        </is>
      </c>
      <c r="C72" s="2" t="inlineStr">
        <is>
          <t>organisation</t>
        </is>
      </c>
      <c r="D72" s="2" t="inlineStr">
        <is>
          <t>Media</t>
        </is>
      </c>
      <c r="E72" s="2" t="inlineStr"/>
      <c r="F72" s="2" t="inlineStr"/>
      <c r="G72" s="2" t="inlineStr">
        <is>
          <t>CC-071, CC-081</t>
        </is>
      </c>
      <c r="H72" s="2" t="n">
        <v>2</v>
      </c>
    </row>
    <row r="73">
      <c r="A73" s="2" t="inlineStr">
        <is>
          <t>malta-business-weekly</t>
        </is>
      </c>
      <c r="B73" s="2" t="inlineStr">
        <is>
          <t>Malta Business Weekly</t>
        </is>
      </c>
      <c r="C73" s="2" t="inlineStr">
        <is>
          <t>organisation</t>
        </is>
      </c>
      <c r="D73" s="2" t="inlineStr">
        <is>
          <t>Media</t>
        </is>
      </c>
      <c r="E73" s="2" t="inlineStr"/>
      <c r="F73" s="2" t="inlineStr"/>
      <c r="G73" s="2" t="inlineStr"/>
      <c r="H73" s="2" t="n">
        <v>0</v>
      </c>
    </row>
    <row r="74">
      <c r="A74" s="2" t="inlineStr">
        <is>
          <t>european-commission</t>
        </is>
      </c>
      <c r="B74" s="2" t="inlineStr">
        <is>
          <t>European Commission</t>
        </is>
      </c>
      <c r="C74" s="2" t="inlineStr">
        <is>
          <t>organisation</t>
        </is>
      </c>
      <c r="D74" s="2" t="inlineStr">
        <is>
          <t>EU &amp; international</t>
        </is>
      </c>
      <c r="E74" s="2" t="inlineStr"/>
      <c r="F74" s="2" t="inlineStr"/>
      <c r="G74" s="2" t="inlineStr">
        <is>
          <t>CC-005, CC-094, CC-101, CC-109, CC-110, CC-111</t>
        </is>
      </c>
      <c r="H74" s="2" t="n">
        <v>6</v>
      </c>
    </row>
    <row r="75">
      <c r="A75" s="2" t="inlineStr">
        <is>
          <t>eea</t>
        </is>
      </c>
      <c r="B75" s="2" t="inlineStr">
        <is>
          <t>European Environment Agency</t>
        </is>
      </c>
      <c r="C75" s="2" t="inlineStr">
        <is>
          <t>organisation</t>
        </is>
      </c>
      <c r="D75" s="2" t="inlineStr">
        <is>
          <t>EU &amp; international</t>
        </is>
      </c>
      <c r="E75" s="2" t="inlineStr"/>
      <c r="F75" s="2" t="inlineStr"/>
      <c r="G75" s="2" t="inlineStr">
        <is>
          <t>CC-035, CC-113</t>
        </is>
      </c>
      <c r="H75" s="2" t="n">
        <v>2</v>
      </c>
    </row>
    <row r="76">
      <c r="A76" s="2" t="inlineStr">
        <is>
          <t>ep-peti-study</t>
        </is>
      </c>
      <c r="B76" s="2" t="inlineStr">
        <is>
          <t>European Parliament Committee on Petitions (commissioned study)</t>
        </is>
      </c>
      <c r="C76" s="2" t="inlineStr">
        <is>
          <t>organisation</t>
        </is>
      </c>
      <c r="D76" s="2" t="inlineStr">
        <is>
          <t>EU &amp; international</t>
        </is>
      </c>
      <c r="E76" s="2" t="inlineStr"/>
      <c r="F76" s="2" t="inlineStr"/>
      <c r="G76" s="2" t="inlineStr">
        <is>
          <t>CC-020</t>
        </is>
      </c>
      <c r="H76" s="2" t="n">
        <v>1</v>
      </c>
    </row>
    <row r="77">
      <c r="A77" s="2" t="inlineStr">
        <is>
          <t>nso</t>
        </is>
      </c>
      <c r="B77" s="2" t="inlineStr">
        <is>
          <t>National Statistics Office (NSO)</t>
        </is>
      </c>
      <c r="C77" s="2" t="inlineStr">
        <is>
          <t>organisation</t>
        </is>
      </c>
      <c r="D77" s="2" t="inlineStr">
        <is>
          <t>Research &amp; statistics</t>
        </is>
      </c>
      <c r="E77" s="2" t="inlineStr"/>
      <c r="F77" s="2" t="inlineStr"/>
      <c r="G77" s="2" t="inlineStr">
        <is>
          <t>CC-076, CC-088</t>
        </is>
      </c>
      <c r="H77" s="2" t="n">
        <v>2</v>
      </c>
    </row>
    <row r="78">
      <c r="A78" s="2" t="inlineStr">
        <is>
          <t>um-researchers</t>
        </is>
      </c>
      <c r="B78" s="2" t="inlineStr">
        <is>
          <t>University of Malta researchers</t>
        </is>
      </c>
      <c r="C78" s="2" t="inlineStr">
        <is>
          <t>organisation</t>
        </is>
      </c>
      <c r="D78" s="2" t="inlineStr">
        <is>
          <t>Research &amp; statistics</t>
        </is>
      </c>
      <c r="E78" s="2" t="inlineStr"/>
      <c r="F78" s="2" t="inlineStr"/>
      <c r="G78" s="2" t="inlineStr">
        <is>
          <t>CC-053</t>
        </is>
      </c>
      <c r="H78" s="2" t="n">
        <v>1</v>
      </c>
    </row>
    <row r="79">
      <c r="A79" s="2" t="inlineStr">
        <is>
          <t>imf</t>
        </is>
      </c>
      <c r="B79" s="2" t="inlineStr">
        <is>
          <t>International Monetary Fund</t>
        </is>
      </c>
      <c r="C79" s="2" t="inlineStr">
        <is>
          <t>organisation</t>
        </is>
      </c>
      <c r="D79" s="2" t="inlineStr">
        <is>
          <t>EU &amp; international</t>
        </is>
      </c>
      <c r="E79" s="2" t="inlineStr"/>
      <c r="F79" s="2" t="inlineStr"/>
      <c r="G79" s="2" t="inlineStr">
        <is>
          <t>CC-112</t>
        </is>
      </c>
      <c r="H79" s="2" t="n">
        <v>1</v>
      </c>
    </row>
    <row r="80">
      <c r="A80" s="2" t="inlineStr">
        <is>
          <t>unesco-whc</t>
        </is>
      </c>
      <c r="B80" s="2" t="inlineStr">
        <is>
          <t>UNESCO World Heritage Committee</t>
        </is>
      </c>
      <c r="C80" s="2" t="inlineStr">
        <is>
          <t>organisation</t>
        </is>
      </c>
      <c r="D80" s="2" t="inlineStr">
        <is>
          <t>EU &amp; international</t>
        </is>
      </c>
      <c r="E80" s="2" t="inlineStr"/>
      <c r="F80" s="2" t="inlineStr"/>
      <c r="G80" s="2" t="inlineStr">
        <is>
          <t>CC-116</t>
        </is>
      </c>
      <c r="H80" s="2" t="n">
        <v>1</v>
      </c>
    </row>
    <row r="81">
      <c r="A81" s="2" t="inlineStr">
        <is>
          <t>pwc-malta</t>
        </is>
      </c>
      <c r="B81" s="2" t="inlineStr">
        <is>
          <t>PwC Malta</t>
        </is>
      </c>
      <c r="C81" s="2" t="inlineStr">
        <is>
          <t>organisation</t>
        </is>
      </c>
      <c r="D81" s="2" t="inlineStr">
        <is>
          <t>Business &amp; industry</t>
        </is>
      </c>
      <c r="E81" s="2" t="inlineStr"/>
      <c r="F81" s="2" t="inlineStr"/>
      <c r="G81" s="2" t="inlineStr">
        <is>
          <t>CC-099</t>
        </is>
      </c>
      <c r="H81" s="2" t="n">
        <v>1</v>
      </c>
    </row>
  </sheetData>
  <autoFilter ref="A1:H8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6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4" customWidth="1" min="1" max="1"/>
    <col width="60" customWidth="1" min="2" max="2"/>
    <col width="30" customWidth="1" min="3" max="3"/>
    <col width="10" customWidth="1" min="4" max="4"/>
  </cols>
  <sheetData>
    <row r="1">
      <c r="A1" s="4" t="inlineStr">
        <is>
          <t>Body / actor</t>
        </is>
      </c>
      <c r="B1" s="4" t="inlineStr">
        <is>
          <t>Claim IDs</t>
        </is>
      </c>
      <c r="C1" s="4" t="inlineStr">
        <is>
          <t>Type</t>
        </is>
      </c>
      <c r="D1" s="4" t="inlineStr">
        <is>
          <t>Claims (count)</t>
        </is>
      </c>
    </row>
    <row r="2">
      <c r="A2" s="2" t="inlineStr">
        <is>
          <t>Government of Malta</t>
        </is>
      </c>
      <c r="B2" s="2" t="inlineStr">
        <is>
          <t>CC-006, CC-021, CC-023, CC-024, CC-025, CC-041, CC-043, CC-045, CC-060, CC-061, CC-095, CC-096</t>
        </is>
      </c>
      <c r="C2" s="2" t="inlineStr">
        <is>
          <t>Government &amp; ministers</t>
        </is>
      </c>
      <c r="D2" s="2" t="n">
        <v>12</v>
      </c>
    </row>
    <row r="3">
      <c r="A3" s="2" t="inlineStr">
        <is>
          <t>Ministry for the Environment</t>
        </is>
      </c>
      <c r="B3" s="2" t="inlineStr">
        <is>
          <t>CC-003, CC-004, CC-010, CC-022, CC-027, CC-029, CC-048, CC-051, CC-079</t>
        </is>
      </c>
      <c r="C3" s="2" t="inlineStr">
        <is>
          <t>Government &amp; ministers</t>
        </is>
      </c>
      <c r="D3" s="2" t="n">
        <v>9</v>
      </c>
    </row>
    <row r="4">
      <c r="A4" s="2" t="inlineStr">
        <is>
          <t>Environment and Resources Authority (ERA)</t>
        </is>
      </c>
      <c r="B4" s="2" t="inlineStr">
        <is>
          <t>CC-002, CC-034, CC-036, CC-038, CC-051, CC-052, CC-057, CC-082</t>
        </is>
      </c>
      <c r="C4" s="2" t="inlineStr">
        <is>
          <t>Regulators &amp; authorities</t>
        </is>
      </c>
      <c r="D4" s="2" t="n">
        <v>8</v>
      </c>
    </row>
    <row r="5">
      <c r="A5" s="2" t="inlineStr">
        <is>
          <t>Office of the Prime Minister</t>
        </is>
      </c>
      <c r="B5" s="2" t="inlineStr">
        <is>
          <t>CC-012, CC-016, CC-017, CC-027, CC-055, CC-064, CC-068</t>
        </is>
      </c>
      <c r="C5" s="2" t="inlineStr">
        <is>
          <t>Government &amp; ministers</t>
        </is>
      </c>
      <c r="D5" s="2" t="n">
        <v>7</v>
      </c>
    </row>
    <row r="6">
      <c r="A6" s="2" t="inlineStr">
        <is>
          <t>Partit Nazzjonalista (Nationalist Party)</t>
        </is>
      </c>
      <c r="B6" s="2" t="inlineStr">
        <is>
          <t>CC-012, CC-042, CC-092, CC-093, CC-104, CC-107, CC-114</t>
        </is>
      </c>
      <c r="C6" s="2" t="inlineStr">
        <is>
          <t>Political parties</t>
        </is>
      </c>
      <c r="D6" s="2" t="n">
        <v>7</v>
      </c>
    </row>
    <row r="7">
      <c r="A7" s="2" t="inlineStr">
        <is>
          <t>European Commission</t>
        </is>
      </c>
      <c r="B7" s="2" t="inlineStr">
        <is>
          <t>CC-005, CC-094, CC-101, CC-109, CC-110, CC-111</t>
        </is>
      </c>
      <c r="C7" s="2" t="inlineStr">
        <is>
          <t>EU &amp; international</t>
        </is>
      </c>
      <c r="D7" s="2" t="n">
        <v>6</v>
      </c>
    </row>
    <row r="8">
      <c r="A8" s="2" t="inlineStr">
        <is>
          <t>Ministry for Transport</t>
        </is>
      </c>
      <c r="B8" s="2" t="inlineStr">
        <is>
          <t>CC-016, CC-069, CC-072, CC-073, CC-077</t>
        </is>
      </c>
      <c r="C8" s="2" t="inlineStr">
        <is>
          <t>Government &amp; ministers</t>
        </is>
      </c>
      <c r="D8" s="2" t="n">
        <v>5</v>
      </c>
    </row>
    <row r="9">
      <c r="A9" s="2" t="inlineStr">
        <is>
          <t>Water Services Corporation</t>
        </is>
      </c>
      <c r="B9" s="2" t="inlineStr">
        <is>
          <t>CC-009, CC-039, CC-041, CC-046, CC-108</t>
        </is>
      </c>
      <c r="C9" s="2" t="inlineStr">
        <is>
          <t>Public agencies &amp; companies</t>
        </is>
      </c>
      <c r="D9" s="2" t="n">
        <v>5</v>
      </c>
    </row>
    <row r="10">
      <c r="A10" s="2" t="inlineStr">
        <is>
          <t>Infrastructure Malta</t>
        </is>
      </c>
      <c r="B10" s="2" t="inlineStr">
        <is>
          <t>CC-008, CC-016, CC-021, CC-056</t>
        </is>
      </c>
      <c r="C10" s="2" t="inlineStr">
        <is>
          <t>Public agencies &amp; companies</t>
        </is>
      </c>
      <c r="D10" s="2" t="n">
        <v>4</v>
      </c>
    </row>
    <row r="11">
      <c r="A11" s="2" t="inlineStr">
        <is>
          <t>Planning Authority</t>
        </is>
      </c>
      <c r="B11" s="2" t="inlineStr">
        <is>
          <t>CC-013, CC-014, CC-015, CC-068</t>
        </is>
      </c>
      <c r="C11" s="2" t="inlineStr">
        <is>
          <t>Regulators &amp; authorities</t>
        </is>
      </c>
      <c r="D11" s="2" t="n">
        <v>4</v>
      </c>
    </row>
    <row r="12">
      <c r="A12" s="2" t="inlineStr">
        <is>
          <t>ADPD – The Green Party</t>
        </is>
      </c>
      <c r="B12" s="2" t="inlineStr">
        <is>
          <t>CC-065, CC-084, CC-105</t>
        </is>
      </c>
      <c r="C12" s="2" t="inlineStr">
        <is>
          <t>Political parties</t>
        </is>
      </c>
      <c r="D12" s="2" t="n">
        <v>3</v>
      </c>
    </row>
    <row r="13">
      <c r="A13" s="2" t="inlineStr">
        <is>
          <t>BirdLife Malta</t>
        </is>
      </c>
      <c r="B13" s="2" t="inlineStr">
        <is>
          <t>CC-049, CC-050, CC-106</t>
        </is>
      </c>
      <c r="C13" s="2" t="inlineStr">
        <is>
          <t>NGOs &amp; unions</t>
        </is>
      </c>
      <c r="D13" s="2" t="n">
        <v>3</v>
      </c>
    </row>
    <row r="14">
      <c r="A14" s="2" t="inlineStr">
        <is>
          <t>Ministry for Gozo</t>
        </is>
      </c>
      <c r="B14" s="2" t="inlineStr">
        <is>
          <t>CC-031, CC-032, CC-078</t>
        </is>
      </c>
      <c r="C14" s="2" t="inlineStr">
        <is>
          <t>Government &amp; ministers</t>
        </is>
      </c>
      <c r="D14" s="2" t="n">
        <v>3</v>
      </c>
    </row>
    <row r="15">
      <c r="A15" s="2" t="inlineStr">
        <is>
          <t>Ministry for Tourism</t>
        </is>
      </c>
      <c r="B15" s="2" t="inlineStr">
        <is>
          <t>CC-083, CC-086, CC-087</t>
        </is>
      </c>
      <c r="C15" s="2" t="inlineStr">
        <is>
          <t>Government &amp; ministers</t>
        </is>
      </c>
      <c r="D15" s="2" t="n">
        <v>3</v>
      </c>
    </row>
    <row r="16">
      <c r="A16" s="2" t="inlineStr">
        <is>
          <t>Newsbook</t>
        </is>
      </c>
      <c r="B16" s="2" t="inlineStr">
        <is>
          <t>CC-007, CC-026, CC-059</t>
        </is>
      </c>
      <c r="C16" s="2" t="inlineStr">
        <is>
          <t>Media</t>
        </is>
      </c>
      <c r="D16" s="2" t="n">
        <v>3</v>
      </c>
    </row>
    <row r="17">
      <c r="A17" s="2" t="inlineStr">
        <is>
          <t>Transport Malta</t>
        </is>
      </c>
      <c r="B17" s="2" t="inlineStr">
        <is>
          <t>CC-070, CC-074, CC-077</t>
        </is>
      </c>
      <c r="C17" s="2" t="inlineStr">
        <is>
          <t>Regulators &amp; authorities</t>
        </is>
      </c>
      <c r="D17" s="2" t="n">
        <v>3</v>
      </c>
    </row>
    <row r="18">
      <c r="A18" s="2" t="inlineStr">
        <is>
          <t>WasteServ</t>
        </is>
      </c>
      <c r="B18" s="2" t="inlineStr">
        <is>
          <t>CC-004, CC-079, CC-080</t>
        </is>
      </c>
      <c r="C18" s="2" t="inlineStr">
        <is>
          <t>Public agencies &amp; companies</t>
        </is>
      </c>
      <c r="D18" s="2" t="n">
        <v>3</v>
      </c>
    </row>
    <row r="19">
      <c r="A19" s="2" t="inlineStr">
        <is>
          <t>Amphora Media</t>
        </is>
      </c>
      <c r="B19" s="2" t="inlineStr">
        <is>
          <t>CC-019, CC-037</t>
        </is>
      </c>
      <c r="C19" s="2" t="inlineStr">
        <is>
          <t>Media</t>
        </is>
      </c>
      <c r="D19" s="2" t="n">
        <v>2</v>
      </c>
    </row>
    <row r="20">
      <c r="A20" s="2" t="inlineStr">
        <is>
          <t>Energy and Water Agency</t>
        </is>
      </c>
      <c r="B20" s="2" t="inlineStr">
        <is>
          <t>CC-040, CC-108</t>
        </is>
      </c>
      <c r="C20" s="2" t="inlineStr">
        <is>
          <t>Public agencies &amp; companies</t>
        </is>
      </c>
      <c r="D20" s="2" t="n">
        <v>2</v>
      </c>
    </row>
    <row r="21">
      <c r="A21" s="2" t="inlineStr">
        <is>
          <t>European Environment Agency</t>
        </is>
      </c>
      <c r="B21" s="2" t="inlineStr">
        <is>
          <t>CC-035, CC-113</t>
        </is>
      </c>
      <c r="C21" s="2" t="inlineStr">
        <is>
          <t>EU &amp; international</t>
        </is>
      </c>
      <c r="D21" s="2" t="n">
        <v>2</v>
      </c>
    </row>
    <row r="22">
      <c r="A22" s="2" t="inlineStr">
        <is>
          <t>Interconnect Malta</t>
        </is>
      </c>
      <c r="B22" s="2" t="inlineStr">
        <is>
          <t>CC-023, CC-029</t>
        </is>
      </c>
      <c r="C22" s="2" t="inlineStr">
        <is>
          <t>Public agencies &amp; companies</t>
        </is>
      </c>
      <c r="D22" s="2" t="n">
        <v>2</v>
      </c>
    </row>
    <row r="23">
      <c r="A23" s="2" t="inlineStr">
        <is>
          <t>Lovin Malta</t>
        </is>
      </c>
      <c r="B23" s="2" t="inlineStr">
        <is>
          <t>CC-058, CC-075</t>
        </is>
      </c>
      <c r="C23" s="2" t="inlineStr">
        <is>
          <t>Media</t>
        </is>
      </c>
      <c r="D23" s="2" t="n">
        <v>2</v>
      </c>
    </row>
    <row r="24">
      <c r="A24" s="2" t="inlineStr">
        <is>
          <t>Malta Developers Association (MDA)</t>
        </is>
      </c>
      <c r="B24" s="2" t="inlineStr">
        <is>
          <t>CC-018, CC-063</t>
        </is>
      </c>
      <c r="C24" s="2" t="inlineStr">
        <is>
          <t>Business &amp; industry</t>
        </is>
      </c>
      <c r="D24" s="2" t="n">
        <v>2</v>
      </c>
    </row>
    <row r="25">
      <c r="A25" s="2" t="inlineStr">
        <is>
          <t>Malta International Airport plc</t>
        </is>
      </c>
      <c r="B25" s="2" t="inlineStr">
        <is>
          <t>CC-030, CC-100</t>
        </is>
      </c>
      <c r="C25" s="2" t="inlineStr">
        <is>
          <t>Business &amp; industry</t>
        </is>
      </c>
      <c r="D25" s="2" t="n">
        <v>2</v>
      </c>
    </row>
    <row r="26">
      <c r="A26" s="2" t="inlineStr">
        <is>
          <t>Ministry for Health</t>
        </is>
      </c>
      <c r="B26" s="2" t="inlineStr">
        <is>
          <t>CC-090, CC-103</t>
        </is>
      </c>
      <c r="C26" s="2" t="inlineStr">
        <is>
          <t>Government &amp; ministers</t>
        </is>
      </c>
      <c r="D26" s="2" t="n">
        <v>2</v>
      </c>
    </row>
    <row r="27">
      <c r="A27" s="2" t="inlineStr">
        <is>
          <t>Momentum</t>
        </is>
      </c>
      <c r="B27" s="2" t="inlineStr">
        <is>
          <t>CC-012, CC-067</t>
        </is>
      </c>
      <c r="C27" s="2" t="inlineStr">
        <is>
          <t>Political parties</t>
        </is>
      </c>
      <c r="D27" s="2" t="n">
        <v>2</v>
      </c>
    </row>
    <row r="28">
      <c r="A28" s="2" t="inlineStr">
        <is>
          <t>National Statistics Office (NSO)</t>
        </is>
      </c>
      <c r="B28" s="2" t="inlineStr">
        <is>
          <t>CC-076, CC-088</t>
        </is>
      </c>
      <c r="C28" s="2" t="inlineStr">
        <is>
          <t>Research &amp; statistics</t>
        </is>
      </c>
      <c r="D28" s="2" t="n">
        <v>2</v>
      </c>
    </row>
    <row r="29">
      <c r="A29" s="2" t="inlineStr">
        <is>
          <t>Parliamentary Secretariat for Public Works</t>
        </is>
      </c>
      <c r="B29" s="2" t="inlineStr">
        <is>
          <t>CC-032, CC-044</t>
        </is>
      </c>
      <c r="C29" s="2" t="inlineStr">
        <is>
          <t>Government &amp; ministers</t>
        </is>
      </c>
      <c r="D29" s="2" t="n">
        <v>2</v>
      </c>
    </row>
    <row r="30">
      <c r="A30" s="2" t="inlineStr">
        <is>
          <t>Partit Laburista (Labour Party)</t>
        </is>
      </c>
      <c r="B30" s="2" t="inlineStr">
        <is>
          <t>CC-010, CC-011</t>
        </is>
      </c>
      <c r="C30" s="2" t="inlineStr">
        <is>
          <t>Political parties</t>
        </is>
      </c>
      <c r="D30" s="2" t="n">
        <v>2</v>
      </c>
    </row>
    <row r="31">
      <c r="A31" s="2" t="inlineStr">
        <is>
          <t>Project Green</t>
        </is>
      </c>
      <c r="B31" s="2" t="inlineStr">
        <is>
          <t>CC-010, CC-054</t>
        </is>
      </c>
      <c r="C31" s="2" t="inlineStr">
        <is>
          <t>Public agencies &amp; companies</t>
        </is>
      </c>
      <c r="D31" s="2" t="n">
        <v>2</v>
      </c>
    </row>
    <row r="32">
      <c r="A32" s="2" t="inlineStr">
        <is>
          <t>The Malta Chamber of Commerce, Enterprise and Industry</t>
        </is>
      </c>
      <c r="B32" s="2" t="inlineStr">
        <is>
          <t>CC-089, CC-115</t>
        </is>
      </c>
      <c r="C32" s="2" t="inlineStr">
        <is>
          <t>Business &amp; industry</t>
        </is>
      </c>
      <c r="D32" s="2" t="n">
        <v>2</v>
      </c>
    </row>
    <row r="33">
      <c r="A33" s="2" t="inlineStr">
        <is>
          <t>The Shift News</t>
        </is>
      </c>
      <c r="B33" s="2" t="inlineStr">
        <is>
          <t>CC-071, CC-081</t>
        </is>
      </c>
      <c r="C33" s="2" t="inlineStr">
        <is>
          <t>Media</t>
        </is>
      </c>
      <c r="D33" s="2" t="n">
        <v>2</v>
      </c>
    </row>
    <row r="34">
      <c r="A34" s="2" t="inlineStr">
        <is>
          <t>Ambjent Malta</t>
        </is>
      </c>
      <c r="B34" s="2" t="inlineStr">
        <is>
          <t>CC-001</t>
        </is>
      </c>
      <c r="C34" s="2" t="inlineStr">
        <is>
          <t>Public agencies &amp; companies</t>
        </is>
      </c>
      <c r="D34" s="2" t="n">
        <v>1</v>
      </c>
    </row>
    <row r="35">
      <c r="A35" s="2" t="inlineStr">
        <is>
          <t>Aquaculture Directorate</t>
        </is>
      </c>
      <c r="B35" s="2" t="inlineStr">
        <is>
          <t>CC-096</t>
        </is>
      </c>
      <c r="C35" s="2" t="inlineStr">
        <is>
          <t>Government &amp; ministers</t>
        </is>
      </c>
      <c r="D35" s="2" t="n">
        <v>1</v>
      </c>
    </row>
    <row r="36">
      <c r="A36" s="2" t="inlineStr">
        <is>
          <t>Climate Action Authority</t>
        </is>
      </c>
      <c r="B36" s="2" t="inlineStr">
        <is>
          <t>CC-003</t>
        </is>
      </c>
      <c r="C36" s="2" t="inlineStr">
        <is>
          <t>Regulators &amp; authorities</t>
        </is>
      </c>
      <c r="D36" s="2" t="n">
        <v>1</v>
      </c>
    </row>
    <row r="37">
      <c r="A37" s="2" t="inlineStr">
        <is>
          <t>D3 Power Generation Ltd</t>
        </is>
      </c>
      <c r="B37" s="2" t="inlineStr">
        <is>
          <t>CC-033</t>
        </is>
      </c>
      <c r="C37" s="2" t="inlineStr">
        <is>
          <t>Business &amp; industry</t>
        </is>
      </c>
      <c r="D37" s="2" t="n">
        <v>1</v>
      </c>
    </row>
    <row r="38">
      <c r="A38" s="2" t="inlineStr">
        <is>
          <t>Enemalta</t>
        </is>
      </c>
      <c r="B38" s="2" t="inlineStr">
        <is>
          <t>CC-028</t>
        </is>
      </c>
      <c r="C38" s="2" t="inlineStr">
        <is>
          <t>Public agencies &amp; companies</t>
        </is>
      </c>
      <c r="D38" s="2" t="n">
        <v>1</v>
      </c>
    </row>
    <row r="39">
      <c r="A39" s="2" t="inlineStr">
        <is>
          <t>Environment and Planning Review Tribunal</t>
        </is>
      </c>
      <c r="B39" s="2" t="inlineStr">
        <is>
          <t>CC-066</t>
        </is>
      </c>
      <c r="C39" s="2" t="inlineStr">
        <is>
          <t>Courts, tribunals &amp; oversight</t>
        </is>
      </c>
      <c r="D39" s="2" t="n">
        <v>1</v>
      </c>
    </row>
    <row r="40">
      <c r="A40" s="2" t="inlineStr">
        <is>
          <t>European Parliament Committee on Petitions (commissioned study)</t>
        </is>
      </c>
      <c r="B40" s="2" t="inlineStr">
        <is>
          <t>CC-020</t>
        </is>
      </c>
      <c r="C40" s="2" t="inlineStr">
        <is>
          <t>EU &amp; international</t>
        </is>
      </c>
      <c r="D40" s="2" t="n">
        <v>1</v>
      </c>
    </row>
    <row r="41">
      <c r="A41" s="2" t="inlineStr">
        <is>
          <t>FEE Malta</t>
        </is>
      </c>
      <c r="B41" s="2" t="inlineStr">
        <is>
          <t>CC-043</t>
        </is>
      </c>
      <c r="C41" s="2" t="inlineStr">
        <is>
          <t>NGOs &amp; unions</t>
        </is>
      </c>
      <c r="D41" s="2" t="n">
        <v>1</v>
      </c>
    </row>
    <row r="42">
      <c r="A42" s="2" t="inlineStr">
        <is>
          <t>Fondazzjoni Wirt Artna</t>
        </is>
      </c>
      <c r="B42" s="2" t="inlineStr">
        <is>
          <t>CC-001</t>
        </is>
      </c>
      <c r="C42" s="2" t="inlineStr">
        <is>
          <t>NGOs &amp; unions</t>
        </is>
      </c>
      <c r="D42" s="2" t="n">
        <v>1</v>
      </c>
    </row>
    <row r="43">
      <c r="A43" s="2" t="inlineStr">
        <is>
          <t>General Workers' Union (GWU)</t>
        </is>
      </c>
      <c r="B43" s="2" t="inlineStr">
        <is>
          <t>CC-097</t>
        </is>
      </c>
      <c r="C43" s="2" t="inlineStr">
        <is>
          <t>NGOs &amp; unions</t>
        </is>
      </c>
      <c r="D43" s="2" t="n">
        <v>1</v>
      </c>
    </row>
    <row r="44">
      <c r="A44" s="2" t="inlineStr">
        <is>
          <t>Gozo Channel</t>
        </is>
      </c>
      <c r="B44" s="2" t="inlineStr">
        <is>
          <t>CC-078</t>
        </is>
      </c>
      <c r="C44" s="2" t="inlineStr">
        <is>
          <t>Public agencies &amp; companies</t>
        </is>
      </c>
      <c r="D44" s="2" t="n">
        <v>1</v>
      </c>
    </row>
    <row r="45">
      <c r="A45" s="2" t="inlineStr">
        <is>
          <t>Housing Authority</t>
        </is>
      </c>
      <c r="B45" s="2" t="inlineStr">
        <is>
          <t>CC-060</t>
        </is>
      </c>
      <c r="C45" s="2" t="inlineStr">
        <is>
          <t>Public agencies &amp; companies</t>
        </is>
      </c>
      <c r="D45" s="2" t="n">
        <v>1</v>
      </c>
    </row>
    <row r="46">
      <c r="A46" s="2" t="inlineStr">
        <is>
          <t>International Monetary Fund</t>
        </is>
      </c>
      <c r="B46" s="2" t="inlineStr">
        <is>
          <t>CC-112</t>
        </is>
      </c>
      <c r="C46" s="2" t="inlineStr">
        <is>
          <t>EU &amp; international</t>
        </is>
      </c>
      <c r="D46" s="2" t="n">
        <v>1</v>
      </c>
    </row>
    <row r="47">
      <c r="A47" s="2" t="inlineStr">
        <is>
          <t>KPMG</t>
        </is>
      </c>
      <c r="B47" s="2" t="inlineStr">
        <is>
          <t>CC-062</t>
        </is>
      </c>
      <c r="C47" s="2" t="inlineStr">
        <is>
          <t>Business &amp; industry</t>
        </is>
      </c>
      <c r="D47" s="2" t="n">
        <v>1</v>
      </c>
    </row>
    <row r="48">
      <c r="A48" s="2" t="inlineStr">
        <is>
          <t>Malta Hotels and Restaurants Association (MHRA)</t>
        </is>
      </c>
      <c r="B48" s="2" t="inlineStr">
        <is>
          <t>CC-085</t>
        </is>
      </c>
      <c r="C48" s="2" t="inlineStr">
        <is>
          <t>Business &amp; industry</t>
        </is>
      </c>
      <c r="D48" s="2" t="n">
        <v>1</v>
      </c>
    </row>
    <row r="49">
      <c r="A49" s="2" t="inlineStr">
        <is>
          <t>Malta Meteorological Office</t>
        </is>
      </c>
      <c r="B49" s="2" t="inlineStr">
        <is>
          <t>CC-038</t>
        </is>
      </c>
      <c r="C49" s="2" t="inlineStr">
        <is>
          <t>Business &amp; industry</t>
        </is>
      </c>
      <c r="D49" s="2" t="n">
        <v>1</v>
      </c>
    </row>
    <row r="50">
      <c r="A50" s="2" t="inlineStr">
        <is>
          <t>Malta Public Transport</t>
        </is>
      </c>
      <c r="B50" s="2" t="inlineStr">
        <is>
          <t>CC-069</t>
        </is>
      </c>
      <c r="C50" s="2" t="inlineStr">
        <is>
          <t>Business &amp; industry</t>
        </is>
      </c>
      <c r="D50" s="2" t="n">
        <v>1</v>
      </c>
    </row>
    <row r="51">
      <c r="A51" s="2" t="inlineStr">
        <is>
          <t>Malta Tourism Authority</t>
        </is>
      </c>
      <c r="B51" s="2" t="inlineStr">
        <is>
          <t>CC-087</t>
        </is>
      </c>
      <c r="C51" s="2" t="inlineStr">
        <is>
          <t>Public agencies &amp; companies</t>
        </is>
      </c>
      <c r="D51" s="2" t="n">
        <v>1</v>
      </c>
    </row>
    <row r="52">
      <c r="A52" s="2" t="inlineStr">
        <is>
          <t>MaltaToday</t>
        </is>
      </c>
      <c r="B52" s="2" t="inlineStr">
        <is>
          <t>CC-047</t>
        </is>
      </c>
      <c r="C52" s="2" t="inlineStr">
        <is>
          <t>Media</t>
        </is>
      </c>
      <c r="D52" s="2" t="n">
        <v>1</v>
      </c>
    </row>
    <row r="53">
      <c r="A53" s="2" t="inlineStr">
        <is>
          <t>Ministry for Agriculture, Fisheries and Animal Rights</t>
        </is>
      </c>
      <c r="B53" s="2" t="inlineStr">
        <is>
          <t>CC-048</t>
        </is>
      </c>
      <c r="C53" s="2" t="inlineStr">
        <is>
          <t>Government &amp; ministers</t>
        </is>
      </c>
      <c r="D53" s="2" t="n">
        <v>1</v>
      </c>
    </row>
    <row r="54">
      <c r="A54" s="2" t="inlineStr">
        <is>
          <t>Ministry for Finance</t>
        </is>
      </c>
      <c r="B54" s="2" t="inlineStr">
        <is>
          <t>CC-017</t>
        </is>
      </c>
      <c r="C54" s="2" t="inlineStr">
        <is>
          <t>Government &amp; ministers</t>
        </is>
      </c>
      <c r="D54" s="2" t="n">
        <v>1</v>
      </c>
    </row>
    <row r="55">
      <c r="A55" s="2" t="inlineStr">
        <is>
          <t>Ministry for Public Cleanliness and Regeneration</t>
        </is>
      </c>
      <c r="B55" s="2" t="inlineStr">
        <is>
          <t>CC-054</t>
        </is>
      </c>
      <c r="C55" s="2" t="inlineStr">
        <is>
          <t>Government &amp; ministers</t>
        </is>
      </c>
      <c r="D55" s="2" t="n">
        <v>1</v>
      </c>
    </row>
    <row r="56">
      <c r="A56" s="2" t="inlineStr">
        <is>
          <t>Moviment Graffitti</t>
        </is>
      </c>
      <c r="B56" s="2" t="inlineStr">
        <is>
          <t>CC-098</t>
        </is>
      </c>
      <c r="C56" s="2" t="inlineStr">
        <is>
          <t>NGOs &amp; unions</t>
        </is>
      </c>
      <c r="D56" s="2" t="n">
        <v>1</v>
      </c>
    </row>
    <row r="57">
      <c r="A57" s="2" t="inlineStr">
        <is>
          <t>Occupational Health and Safety Authority (OHSA)</t>
        </is>
      </c>
      <c r="B57" s="2" t="inlineStr">
        <is>
          <t>CC-091</t>
        </is>
      </c>
      <c r="C57" s="2" t="inlineStr">
        <is>
          <t>Regulators &amp; authorities</t>
        </is>
      </c>
      <c r="D57" s="2" t="n">
        <v>1</v>
      </c>
    </row>
    <row r="58">
      <c r="A58" s="2" t="inlineStr">
        <is>
          <t>Parliamentary Ombudsman</t>
        </is>
      </c>
      <c r="B58" s="2" t="inlineStr">
        <is>
          <t>CC-102</t>
        </is>
      </c>
      <c r="C58" s="2" t="inlineStr">
        <is>
          <t>Courts, tribunals &amp; oversight</t>
        </is>
      </c>
      <c r="D58" s="2" t="n">
        <v>1</v>
      </c>
    </row>
    <row r="59">
      <c r="A59" s="2" t="inlineStr">
        <is>
          <t>Public Works Department</t>
        </is>
      </c>
      <c r="B59" s="2" t="inlineStr">
        <is>
          <t>CC-045</t>
        </is>
      </c>
      <c r="C59" s="2" t="inlineStr">
        <is>
          <t>Government &amp; ministers</t>
        </is>
      </c>
      <c r="D59" s="2" t="n">
        <v>1</v>
      </c>
    </row>
    <row r="60">
      <c r="A60" s="2" t="inlineStr">
        <is>
          <t>Public Works Ministry</t>
        </is>
      </c>
      <c r="B60" s="2" t="inlineStr">
        <is>
          <t>CC-012</t>
        </is>
      </c>
      <c r="C60" s="2" t="inlineStr">
        <is>
          <t>Government &amp; ministers</t>
        </is>
      </c>
      <c r="D60" s="2" t="n">
        <v>1</v>
      </c>
    </row>
    <row r="61">
      <c r="A61" s="2" t="inlineStr">
        <is>
          <t>PwC Malta</t>
        </is>
      </c>
      <c r="B61" s="2" t="inlineStr">
        <is>
          <t>CC-099</t>
        </is>
      </c>
      <c r="C61" s="2" t="inlineStr">
        <is>
          <t>Business &amp; industry</t>
        </is>
      </c>
      <c r="D61" s="2" t="n">
        <v>1</v>
      </c>
    </row>
    <row r="62">
      <c r="A62" s="2" t="inlineStr">
        <is>
          <t>Superintendence of Cultural Heritage</t>
        </is>
      </c>
      <c r="B62" s="2" t="inlineStr">
        <is>
          <t>CC-066</t>
        </is>
      </c>
      <c r="C62" s="2" t="inlineStr">
        <is>
          <t>Regulators &amp; authorities</t>
        </is>
      </c>
      <c r="D62" s="2" t="n">
        <v>1</v>
      </c>
    </row>
    <row r="63">
      <c r="A63" s="2" t="inlineStr">
        <is>
          <t>Ta' Qali park unit</t>
        </is>
      </c>
      <c r="B63" s="2" t="inlineStr">
        <is>
          <t>CC-012</t>
        </is>
      </c>
      <c r="C63" s="2" t="inlineStr">
        <is>
          <t>Public agencies &amp; companies</t>
        </is>
      </c>
      <c r="D63" s="2" t="n">
        <v>1</v>
      </c>
    </row>
    <row r="64">
      <c r="A64" s="2" t="inlineStr">
        <is>
          <t>UNESCO World Heritage Committee</t>
        </is>
      </c>
      <c r="B64" s="2" t="inlineStr">
        <is>
          <t>CC-116</t>
        </is>
      </c>
      <c r="C64" s="2" t="inlineStr">
        <is>
          <t>EU &amp; international</t>
        </is>
      </c>
      <c r="D64" s="2" t="n">
        <v>1</v>
      </c>
    </row>
    <row r="65">
      <c r="A65" s="2" t="inlineStr">
        <is>
          <t>University of Malta researchers</t>
        </is>
      </c>
      <c r="B65" s="2" t="inlineStr">
        <is>
          <t>CC-053</t>
        </is>
      </c>
      <c r="C65" s="2" t="inlineStr">
        <is>
          <t>Research &amp; statistics</t>
        </is>
      </c>
      <c r="D65" s="2" t="n">
        <v>1</v>
      </c>
    </row>
  </sheetData>
  <autoFilter ref="A1:D6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0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12" customWidth="1" min="3" max="3"/>
    <col width="11" customWidth="1" min="4" max="4"/>
    <col width="30" customWidth="1" min="5" max="5"/>
    <col width="9" customWidth="1" min="6" max="6"/>
    <col width="12" customWidth="1" min="7" max="7"/>
    <col width="90" customWidth="1" min="8" max="8"/>
  </cols>
  <sheetData>
    <row r="1">
      <c r="A1" s="4" t="inlineStr">
        <is>
          <t>ID</t>
        </is>
      </c>
      <c r="B1" s="4" t="inlineStr">
        <is>
          <t>Worker</t>
        </is>
      </c>
      <c r="C1" s="4" t="inlineStr">
        <is>
          <t>Status</t>
        </is>
      </c>
      <c r="D1" s="4" t="inlineStr">
        <is>
          <t>Added</t>
        </is>
      </c>
      <c r="E1" s="4" t="inlineStr">
        <is>
          <t>Note</t>
        </is>
      </c>
      <c r="F1" s="4" t="inlineStr">
        <is>
          <t>Attempts</t>
        </is>
      </c>
      <c r="G1" s="4" t="inlineStr">
        <is>
          <t>Last attempt</t>
        </is>
      </c>
      <c r="H1" s="4" t="inlineStr">
        <is>
          <t>Blocker</t>
        </is>
      </c>
    </row>
    <row r="2">
      <c r="A2" s="5" t="inlineStr">
        <is>
          <t>CC-012</t>
        </is>
      </c>
      <c r="B2" s="2" t="inlineStr">
        <is>
          <t>A</t>
        </is>
      </c>
      <c r="C2" s="2" t="inlineStr">
        <is>
          <t>Drafted</t>
        </is>
      </c>
      <c r="D2" s="2" t="inlineStr">
        <is>
          <t>2026-10-03</t>
        </is>
      </c>
      <c r="E2" s="2" t="inlineStr">
        <is>
          <t>initial assignment; done locally by maintainer session</t>
        </is>
      </c>
      <c r="F2" s="2" t="inlineStr">
        <is>
          <t>1</t>
        </is>
      </c>
      <c r="G2" s="2" t="inlineStr">
        <is>
          <t>2026-10-03</t>
        </is>
      </c>
      <c r="H2" s="2" t="inlineStr"/>
    </row>
    <row r="3">
      <c r="A3" s="5" t="inlineStr">
        <is>
          <t>CC-013</t>
        </is>
      </c>
      <c r="B3" s="2" t="inlineStr">
        <is>
          <t>B</t>
        </is>
      </c>
      <c r="C3" s="2" t="inlineStr">
        <is>
          <t>Drafted</t>
        </is>
      </c>
      <c r="D3" s="2" t="inlineStr">
        <is>
          <t>2026-10-03</t>
        </is>
      </c>
      <c r="E3" s="2" t="inlineStr">
        <is>
          <t>initial assignment; done locally by maintainer session</t>
        </is>
      </c>
      <c r="F3" s="2" t="inlineStr">
        <is>
          <t>1</t>
        </is>
      </c>
      <c r="G3" s="2" t="inlineStr">
        <is>
          <t>2026-10-03</t>
        </is>
      </c>
      <c r="H3" s="2" t="inlineStr"/>
    </row>
    <row r="4">
      <c r="A4" s="5" t="inlineStr">
        <is>
          <t>CC-014</t>
        </is>
      </c>
      <c r="B4" s="2" t="inlineStr">
        <is>
          <t>C</t>
        </is>
      </c>
      <c r="C4" s="2" t="inlineStr">
        <is>
          <t>Drafted</t>
        </is>
      </c>
      <c r="D4" s="2" t="inlineStr">
        <is>
          <t>2026-10-03</t>
        </is>
      </c>
      <c r="E4" s="2" t="inlineStr">
        <is>
          <t>initial assignment; done locally by maintainer session</t>
        </is>
      </c>
      <c r="F4" s="2" t="inlineStr">
        <is>
          <t>1</t>
        </is>
      </c>
      <c r="G4" s="2" t="inlineStr">
        <is>
          <t>2026-10-03</t>
        </is>
      </c>
      <c r="H4" s="2" t="inlineStr"/>
    </row>
    <row r="5">
      <c r="A5" s="5" t="inlineStr">
        <is>
          <t>CC-015</t>
        </is>
      </c>
      <c r="B5" s="2" t="inlineStr">
        <is>
          <t>A</t>
        </is>
      </c>
      <c r="C5" s="2" t="inlineStr">
        <is>
          <t>In progress</t>
        </is>
      </c>
      <c r="D5" s="2" t="inlineStr">
        <is>
          <t>2026-10-03</t>
        </is>
      </c>
      <c r="E5" s="2" t="inlineStr">
        <is>
          <t>initial assignment</t>
        </is>
      </c>
      <c r="F5" s="2" t="inlineStr">
        <is>
          <t>1</t>
        </is>
      </c>
      <c r="G5" s="2" t="inlineStr">
        <is>
          <t>2026-10-04</t>
        </is>
      </c>
      <c r="H5" s="2" t="inlineStr">
        <is>
          <t>source: exact words not obtained (Newsbook paraphrases 'three weeks' outside quote marks; Maltese Herald 403; Times/MaltaToday/Independent refused; Wayback reset)</t>
        </is>
      </c>
    </row>
    <row r="6">
      <c r="A6" s="5" t="inlineStr">
        <is>
          <t>CC-016</t>
        </is>
      </c>
      <c r="B6" s="2" t="inlineStr">
        <is>
          <t>B</t>
        </is>
      </c>
      <c r="C6" s="2" t="inlineStr">
        <is>
          <t>Drafted</t>
        </is>
      </c>
      <c r="D6" s="2" t="inlineStr">
        <is>
          <t>2026-10-03</t>
        </is>
      </c>
      <c r="E6" s="2" t="inlineStr">
        <is>
          <t>done locally by maintainer session</t>
        </is>
      </c>
      <c r="F6" s="2" t="inlineStr">
        <is>
          <t>1</t>
        </is>
      </c>
      <c r="G6" s="2" t="inlineStr">
        <is>
          <t>2026-10-03</t>
        </is>
      </c>
      <c r="H6" s="2" t="inlineStr"/>
    </row>
    <row r="7">
      <c r="A7" s="5" t="inlineStr">
        <is>
          <t>CC-017</t>
        </is>
      </c>
      <c r="B7" s="2" t="inlineStr">
        <is>
          <t>C</t>
        </is>
      </c>
      <c r="C7" s="2" t="inlineStr">
        <is>
          <t>Drafted</t>
        </is>
      </c>
      <c r="D7" s="2" t="inlineStr">
        <is>
          <t>2026-10-03</t>
        </is>
      </c>
      <c r="E7" s="2" t="inlineStr">
        <is>
          <t>done locally by maintainer session</t>
        </is>
      </c>
      <c r="F7" s="2" t="inlineStr">
        <is>
          <t>1</t>
        </is>
      </c>
      <c r="G7" s="2" t="inlineStr">
        <is>
          <t>2026-10-03</t>
        </is>
      </c>
      <c r="H7" s="2" t="inlineStr"/>
    </row>
    <row r="8">
      <c r="A8" s="5" t="inlineStr">
        <is>
          <t>CC-018</t>
        </is>
      </c>
      <c r="B8" s="2" t="inlineStr">
        <is>
          <t>A</t>
        </is>
      </c>
      <c r="C8" s="2" t="inlineStr">
        <is>
          <t>Drafted</t>
        </is>
      </c>
      <c r="D8" s="2" t="inlineStr">
        <is>
          <t>2026-10-03</t>
        </is>
      </c>
      <c r="E8" s="2" t="inlineStr">
        <is>
          <t>done locally by maintainer session (PDFs supplied)</t>
        </is>
      </c>
      <c r="F8" s="2" t="inlineStr">
        <is>
          <t>1</t>
        </is>
      </c>
      <c r="G8" s="2" t="inlineStr">
        <is>
          <t>2026-10-04</t>
        </is>
      </c>
      <c r="H8" s="2" t="inlineStr"/>
    </row>
    <row r="9">
      <c r="A9" s="5" t="inlineStr">
        <is>
          <t>CC-019</t>
        </is>
      </c>
      <c r="B9" s="2" t="inlineStr">
        <is>
          <t>B</t>
        </is>
      </c>
      <c r="C9" s="2" t="inlineStr">
        <is>
          <t>Drafted</t>
        </is>
      </c>
      <c r="D9" s="2" t="inlineStr">
        <is>
          <t>2026-10-03</t>
        </is>
      </c>
      <c r="E9" s="2" t="inlineStr">
        <is>
          <t>done locally by maintainer session (PDFs supplied)</t>
        </is>
      </c>
      <c r="F9" s="2" t="inlineStr">
        <is>
          <t>1</t>
        </is>
      </c>
      <c r="G9" s="2" t="inlineStr">
        <is>
          <t>2026-10-04</t>
        </is>
      </c>
      <c r="H9" s="2" t="inlineStr"/>
    </row>
    <row r="10">
      <c r="A10" s="5" t="inlineStr">
        <is>
          <t>CC-020</t>
        </is>
      </c>
      <c r="B10" s="2" t="inlineStr">
        <is>
          <t>C</t>
        </is>
      </c>
      <c r="C10" s="2" t="inlineStr">
        <is>
          <t>Drafted</t>
        </is>
      </c>
      <c r="D10" s="2" t="inlineStr">
        <is>
          <t>2026-10-03</t>
        </is>
      </c>
      <c r="E10" s="2" t="inlineStr">
        <is>
          <t>initial assignment</t>
        </is>
      </c>
      <c r="F10" s="2" t="inlineStr">
        <is>
          <t>1</t>
        </is>
      </c>
      <c r="G10" s="2" t="inlineStr">
        <is>
          <t>2026-10-05</t>
        </is>
      </c>
      <c r="H10" s="2" t="inlineStr"/>
    </row>
    <row r="11">
      <c r="A11" s="5" t="inlineStr">
        <is>
          <t>CC-022</t>
        </is>
      </c>
      <c r="B11" s="2" t="inlineStr">
        <is>
          <t>B</t>
        </is>
      </c>
      <c r="C11" s="2" t="inlineStr">
        <is>
          <t>Drafted</t>
        </is>
      </c>
      <c r="D11" s="2" t="inlineStr">
        <is>
          <t>2026-10-04</t>
        </is>
      </c>
      <c r="E11" s="2" t="inlineStr">
        <is>
          <t>done locally by maintainer session</t>
        </is>
      </c>
      <c r="F11" s="2" t="inlineStr">
        <is>
          <t>1</t>
        </is>
      </c>
      <c r="G11" s="2" t="inlineStr">
        <is>
          <t>2026-10-04</t>
        </is>
      </c>
      <c r="H11" s="2" t="inlineStr"/>
    </row>
    <row r="12">
      <c r="A12" s="5" t="inlineStr">
        <is>
          <t>CC-023</t>
        </is>
      </c>
      <c r="B12" s="2" t="inlineStr">
        <is>
          <t>A</t>
        </is>
      </c>
      <c r="C12" s="2" t="inlineStr">
        <is>
          <t>In progress</t>
        </is>
      </c>
      <c r="D12" s="2" t="inlineStr">
        <is>
          <t>2026-10-04</t>
        </is>
      </c>
      <c r="E12" s="2" t="inlineStr">
        <is>
          <t>intake 4 Oct 2026</t>
        </is>
      </c>
      <c r="F12" s="2" t="inlineStr">
        <is>
          <t>1</t>
        </is>
      </c>
      <c r="G12" s="2" t="inlineStr">
        <is>
          <t>2026-10-04</t>
        </is>
      </c>
      <c r="H12" s="2" t="inlineStr">
        <is>
          <t>source: 'on track by 2026' wording not found (Newsbook 5 Jul 2021 has Dalli saying 2025; need dated primary statement)</t>
        </is>
      </c>
    </row>
    <row r="13">
      <c r="A13" s="5" t="inlineStr">
        <is>
          <t>CC-024</t>
        </is>
      </c>
      <c r="B13" s="2" t="inlineStr">
        <is>
          <t>B</t>
        </is>
      </c>
      <c r="C13" s="2" t="inlineStr">
        <is>
          <t>Drafted</t>
        </is>
      </c>
      <c r="D13" s="2" t="inlineStr">
        <is>
          <t>2026-10-04</t>
        </is>
      </c>
      <c r="E13" s="2" t="inlineStr">
        <is>
          <t>intake 4 Oct 2026; unblocked by maintainer 5 Oct 2026 (primary-source.md)</t>
        </is>
      </c>
      <c r="F13" s="2" t="inlineStr">
        <is>
          <t>1</t>
        </is>
      </c>
      <c r="G13" s="2" t="inlineStr">
        <is>
          <t>2026-10-05</t>
        </is>
      </c>
      <c r="H13" s="2" t="inlineStr"/>
    </row>
    <row r="14">
      <c r="A14" s="5" t="inlineStr">
        <is>
          <t>CC-025</t>
        </is>
      </c>
      <c r="B14" s="2" t="inlineStr">
        <is>
          <t>A</t>
        </is>
      </c>
      <c r="C14" s="2" t="inlineStr">
        <is>
          <t>Drafted</t>
        </is>
      </c>
      <c r="D14" s="2" t="inlineStr">
        <is>
          <t>2026-10-04</t>
        </is>
      </c>
      <c r="E14" s="2" t="inlineStr">
        <is>
          <t>intake 4 Oct 2026; unblocked by maintainer 5 Oct 2026 (primary-source.md)</t>
        </is>
      </c>
      <c r="F14" s="2" t="inlineStr">
        <is>
          <t>1</t>
        </is>
      </c>
      <c r="G14" s="2" t="inlineStr">
        <is>
          <t>2026-10-05</t>
        </is>
      </c>
      <c r="H14" s="2" t="inlineStr"/>
    </row>
    <row r="15">
      <c r="A15" s="5" t="inlineStr">
        <is>
          <t>CC-026</t>
        </is>
      </c>
      <c r="B15" s="2" t="inlineStr">
        <is>
          <t>B</t>
        </is>
      </c>
      <c r="C15" s="2" t="inlineStr">
        <is>
          <t>Drafted</t>
        </is>
      </c>
      <c r="D15" s="2" t="inlineStr">
        <is>
          <t>2026-10-04</t>
        </is>
      </c>
      <c r="E15" s="2" t="inlineStr">
        <is>
          <t>intake 4 Oct 2026</t>
        </is>
      </c>
      <c r="F15" s="2" t="inlineStr">
        <is>
          <t>1</t>
        </is>
      </c>
      <c r="G15" s="2" t="inlineStr">
        <is>
          <t>2026-10-05</t>
        </is>
      </c>
      <c r="H15" s="2" t="inlineStr"/>
    </row>
    <row r="16">
      <c r="A16" s="5" t="inlineStr">
        <is>
          <t>CC-027</t>
        </is>
      </c>
      <c r="B16" s="2" t="inlineStr">
        <is>
          <t>C</t>
        </is>
      </c>
      <c r="C16" s="2" t="inlineStr">
        <is>
          <t>In progress</t>
        </is>
      </c>
      <c r="D16" s="2" t="inlineStr">
        <is>
          <t>2026-10-04</t>
        </is>
      </c>
      <c r="E16" s="2" t="inlineStr">
        <is>
          <t>intake 4 Oct 2026</t>
        </is>
      </c>
      <c r="F16" s="2" t="inlineStr">
        <is>
          <t>1</t>
        </is>
      </c>
      <c r="G16" s="2" t="inlineStr">
        <is>
          <t>2026-10-05</t>
        </is>
      </c>
      <c r="H16" s="2" t="inlineStr">
        <is>
          <t>source: statements are of 21 Jul 2026 (not 2024) and are reported only as indirect speech (TVM News interview with Abela; Lovin Malta on Dalli); needs a transcript of the TVM interview or a press release; tried: Lovin Malta, TVM News, Newsbook, search</t>
        </is>
      </c>
    </row>
    <row r="17">
      <c r="A17" s="5" t="inlineStr">
        <is>
          <t>CC-028</t>
        </is>
      </c>
      <c r="B17" s="2" t="inlineStr">
        <is>
          <t>A</t>
        </is>
      </c>
      <c r="C17" s="2" t="inlineStr">
        <is>
          <t>In progress</t>
        </is>
      </c>
      <c r="D17" s="2" t="inlineStr">
        <is>
          <t>2026-10-04</t>
        </is>
      </c>
      <c r="E17" s="2" t="inlineStr">
        <is>
          <t>intake 4 Oct 2026</t>
        </is>
      </c>
      <c r="F17" s="2" t="inlineStr">
        <is>
          <t>1</t>
        </is>
      </c>
      <c r="G17" s="2" t="inlineStr">
        <is>
          <t>2026-10-05</t>
        </is>
      </c>
      <c r="H17" s="2" t="inlineStr">
        <is>
          <t>source: Enemalta's 76% wording not in quotation marks in any readable outlet (Newsbook, TVMnews paraphrase; only 'investing ahead of demand delivers tangible benefits' is quoted); no press release on enemalta.com.mt; MaltaToday 403</t>
        </is>
      </c>
    </row>
    <row r="18">
      <c r="A18" s="5" t="inlineStr">
        <is>
          <t>CC-029</t>
        </is>
      </c>
      <c r="B18" s="2" t="inlineStr">
        <is>
          <t>B</t>
        </is>
      </c>
      <c r="C18" s="2" t="inlineStr">
        <is>
          <t>Drafted</t>
        </is>
      </c>
      <c r="D18" s="2" t="inlineStr">
        <is>
          <t>2026-10-04</t>
        </is>
      </c>
      <c r="E18" s="2" t="inlineStr">
        <is>
          <t>intake 4 Oct 2026</t>
        </is>
      </c>
      <c r="F18" s="2" t="inlineStr">
        <is>
          <t>1</t>
        </is>
      </c>
      <c r="G18" s="2" t="inlineStr">
        <is>
          <t>2026-10-06</t>
        </is>
      </c>
      <c r="H18" s="2" t="inlineStr"/>
    </row>
    <row r="19">
      <c r="A19" s="5" t="inlineStr">
        <is>
          <t>CC-030</t>
        </is>
      </c>
      <c r="B19" s="2" t="inlineStr">
        <is>
          <t>C</t>
        </is>
      </c>
      <c r="C19" s="2" t="inlineStr">
        <is>
          <t>Drafted</t>
        </is>
      </c>
      <c r="D19" s="2" t="inlineStr">
        <is>
          <t>2026-10-04</t>
        </is>
      </c>
      <c r="E19" s="2" t="inlineStr">
        <is>
          <t>intake 4 Oct 2026</t>
        </is>
      </c>
      <c r="F19" s="2" t="inlineStr">
        <is>
          <t>1</t>
        </is>
      </c>
      <c r="G19" s="2" t="inlineStr">
        <is>
          <t>2026-10-05</t>
        </is>
      </c>
      <c r="H19" s="2" t="inlineStr"/>
    </row>
    <row r="20">
      <c r="A20" s="5" t="inlineStr">
        <is>
          <t>CC-031</t>
        </is>
      </c>
      <c r="B20" s="2" t="inlineStr">
        <is>
          <t>A</t>
        </is>
      </c>
      <c r="C20" s="2" t="inlineStr">
        <is>
          <t>Drafted</t>
        </is>
      </c>
      <c r="D20" s="2" t="inlineStr">
        <is>
          <t>2026-10-04</t>
        </is>
      </c>
      <c r="E20" s="2" t="inlineStr">
        <is>
          <t>intake 4 Oct 2026; unblocked by maintainer 5 Oct 2026 (primary-source.md)</t>
        </is>
      </c>
      <c r="F20" s="2" t="inlineStr">
        <is>
          <t>1</t>
        </is>
      </c>
      <c r="G20" s="2" t="inlineStr">
        <is>
          <t>2026-10-06</t>
        </is>
      </c>
      <c r="H20" s="2" t="inlineStr"/>
    </row>
    <row r="21">
      <c r="A21" s="5" t="inlineStr">
        <is>
          <t>CC-032</t>
        </is>
      </c>
      <c r="B21" s="2" t="inlineStr">
        <is>
          <t>B</t>
        </is>
      </c>
      <c r="C21" s="2" t="inlineStr">
        <is>
          <t>Drafted</t>
        </is>
      </c>
      <c r="D21" s="2" t="inlineStr">
        <is>
          <t>2026-10-04</t>
        </is>
      </c>
      <c r="E21" s="2" t="inlineStr">
        <is>
          <t>intake 4 Oct 2026</t>
        </is>
      </c>
      <c r="F21" s="2" t="inlineStr">
        <is>
          <t>1</t>
        </is>
      </c>
      <c r="G21" s="2" t="inlineStr">
        <is>
          <t>2026-10-06</t>
        </is>
      </c>
      <c r="H21" s="2" t="inlineStr"/>
    </row>
    <row r="22">
      <c r="A22" s="5" t="inlineStr">
        <is>
          <t>CC-033</t>
        </is>
      </c>
      <c r="B22" s="2" t="inlineStr">
        <is>
          <t>C</t>
        </is>
      </c>
      <c r="C22" s="2" t="inlineStr">
        <is>
          <t>In progress</t>
        </is>
      </c>
      <c r="D22" s="2" t="inlineStr">
        <is>
          <t>2026-10-04</t>
        </is>
      </c>
      <c r="E22" s="2" t="inlineStr">
        <is>
          <t>intake 4 Oct 2026</t>
        </is>
      </c>
      <c r="F22" s="2" t="inlineStr">
        <is>
          <t>1</t>
        </is>
      </c>
      <c r="G22" s="2" t="inlineStr">
        <is>
          <t>2026-10-05</t>
        </is>
      </c>
      <c r="H22" s="2" t="inlineStr">
        <is>
          <t>source: D3PG's statement is reported only in indirect speech (TVM News 24 Sep 2018, EN and MT; 'much cleaner' is TVM's paraphrase, no quotation marks); D3PG press release not found; tried: TVM EN/MT, web search (two queries), d3pg.com (empty page), Wayback (reset), Wärtsilä case study (not the speaker)</t>
        </is>
      </c>
    </row>
    <row r="23">
      <c r="A23" s="5" t="inlineStr">
        <is>
          <t>CC-034</t>
        </is>
      </c>
      <c r="B23" s="2" t="inlineStr">
        <is>
          <t>A</t>
        </is>
      </c>
      <c r="C23" s="2" t="inlineStr">
        <is>
          <t>Drafted</t>
        </is>
      </c>
      <c r="D23" s="2" t="inlineStr">
        <is>
          <t>2026-10-04</t>
        </is>
      </c>
      <c r="E23" s="2" t="inlineStr">
        <is>
          <t>intake 4 Oct 2026; unblocked by maintainer 5 Oct 2026 (primary-source.md)</t>
        </is>
      </c>
      <c r="F23" s="2" t="inlineStr">
        <is>
          <t>1</t>
        </is>
      </c>
      <c r="G23" s="2" t="inlineStr">
        <is>
          <t>2026-10-06</t>
        </is>
      </c>
      <c r="H23" s="2" t="inlineStr"/>
    </row>
    <row r="24">
      <c r="A24" s="5" t="inlineStr">
        <is>
          <t>CC-035</t>
        </is>
      </c>
      <c r="B24" s="2" t="inlineStr">
        <is>
          <t>B</t>
        </is>
      </c>
      <c r="C24" s="2" t="inlineStr">
        <is>
          <t>Drafted</t>
        </is>
      </c>
      <c r="D24" s="2" t="inlineStr">
        <is>
          <t>2026-10-04</t>
        </is>
      </c>
      <c r="E24" s="2" t="inlineStr">
        <is>
          <t>intake 4 Oct 2026</t>
        </is>
      </c>
      <c r="F24" s="2" t="inlineStr">
        <is>
          <t>1</t>
        </is>
      </c>
      <c r="G24" s="2" t="inlineStr">
        <is>
          <t>2026-10-06</t>
        </is>
      </c>
      <c r="H24" s="2" t="inlineStr"/>
    </row>
    <row r="25">
      <c r="A25" s="5" t="inlineStr">
        <is>
          <t>CC-036</t>
        </is>
      </c>
      <c r="B25" s="2" t="inlineStr">
        <is>
          <t>C</t>
        </is>
      </c>
      <c r="C25" s="2" t="inlineStr">
        <is>
          <t>Not started</t>
        </is>
      </c>
      <c r="D25" s="2" t="inlineStr">
        <is>
          <t>2026-10-04</t>
        </is>
      </c>
      <c r="E25" s="2" t="inlineStr">
        <is>
          <t>intake 4 Oct 2026</t>
        </is>
      </c>
      <c r="F25" s="2" t="inlineStr">
        <is>
          <t>1</t>
        </is>
      </c>
      <c r="G25" s="2" t="inlineStr">
        <is>
          <t>2026-10-05</t>
        </is>
      </c>
      <c r="H25" s="2" t="inlineStr">
        <is>
          <t>network: era.org.mt (403 to scripts); web.archive.org (its copy of the ERA PDF, snapshot 22 Jun 2021, is truncated at 1 MiB of 1.4 MB, no readable text, then the host went offline); tried: ERA URL, Wayback, web search (finds the chapter but no passage text)</t>
        </is>
      </c>
    </row>
    <row r="26">
      <c r="A26" s="5" t="inlineStr">
        <is>
          <t>CC-037</t>
        </is>
      </c>
      <c r="B26" s="2" t="inlineStr">
        <is>
          <t>A</t>
        </is>
      </c>
      <c r="C26" s="2" t="inlineStr">
        <is>
          <t>Drafted</t>
        </is>
      </c>
      <c r="D26" s="2" t="inlineStr">
        <is>
          <t>2026-10-04</t>
        </is>
      </c>
      <c r="E26" s="2" t="inlineStr">
        <is>
          <t>intake 4 Oct 2026</t>
        </is>
      </c>
      <c r="F26" s="2" t="inlineStr">
        <is>
          <t>1</t>
        </is>
      </c>
      <c r="G26" s="2" t="inlineStr">
        <is>
          <t>2026-10-05</t>
        </is>
      </c>
      <c r="H26" s="2" t="inlineStr"/>
    </row>
    <row r="27">
      <c r="A27" s="5" t="inlineStr">
        <is>
          <t>CC-038</t>
        </is>
      </c>
      <c r="B27" s="2" t="inlineStr">
        <is>
          <t>B</t>
        </is>
      </c>
      <c r="C27" s="2" t="inlineStr">
        <is>
          <t>In progress</t>
        </is>
      </c>
      <c r="D27" s="2" t="inlineStr">
        <is>
          <t>2026-10-04</t>
        </is>
      </c>
      <c r="E27" s="2" t="inlineStr">
        <is>
          <t>intake 4 Oct 2026</t>
        </is>
      </c>
      <c r="F27" s="2" t="inlineStr">
        <is>
          <t>1</t>
        </is>
      </c>
      <c r="G27" s="2" t="inlineStr">
        <is>
          <t>2026-10-07</t>
        </is>
      </c>
      <c r="H27" s="2" t="inlineStr">
        <is>
          <t>source: authorities' own wording not found; Italpress/MNA (7 Feb 2026) gives the Met Office only as indirect speech ('Meteorological officials said the dust originated in the Sahara'), no quotation marks, no ERA statement; MaltaToday original 403, Wayback reset; tried: claim URL, Wayback, 3 web searches, Italpress, Guide Me Malta, TVM search, Newsbook/airquality.gov.mt/maltaweather.com (refused or unreachable)</t>
        </is>
      </c>
    </row>
    <row r="28">
      <c r="A28" s="5" t="inlineStr">
        <is>
          <t>CC-039</t>
        </is>
      </c>
      <c r="B28" s="2" t="inlineStr">
        <is>
          <t>C</t>
        </is>
      </c>
      <c r="C28" s="2" t="inlineStr">
        <is>
          <t>Drafted</t>
        </is>
      </c>
      <c r="D28" s="2" t="inlineStr">
        <is>
          <t>2026-10-04</t>
        </is>
      </c>
      <c r="E28" s="2" t="inlineStr">
        <is>
          <t>intake 4 Oct 2026</t>
        </is>
      </c>
      <c r="F28" s="2" t="inlineStr">
        <is>
          <t>1</t>
        </is>
      </c>
      <c r="G28" s="2" t="inlineStr">
        <is>
          <t>2026-10-05</t>
        </is>
      </c>
      <c r="H28" s="2" t="inlineStr"/>
    </row>
    <row r="29">
      <c r="A29" s="5" t="inlineStr">
        <is>
          <t>CC-040</t>
        </is>
      </c>
      <c r="B29" s="2" t="inlineStr">
        <is>
          <t>A</t>
        </is>
      </c>
      <c r="C29" s="2" t="inlineStr">
        <is>
          <t>Drafted</t>
        </is>
      </c>
      <c r="D29" s="2" t="inlineStr">
        <is>
          <t>2026-10-04</t>
        </is>
      </c>
      <c r="E29" s="2" t="inlineStr">
        <is>
          <t>intake 4 Oct 2026</t>
        </is>
      </c>
      <c r="F29" s="2" t="inlineStr">
        <is>
          <t>1</t>
        </is>
      </c>
      <c r="G29" s="2" t="inlineStr">
        <is>
          <t>2026-10-07</t>
        </is>
      </c>
      <c r="H29" s="2" t="inlineStr"/>
    </row>
    <row r="30">
      <c r="A30" s="5" t="inlineStr">
        <is>
          <t>CC-041</t>
        </is>
      </c>
      <c r="B30" s="2" t="inlineStr">
        <is>
          <t>B</t>
        </is>
      </c>
      <c r="C30" s="2" t="inlineStr">
        <is>
          <t>In progress</t>
        </is>
      </c>
      <c r="D30" s="2" t="inlineStr">
        <is>
          <t>2026-10-04</t>
        </is>
      </c>
      <c r="E30" s="2" t="inlineStr">
        <is>
          <t>intake 4 Oct 2026</t>
        </is>
      </c>
      <c r="F30" s="2" t="inlineStr">
        <is>
          <t>1</t>
        </is>
      </c>
      <c r="G30" s="2" t="inlineStr">
        <is>
          <t>2026-10-07</t>
        </is>
      </c>
      <c r="H30" s="2" t="inlineStr">
        <is>
          <t>source: no government/WSC wording; Lovin Malta (18 Oct 2024) is the outlet's paraphrase, quotes only 'comprehensive analysis' for the ministry and attributes the 2026 compliance date to the court; need the ministry/WSC statement or MaltaToday/TVM report of it; tried: Lovin Malta, web search, MaltaToday (403), Wayback (reset)</t>
        </is>
      </c>
    </row>
    <row r="31">
      <c r="A31" s="5" t="inlineStr">
        <is>
          <t>CC-042</t>
        </is>
      </c>
      <c r="B31" s="2" t="inlineStr">
        <is>
          <t>C</t>
        </is>
      </c>
      <c r="C31" s="2" t="inlineStr">
        <is>
          <t>Drafted</t>
        </is>
      </c>
      <c r="D31" s="2" t="inlineStr">
        <is>
          <t>2026-10-04</t>
        </is>
      </c>
      <c r="E31" s="2" t="inlineStr">
        <is>
          <t>intake 4 Oct 2026</t>
        </is>
      </c>
      <c r="F31" s="2" t="inlineStr">
        <is>
          <t>1</t>
        </is>
      </c>
      <c r="G31" s="2" t="inlineStr">
        <is>
          <t>2026-10-05</t>
        </is>
      </c>
      <c r="H31" s="2" t="inlineStr"/>
    </row>
    <row r="32">
      <c r="A32" s="5" t="inlineStr">
        <is>
          <t>CC-043</t>
        </is>
      </c>
      <c r="B32" s="2" t="inlineStr">
        <is>
          <t>A</t>
        </is>
      </c>
      <c r="C32" s="2" t="inlineStr">
        <is>
          <t>In progress</t>
        </is>
      </c>
      <c r="D32" s="2" t="inlineStr">
        <is>
          <t>2026-10-04</t>
        </is>
      </c>
      <c r="E32" s="2" t="inlineStr">
        <is>
          <t>intake 4 Oct 2026</t>
        </is>
      </c>
      <c r="F32" s="2" t="inlineStr">
        <is>
          <t>1</t>
        </is>
      </c>
      <c r="G32" s="2" t="inlineStr">
        <is>
          <t>2026-10-08</t>
        </is>
      </c>
      <c r="H32" s="2" t="inlineStr">
        <is>
          <t>source: the claim's wording ('a mark of clean, well-managed bathing sites'; dated 2026) was not found in any readable source. The 13 Blue Flags are the 2025 season (gov.mt press release PR251165, 28 Jun 2025: Ian Borg quoted only as 'The Blue Flag is more than just a symbol' via search summary); gov.mt 403 (Cloudflare), Wayback has no copy; GuideMeMalta article readable only via WebFetch (outlet text, no named-speaker quote of the claim); need the gov.mt/FEE Malta text and the 2026 season announcement, if any; tried: claim URL (TravelMole 22 Jul 2025, outlet paraphrase), gov.mt, Wayback, GuideMeMalta, MTA news, naturetrustmalta.org, 3 web searches</t>
        </is>
      </c>
    </row>
    <row r="33">
      <c r="A33" s="5" t="inlineStr">
        <is>
          <t>CC-044</t>
        </is>
      </c>
      <c r="B33" s="2" t="inlineStr">
        <is>
          <t>B</t>
        </is>
      </c>
      <c r="C33" s="2" t="inlineStr">
        <is>
          <t>In progress</t>
        </is>
      </c>
      <c r="D33" s="2" t="inlineStr">
        <is>
          <t>2026-10-04</t>
        </is>
      </c>
      <c r="E33" s="2" t="inlineStr">
        <is>
          <t>intake 4 Oct 2026</t>
        </is>
      </c>
      <c r="F33" s="2" t="inlineStr">
        <is>
          <t>1</t>
        </is>
      </c>
      <c r="G33" s="2" t="inlineStr">
        <is>
          <t>2026-10-07</t>
        </is>
      </c>
      <c r="H33" s="2" t="inlineStr">
        <is>
          <t>source: gov.mt press release PR251213 403 and Wayback reset; TVM News (4 Jul 2025) paraphrases 'removed 2,400 tonnes of waste from 16 km' without 'every year'/'annually'; only quoted words are about cleaning generally; need the press release text in a browser; tried: gov.mt, Wayback, TVM, Shift, Lovin Malta, Newsbook (unreachable), web search</t>
        </is>
      </c>
    </row>
    <row r="34">
      <c r="A34" s="5" t="inlineStr">
        <is>
          <t>CC-045</t>
        </is>
      </c>
      <c r="B34" s="2" t="inlineStr">
        <is>
          <t>C</t>
        </is>
      </c>
      <c r="C34" s="2" t="inlineStr">
        <is>
          <t>Drafted</t>
        </is>
      </c>
      <c r="D34" s="2" t="inlineStr">
        <is>
          <t>2026-10-04</t>
        </is>
      </c>
      <c r="E34" s="2" t="inlineStr">
        <is>
          <t>intake 4 Oct 2026</t>
        </is>
      </c>
      <c r="F34" s="2" t="inlineStr">
        <is>
          <t>0</t>
        </is>
      </c>
      <c r="G34" s="2" t="inlineStr">
        <is>
          <t>2026-10-06</t>
        </is>
      </c>
      <c r="H34" s="2" t="inlineStr"/>
    </row>
    <row r="35">
      <c r="A35" s="5" t="inlineStr">
        <is>
          <t>CC-046</t>
        </is>
      </c>
      <c r="B35" s="2" t="inlineStr">
        <is>
          <t>A</t>
        </is>
      </c>
      <c r="C35" s="2" t="inlineStr">
        <is>
          <t>In progress</t>
        </is>
      </c>
      <c r="D35" s="2" t="inlineStr">
        <is>
          <t>2026-10-04</t>
        </is>
      </c>
      <c r="E35" s="2" t="inlineStr">
        <is>
          <t>intake 4 Oct 2026</t>
        </is>
      </c>
      <c r="F35" s="2" t="inlineStr">
        <is>
          <t>1</t>
        </is>
      </c>
      <c r="G35" s="2" t="inlineStr">
        <is>
          <t>2026-10-08</t>
        </is>
      </c>
      <c r="H35" s="2" t="inlineStr">
        <is>
          <t>source: no WSC wording in quotation marks. The claim record's source (Smart Water Magazine, 25 Jan 2023) quotes only its contractor (AST &amp; ROTEC) on the environment; GuideMeMalta (19 Nov 2021) is the outlet's narration ('no longer be dependent on Malta'; 9,000 m3/day unattributed); MaltaToday (inauguration, PM Abela on 'autonomy') 403 to scripts and WebFetch, seen only in search summaries (second-hand); need the 18-19 Nov 2021 gov.mt/WSC release or a TVM/MaltaToday text; tried: Smart Water Magazine, GuideMeMalta, MaltaToday, 2 web searches</t>
        </is>
      </c>
    </row>
    <row r="36">
      <c r="A36" s="5" t="inlineStr">
        <is>
          <t>CC-047</t>
        </is>
      </c>
      <c r="B36" s="2" t="inlineStr">
        <is>
          <t>B</t>
        </is>
      </c>
      <c r="C36" s="2" t="inlineStr">
        <is>
          <t>Drafted</t>
        </is>
      </c>
      <c r="D36" s="2" t="inlineStr">
        <is>
          <t>2026-10-04</t>
        </is>
      </c>
      <c r="E36" s="2" t="inlineStr">
        <is>
          <t>intake 4 Oct 2026</t>
        </is>
      </c>
      <c r="F36" s="2" t="inlineStr">
        <is>
          <t>1</t>
        </is>
      </c>
      <c r="G36" s="2" t="inlineStr">
        <is>
          <t>2026-10-05</t>
        </is>
      </c>
      <c r="H36" s="2" t="inlineStr"/>
    </row>
    <row r="37">
      <c r="A37" s="5" t="inlineStr">
        <is>
          <t>CC-048</t>
        </is>
      </c>
      <c r="B37" s="2" t="inlineStr">
        <is>
          <t>C</t>
        </is>
      </c>
      <c r="C37" s="2" t="inlineStr">
        <is>
          <t>In progress</t>
        </is>
      </c>
      <c r="D37" s="2" t="inlineStr">
        <is>
          <t>2026-10-04</t>
        </is>
      </c>
      <c r="E37" s="2" t="inlineStr">
        <is>
          <t>intake 4 Oct 2026</t>
        </is>
      </c>
      <c r="F37" s="2" t="inlineStr">
        <is>
          <t>1</t>
        </is>
      </c>
      <c r="G37" s="2" t="inlineStr">
        <is>
          <t>2026-10-07</t>
        </is>
      </c>
      <c r="H37" s="2" t="inlineStr">
        <is>
          <t>source: the government press release wording (gov.mt pr251246en, 9 Jul 2025) with quotation marks; every readable copy (Italpress/MNA 10 Jul 2025, Divinginfo.mt) is the outlet's paraphrase, and 'working' is not in any of them; tried: gov.mt URL (403), Wayback (reset), web search (3 queries), Italpress, Divinginfo, MaltaToday/ERA/Guide Me Malta (403/Cloudflare), TVM/Newsbook/Lovin site search</t>
        </is>
      </c>
    </row>
    <row r="38">
      <c r="A38" s="5" t="inlineStr">
        <is>
          <t>CC-049</t>
        </is>
      </c>
      <c r="B38" s="2" t="inlineStr">
        <is>
          <t>A</t>
        </is>
      </c>
      <c r="C38" s="2" t="inlineStr">
        <is>
          <t>In progress</t>
        </is>
      </c>
      <c r="D38" s="2" t="inlineStr">
        <is>
          <t>2026-10-04</t>
        </is>
      </c>
      <c r="E38" s="2" t="inlineStr">
        <is>
          <t>intake 4 Oct 2026</t>
        </is>
      </c>
      <c r="F38" s="2" t="inlineStr">
        <is>
          <t>1</t>
        </is>
      </c>
      <c r="G38" s="2" t="inlineStr">
        <is>
          <t>2026-10-05</t>
        </is>
      </c>
      <c r="H38" s="2" t="inlineStr">
        <is>
          <t>source: BirdLife Raptor Camp 2025 incident log or report table; police/EPU response-time data or PQ answer for 12 Sep-5 Oct 2025; WBRU autumn 2025 report; earlier Raptor Camp totals. tried: birdlifemalta.org, newsbook, independent.com.mt (403), maltatoday (403), web search</t>
        </is>
      </c>
    </row>
    <row r="39">
      <c r="A39" s="5" t="inlineStr">
        <is>
          <t>CC-050</t>
        </is>
      </c>
      <c r="B39" s="2" t="inlineStr">
        <is>
          <t>B</t>
        </is>
      </c>
      <c r="C39" s="2" t="inlineStr">
        <is>
          <t>Drafted</t>
        </is>
      </c>
      <c r="D39" s="2" t="inlineStr">
        <is>
          <t>2026-10-04</t>
        </is>
      </c>
      <c r="E39" s="2" t="inlineStr">
        <is>
          <t>intake 4 Oct 2026</t>
        </is>
      </c>
      <c r="F39" s="2" t="inlineStr">
        <is>
          <t>1</t>
        </is>
      </c>
      <c r="G39" s="2" t="inlineStr">
        <is>
          <t>2026-10-05</t>
        </is>
      </c>
      <c r="H39" s="2" t="inlineStr"/>
    </row>
    <row r="40">
      <c r="A40" s="5" t="inlineStr">
        <is>
          <t>CC-051</t>
        </is>
      </c>
      <c r="B40" s="2" t="inlineStr">
        <is>
          <t>C</t>
        </is>
      </c>
      <c r="C40" s="2" t="inlineStr">
        <is>
          <t>Drafted</t>
        </is>
      </c>
      <c r="D40" s="2" t="inlineStr">
        <is>
          <t>2026-10-04</t>
        </is>
      </c>
      <c r="E40" s="2" t="inlineStr">
        <is>
          <t>done locally by maintainer session</t>
        </is>
      </c>
      <c r="F40" s="2" t="inlineStr">
        <is>
          <t>1</t>
        </is>
      </c>
      <c r="G40" s="2" t="inlineStr">
        <is>
          <t>2026-10-04</t>
        </is>
      </c>
      <c r="H40" s="2" t="inlineStr"/>
    </row>
    <row r="41">
      <c r="A41" s="5" t="inlineStr">
        <is>
          <t>CC-052</t>
        </is>
      </c>
      <c r="B41" s="2" t="inlineStr">
        <is>
          <t>A</t>
        </is>
      </c>
      <c r="C41" s="2" t="inlineStr">
        <is>
          <t>In progress</t>
        </is>
      </c>
      <c r="D41" s="2" t="inlineStr">
        <is>
          <t>2026-10-04</t>
        </is>
      </c>
      <c r="E41" s="2" t="inlineStr">
        <is>
          <t>intake 4 Oct 2026</t>
        </is>
      </c>
      <c r="F41" s="2" t="inlineStr">
        <is>
          <t>1</t>
        </is>
      </c>
      <c r="G41" s="2" t="inlineStr">
        <is>
          <t>2026-10-08</t>
        </is>
      </c>
      <c r="H41" s="2" t="inlineStr">
        <is>
          <t>source: ERA's own text not found. Atuna (18 Aug 2025) quotes ERA's first half ('Whenever fish slime is detected, often before it reaches the shore, ERA promptly instructs operators to take all necessary measures to contain and collect it') but credits 'Maltese news sites' (relay, not the original) and does not carry the 'about 6 km offshore' sentence in ERA's words; need the original ERA statement/outlet report (Times of Malta, MaltaToday, Newsbook) with the full passage; tried: Atuna (WebFetch), 2 web searches (found only the 2017-2021 slime pieces and a 5-6 km aquaculture-zone figure from other years)</t>
        </is>
      </c>
    </row>
    <row r="42">
      <c r="A42" s="5" t="inlineStr">
        <is>
          <t>CC-053</t>
        </is>
      </c>
      <c r="B42" s="2" t="inlineStr">
        <is>
          <t>B</t>
        </is>
      </c>
      <c r="C42" s="2" t="inlineStr">
        <is>
          <t>Drafted</t>
        </is>
      </c>
      <c r="D42" s="2" t="inlineStr">
        <is>
          <t>2026-10-04</t>
        </is>
      </c>
      <c r="E42" s="2" t="inlineStr">
        <is>
          <t>intake 4 Oct 2026</t>
        </is>
      </c>
      <c r="F42" s="2" t="inlineStr">
        <is>
          <t>1</t>
        </is>
      </c>
      <c r="G42" s="2" t="inlineStr">
        <is>
          <t>2026-10-05</t>
        </is>
      </c>
      <c r="H42" s="2" t="inlineStr"/>
    </row>
    <row r="43">
      <c r="A43" s="5" t="inlineStr">
        <is>
          <t>CC-054</t>
        </is>
      </c>
      <c r="B43" s="2" t="inlineStr">
        <is>
          <t>C</t>
        </is>
      </c>
      <c r="C43" s="2" t="inlineStr">
        <is>
          <t>In progress</t>
        </is>
      </c>
      <c r="D43" s="2" t="inlineStr">
        <is>
          <t>2026-10-04</t>
        </is>
      </c>
      <c r="E43" s="2" t="inlineStr">
        <is>
          <t>intake 4 Oct 2026</t>
        </is>
      </c>
      <c r="F43" s="2" t="inlineStr">
        <is>
          <t>1</t>
        </is>
      </c>
      <c r="G43" s="2" t="inlineStr">
        <is>
          <t>2026-10-07</t>
        </is>
      </c>
      <c r="H43" s="2" t="inlineStr">
        <is>
          <t>source: Project Green's own statement (press release or Ras imb Ras interview, Joseph Cuschieri, date not given); TVM News carries the 100,000 m2 figures only as its paraphrase, the one direct quotes (Vassallo) do not contain them; tried: TVM URL, web search (Project Green, gov.mt, MaltaToday hits are other years' figures), projectgreen.mt</t>
        </is>
      </c>
    </row>
    <row r="44">
      <c r="A44" s="5" t="inlineStr">
        <is>
          <t>CC-055</t>
        </is>
      </c>
      <c r="B44" s="2" t="inlineStr">
        <is>
          <t>A</t>
        </is>
      </c>
      <c r="C44" s="2" t="inlineStr">
        <is>
          <t>Drafted</t>
        </is>
      </c>
      <c r="D44" s="2" t="inlineStr">
        <is>
          <t>2026-10-04</t>
        </is>
      </c>
      <c r="E44" s="2" t="inlineStr">
        <is>
          <t>intake 4 Oct 2026</t>
        </is>
      </c>
      <c r="F44" s="2" t="inlineStr">
        <is>
          <t>1</t>
        </is>
      </c>
      <c r="G44" s="2" t="inlineStr">
        <is>
          <t>2026-10-09</t>
        </is>
      </c>
      <c r="H44" s="2" t="inlineStr"/>
    </row>
    <row r="45">
      <c r="A45" s="5" t="inlineStr">
        <is>
          <t>CC-056</t>
        </is>
      </c>
      <c r="B45" s="2" t="inlineStr">
        <is>
          <t>B</t>
        </is>
      </c>
      <c r="C45" s="2" t="inlineStr">
        <is>
          <t>In progress</t>
        </is>
      </c>
      <c r="D45" s="2" t="inlineStr">
        <is>
          <t>2026-10-04</t>
        </is>
      </c>
      <c r="E45" s="2" t="inlineStr">
        <is>
          <t>intake 4 Oct 2026</t>
        </is>
      </c>
      <c r="F45" s="2" t="inlineStr">
        <is>
          <t>1</t>
        </is>
      </c>
      <c r="G45" s="2" t="inlineStr">
        <is>
          <t>2026-10-08</t>
        </is>
      </c>
      <c r="H45" s="2" t="inlineStr">
        <is>
          <t>source: Infrastructure Malta's own wording of 'only 254 trees' not found. Lovin Malta (Tim Diacono, 25 Jul 2019) states the 254 figure and 'all replacements mature' in its own voice ('pledged'); the only words in quotation marks from the agency are 'The project works contract specifies that these trees should be approximately four metres tall when they are planted' (and a sentence on care and tree experts). 254 equals 439 requested removals minus 185 transplanted (our arithmetic, not stated by IM). Need the IM press statement or a report quoting it; tried: Lovin Malta (read in full), Wayback (not archived), The Shift 20 Jan 2020 (IM statement on '285 more trees' only), tvmnews/newsbook site search, infrastructuremalta.com (TLS certificate error), 3 web searches</t>
        </is>
      </c>
    </row>
    <row r="46">
      <c r="A46" s="5" t="inlineStr">
        <is>
          <t>CC-057</t>
        </is>
      </c>
      <c r="B46" s="2" t="inlineStr">
        <is>
          <t>C</t>
        </is>
      </c>
      <c r="C46" s="2" t="inlineStr">
        <is>
          <t>In progress</t>
        </is>
      </c>
      <c r="D46" s="2" t="inlineStr">
        <is>
          <t>2026-10-04</t>
        </is>
      </c>
      <c r="E46" s="2" t="inlineStr">
        <is>
          <t>intake 4 Oct 2026</t>
        </is>
      </c>
      <c r="F46" s="2" t="inlineStr">
        <is>
          <t>1</t>
        </is>
      </c>
      <c r="G46" s="2" t="inlineStr">
        <is>
          <t>2026-10-07</t>
        </is>
      </c>
      <c r="H46" s="2" t="inlineStr">
        <is>
          <t>source: ERA's 2019 permit/nature-permit condition (1,649 trees or EUR 500 per tree) in its own words; Lovin Malta (24 Jul 2019) does not contain the 1,649 figure at all; search summaries (MaltaToday, EIA) are second-hand; tried: Lovin Malta URL, web search, Wayback (reset), era.org.mt (403)</t>
        </is>
      </c>
    </row>
    <row r="47">
      <c r="A47" s="5" t="inlineStr">
        <is>
          <t>CC-058</t>
        </is>
      </c>
      <c r="B47" s="2" t="inlineStr">
        <is>
          <t>A</t>
        </is>
      </c>
      <c r="C47" s="2" t="inlineStr">
        <is>
          <t>In progress</t>
        </is>
      </c>
      <c r="D47" s="2" t="inlineStr">
        <is>
          <t>2026-10-04</t>
        </is>
      </c>
      <c r="E47" s="2" t="inlineStr">
        <is>
          <t>intake 4 Oct 2026</t>
        </is>
      </c>
      <c r="F47" s="2" t="inlineStr">
        <is>
          <t>1</t>
        </is>
      </c>
      <c r="G47" s="2" t="inlineStr">
        <is>
          <t>2026-10-10</t>
        </is>
      </c>
      <c r="H47" s="2" t="inlineStr">
        <is>
          <t>source: Minister Refalo's PQ answer (to Toni Bezzina, reported 18 Oct 2022) is known only as Lovin Malta's indirect speech (no quotation marks; no PQ number, no NSO table named); need the PQ text from parlament.mt (browser-only) and the NSO figure he cited; tried: Lovin Malta (read in full), Wayback (reset), parlament.mt (403), TVM/Shift/Lovin site searches (nothing), Newsbook (reset), 2 web searches (only Lovin reports the 96%)</t>
        </is>
      </c>
    </row>
    <row r="48">
      <c r="A48" s="5" t="inlineStr">
        <is>
          <t>CC-059</t>
        </is>
      </c>
      <c r="B48" s="2" t="inlineStr">
        <is>
          <t>B</t>
        </is>
      </c>
      <c r="C48" s="2" t="inlineStr">
        <is>
          <t>In progress</t>
        </is>
      </c>
      <c r="D48" s="2" t="inlineStr">
        <is>
          <t>2026-10-04</t>
        </is>
      </c>
      <c r="E48" s="2" t="inlineStr">
        <is>
          <t>intake 4 Oct 2026</t>
        </is>
      </c>
      <c r="F48" s="2" t="inlineStr">
        <is>
          <t>1</t>
        </is>
      </c>
      <c r="G48" s="2" t="inlineStr">
        <is>
          <t>2026-10-08</t>
        </is>
      </c>
      <c r="H48" s="2" t="inlineStr">
        <is>
          <t>source: the NSO news release on Economic Accounts for Agriculture 2025 (subsidies EUR 28.7 million, 20.2% of output; reported 28-29 Sep 2026) is browser-only (nso.gov.mt 403 to scripts, tried 2025-form URLs); Newsbook (Jurgen Balzan, 28 Sep 2026) and Italpress/MNA (29 Sep 2026) give it only as indirect speech ('The NSO said'); need the release text in a browser; Eurostat aact_eaa01 can test the figures once the NSO wording is supplied; tried: Newsbook, Italpress, nso.gov.mt, web search</t>
        </is>
      </c>
    </row>
    <row r="49">
      <c r="A49" s="5" t="inlineStr">
        <is>
          <t>CC-060</t>
        </is>
      </c>
      <c r="B49" s="2" t="inlineStr">
        <is>
          <t>C</t>
        </is>
      </c>
      <c r="C49" s="2" t="inlineStr">
        <is>
          <t>In progress</t>
        </is>
      </c>
      <c r="D49" s="2" t="inlineStr">
        <is>
          <t>2026-10-04</t>
        </is>
      </c>
      <c r="E49" s="2" t="inlineStr">
        <is>
          <t>intake 4 Oct 2026</t>
        </is>
      </c>
      <c r="F49" s="2" t="inlineStr">
        <is>
          <t>1</t>
        </is>
      </c>
      <c r="G49" s="2" t="inlineStr">
        <is>
          <t>2026-10-08</t>
        </is>
      </c>
      <c r="H49" s="2" t="inlineStr">
        <is>
          <t>source: no statement of 'more than 7,000' by the Housing Authority or government found; scheme page (housingauthority.gov.mt, read 8 Oct 2026) carries no beneficiary count; counts found are other figures (4,909 beneficiaries, MaltaToday/Malta Business Weekly via search summary, second-hand; HA 'Path to Homeownership' (Jul 2026) says 10,675 beneficiaries were contacted for a Sep-Oct 2025 survey; 7,108 in HA 'Boosting the Purchasing Power' (Mar 2025) is the other schemes excluding the first-time buyer grant); need the dated statement that says 7,000; tried: scheme page, HA PDFs, 3 web searches</t>
        </is>
      </c>
    </row>
    <row r="50">
      <c r="A50" s="5" t="inlineStr">
        <is>
          <t>CC-061</t>
        </is>
      </c>
      <c r="B50" s="2" t="inlineStr">
        <is>
          <t>A</t>
        </is>
      </c>
      <c r="C50" s="2" t="inlineStr">
        <is>
          <t>Not started</t>
        </is>
      </c>
      <c r="D50" s="2" t="inlineStr">
        <is>
          <t>2026-10-04</t>
        </is>
      </c>
      <c r="E50" s="2" t="inlineStr">
        <is>
          <t>intake 4 Oct 2026</t>
        </is>
      </c>
      <c r="F50" s="2" t="inlineStr">
        <is>
          <t>0</t>
        </is>
      </c>
      <c r="G50" s="2" t="inlineStr"/>
      <c r="H50" s="2" t="inlineStr"/>
    </row>
    <row r="51">
      <c r="A51" s="5" t="inlineStr">
        <is>
          <t>CC-062</t>
        </is>
      </c>
      <c r="B51" s="2" t="inlineStr">
        <is>
          <t>B</t>
        </is>
      </c>
      <c r="C51" s="2" t="inlineStr">
        <is>
          <t>Drafted</t>
        </is>
      </c>
      <c r="D51" s="2" t="inlineStr">
        <is>
          <t>2026-10-04</t>
        </is>
      </c>
      <c r="E51" s="2" t="inlineStr">
        <is>
          <t>intake 4 Oct 2026</t>
        </is>
      </c>
      <c r="F51" s="2" t="inlineStr">
        <is>
          <t>1</t>
        </is>
      </c>
      <c r="G51" s="2" t="inlineStr">
        <is>
          <t>2026-10-08</t>
        </is>
      </c>
      <c r="H51" s="2" t="inlineStr"/>
    </row>
    <row r="52">
      <c r="A52" s="5" t="inlineStr">
        <is>
          <t>CC-063</t>
        </is>
      </c>
      <c r="B52" s="2" t="inlineStr">
        <is>
          <t>C</t>
        </is>
      </c>
      <c r="C52" s="2" t="inlineStr">
        <is>
          <t>Drafted</t>
        </is>
      </c>
      <c r="D52" s="2" t="inlineStr">
        <is>
          <t>2026-10-04</t>
        </is>
      </c>
      <c r="E52" s="2" t="inlineStr">
        <is>
          <t>intake 4 Oct 2026</t>
        </is>
      </c>
      <c r="F52" s="2" t="inlineStr">
        <is>
          <t>1</t>
        </is>
      </c>
      <c r="G52" s="2" t="inlineStr">
        <is>
          <t>2026-10-05</t>
        </is>
      </c>
      <c r="H52" s="2" t="inlineStr"/>
    </row>
    <row r="53">
      <c r="A53" s="5" t="inlineStr">
        <is>
          <t>CC-064</t>
        </is>
      </c>
      <c r="B53" s="2" t="inlineStr">
        <is>
          <t>A</t>
        </is>
      </c>
      <c r="C53" s="2" t="inlineStr">
        <is>
          <t>Not started</t>
        </is>
      </c>
      <c r="D53" s="2" t="inlineStr">
        <is>
          <t>2026-10-04</t>
        </is>
      </c>
      <c r="E53" s="2" t="inlineStr">
        <is>
          <t>intake 4 Oct 2026</t>
        </is>
      </c>
      <c r="F53" s="2" t="inlineStr">
        <is>
          <t>0</t>
        </is>
      </c>
      <c r="G53" s="2" t="inlineStr"/>
      <c r="H53" s="2" t="inlineStr"/>
    </row>
    <row r="54">
      <c r="A54" s="5" t="inlineStr">
        <is>
          <t>CC-065</t>
        </is>
      </c>
      <c r="B54" s="2" t="inlineStr">
        <is>
          <t>B</t>
        </is>
      </c>
      <c r="C54" s="2" t="inlineStr">
        <is>
          <t>Drafted</t>
        </is>
      </c>
      <c r="D54" s="2" t="inlineStr">
        <is>
          <t>2026-10-04</t>
        </is>
      </c>
      <c r="E54" s="2" t="inlineStr">
        <is>
          <t>intake 4 Oct 2026</t>
        </is>
      </c>
      <c r="F54" s="2" t="inlineStr">
        <is>
          <t>1</t>
        </is>
      </c>
      <c r="G54" s="2" t="inlineStr">
        <is>
          <t>2026-10-09</t>
        </is>
      </c>
      <c r="H54" s="2" t="inlineStr"/>
    </row>
    <row r="55">
      <c r="A55" s="5" t="inlineStr">
        <is>
          <t>CC-066</t>
        </is>
      </c>
      <c r="B55" s="2" t="inlineStr">
        <is>
          <t>C</t>
        </is>
      </c>
      <c r="C55" s="2" t="inlineStr">
        <is>
          <t>In progress</t>
        </is>
      </c>
      <c r="D55" s="2" t="inlineStr">
        <is>
          <t>2026-10-04</t>
        </is>
      </c>
      <c r="E55" s="2" t="inlineStr">
        <is>
          <t>intake 4 Oct 2026</t>
        </is>
      </c>
      <c r="F55" s="2" t="inlineStr">
        <is>
          <t>1</t>
        </is>
      </c>
      <c r="G55" s="2" t="inlineStr">
        <is>
          <t>2026-10-08</t>
        </is>
      </c>
      <c r="H55" s="2" t="inlineStr">
        <is>
          <t>source: the EPRT decision and any Superintendence of Cultural Heritage statement in their own words not obtained; readable outlets (Shift 1 May 2026, read in full) give the NGO's account and outlet paraphrase only; MaltaToday 'Tribunal approves dismantling of Chambray barracks' seen only as search summary (403, second-hand); need the EPRT decision text (and SCH conditions) from the tribunal/PA site or a browser; tried: Shift article, 1 web search, PA/EPRT not reachable by search</t>
        </is>
      </c>
    </row>
    <row r="56">
      <c r="A56" s="5" t="inlineStr">
        <is>
          <t>CC-067</t>
        </is>
      </c>
      <c r="B56" s="2" t="inlineStr">
        <is>
          <t>A</t>
        </is>
      </c>
      <c r="C56" s="2" t="inlineStr">
        <is>
          <t>Not started</t>
        </is>
      </c>
      <c r="D56" s="2" t="inlineStr">
        <is>
          <t>2026-10-04</t>
        </is>
      </c>
      <c r="E56" s="2" t="inlineStr">
        <is>
          <t>intake 4 Oct 2026</t>
        </is>
      </c>
      <c r="F56" s="2" t="inlineStr">
        <is>
          <t>0</t>
        </is>
      </c>
      <c r="G56" s="2" t="inlineStr"/>
      <c r="H56" s="2" t="inlineStr"/>
    </row>
    <row r="57">
      <c r="A57" s="5" t="inlineStr">
        <is>
          <t>CC-068</t>
        </is>
      </c>
      <c r="B57" s="2" t="inlineStr">
        <is>
          <t>B</t>
        </is>
      </c>
      <c r="C57" s="2" t="inlineStr">
        <is>
          <t>In progress</t>
        </is>
      </c>
      <c r="D57" s="2" t="inlineStr">
        <is>
          <t>2026-10-04</t>
        </is>
      </c>
      <c r="E57" s="2" t="inlineStr">
        <is>
          <t>intake 4 Oct 2026</t>
        </is>
      </c>
      <c r="F57" s="2" t="inlineStr">
        <is>
          <t>1</t>
        </is>
      </c>
      <c r="G57" s="2" t="inlineStr">
        <is>
          <t>2026-10-10</t>
        </is>
      </c>
      <c r="H57" s="2" t="inlineStr">
        <is>
          <t>source: the Planning Authority's own wording is not in quotation marks in any readable copy (TVM News 4 May 2024 and Newsbook 3 May 2024 relay the PA statement that it 'has started the process' to withdraw policy SMMS 04, consultation to 17 Jun 2024); the PA's notice of withdrawal and the outcome (adopted or not) are on pa.org.mt/gov.mt (403, browser-only); Abela's 22-23 Feb 2022 words are in quotation marks (Business Now, 'the best decision is for this project to stop at once') but 'shelved' is the record's paraphrase and the 2024 date belongs to the PA; need in a browser: PA 'Notice of withdrawal of subsidiary policy SMMS-04' (South Malta Local Plan page) with date and outcome; tried: claim URL (MaltaToday 403), gov.mt NL-0011-2024 (403), pa.org.mt (403), Wayback (reset), TVM, Newsbook, Business Now, Lovin Malta, 4 web searches</t>
        </is>
      </c>
    </row>
    <row r="58">
      <c r="A58" s="5" t="inlineStr">
        <is>
          <t>CC-069</t>
        </is>
      </c>
      <c r="B58" s="2" t="inlineStr">
        <is>
          <t>C</t>
        </is>
      </c>
      <c r="C58" s="2" t="inlineStr">
        <is>
          <t>In progress</t>
        </is>
      </c>
      <c r="D58" s="2" t="inlineStr">
        <is>
          <t>2026-10-04</t>
        </is>
      </c>
      <c r="E58" s="2" t="inlineStr">
        <is>
          <t>intake 4 Oct 2026</t>
        </is>
      </c>
      <c r="F58" s="2" t="inlineStr">
        <is>
          <t>1</t>
        </is>
      </c>
      <c r="G58" s="2" t="inlineStr">
        <is>
          <t>2026-10-08</t>
        </is>
      </c>
      <c r="H58" s="2" t="inlineStr">
        <is>
          <t>source: no Malta Public Transport or ministry statement carrying 82 million, 226,918 a day, +9.6% or '112% more than 2013' found; the claim record's URL is a Cities Today piece of 13 Jun 2023 (May 2023 record 5.8 million; Pulé quoted) and does not contain these figures; NSO page (search summary, second-hand): public transport commuters 82,944,589 in 2025, +9.5% on 2024 (NSO page now Cloudflare-blocked to scripts); 226,918 not found anywhere; need the 2026 MPT/Transport Malta release or a dated ministry statement; tried: Cities Today URL, publictransport.com.mt/en/news (empty), nso.gov.mt (403), 3 web searches</t>
        </is>
      </c>
    </row>
    <row r="59">
      <c r="A59" s="5" t="inlineStr">
        <is>
          <t>CC-070</t>
        </is>
      </c>
      <c r="B59" s="2" t="inlineStr">
        <is>
          <t>A</t>
        </is>
      </c>
      <c r="C59" s="2" t="inlineStr">
        <is>
          <t>Not started</t>
        </is>
      </c>
      <c r="D59" s="2" t="inlineStr">
        <is>
          <t>2026-10-04</t>
        </is>
      </c>
      <c r="E59" s="2" t="inlineStr">
        <is>
          <t>intake 4 Oct 2026</t>
        </is>
      </c>
      <c r="F59" s="2" t="inlineStr">
        <is>
          <t>0</t>
        </is>
      </c>
      <c r="G59" s="2" t="inlineStr"/>
      <c r="H59" s="2" t="inlineStr"/>
    </row>
    <row r="60">
      <c r="A60" s="5" t="inlineStr">
        <is>
          <t>CC-071</t>
        </is>
      </c>
      <c r="B60" s="2" t="inlineStr">
        <is>
          <t>B</t>
        </is>
      </c>
      <c r="C60" s="2" t="inlineStr">
        <is>
          <t>Drafted</t>
        </is>
      </c>
      <c r="D60" s="2" t="inlineStr">
        <is>
          <t>2026-10-04</t>
        </is>
      </c>
      <c r="E60" s="2" t="inlineStr">
        <is>
          <t>intake 4 Oct 2026</t>
        </is>
      </c>
      <c r="F60" s="2" t="inlineStr">
        <is>
          <t>1</t>
        </is>
      </c>
      <c r="G60" s="2" t="inlineStr">
        <is>
          <t>2026-10-10</t>
        </is>
      </c>
      <c r="H60" s="2" t="inlineStr"/>
    </row>
    <row r="61">
      <c r="A61" s="5" t="inlineStr">
        <is>
          <t>CC-072</t>
        </is>
      </c>
      <c r="B61" s="2" t="inlineStr">
        <is>
          <t>C</t>
        </is>
      </c>
      <c r="C61" s="2" t="inlineStr">
        <is>
          <t>In progress</t>
        </is>
      </c>
      <c r="D61" s="2" t="inlineStr">
        <is>
          <t>2026-10-04</t>
        </is>
      </c>
      <c r="E61" s="2" t="inlineStr">
        <is>
          <t>intake 4 Oct 2026</t>
        </is>
      </c>
      <c r="F61" s="2" t="inlineStr">
        <is>
          <t>1</t>
        </is>
      </c>
      <c r="G61" s="2" t="inlineStr">
        <is>
          <t>2026-10-09</t>
        </is>
      </c>
      <c r="H61" s="2" t="inlineStr">
        <is>
          <t>source: no verbatim wording for 'a EUR 15 million scheme ... taking vehicles off the road'. The EUR 15m is TVM News' indirect speech (29 Mar 2025, EN and MT): Bonett said ALL the measures together would cost 'a maximum of' EUR 15m (EUR 10-15m this year), not one scheme; the only quoted ministry text (statement, EN) lists the EUR 25,000 licence grant without a cost. The Shift (21 Apr, 27 Jun 2025) cites unnamed sources; Italpress/MNA says the Finance Ministry had allocated EUR 5m. Need the ministry press release or press-conference transcript of 29 Mar 2025 (gov.mt/reshapingourmobility.com browser-only) showing who said EUR 15m and for what; tried: Shift URL, TVM EN/MT, Newsbook search (article page 404), Lovin Malta search, Italpress, transport.gov.mt (403), reshapingourmobility.com (empty to scripts), 3 web searches</t>
        </is>
      </c>
    </row>
    <row r="62">
      <c r="A62" s="5" t="inlineStr">
        <is>
          <t>CC-073</t>
        </is>
      </c>
      <c r="B62" s="2" t="inlineStr">
        <is>
          <t>A</t>
        </is>
      </c>
      <c r="C62" s="2" t="inlineStr">
        <is>
          <t>Not started</t>
        </is>
      </c>
      <c r="D62" s="2" t="inlineStr">
        <is>
          <t>2026-10-04</t>
        </is>
      </c>
      <c r="E62" s="2" t="inlineStr">
        <is>
          <t>intake 4 Oct 2026</t>
        </is>
      </c>
      <c r="F62" s="2" t="inlineStr">
        <is>
          <t>0</t>
        </is>
      </c>
      <c r="G62" s="2" t="inlineStr"/>
      <c r="H62" s="2" t="inlineStr"/>
    </row>
    <row r="63">
      <c r="A63" s="5" t="inlineStr">
        <is>
          <t>CC-074</t>
        </is>
      </c>
      <c r="B63" s="2" t="inlineStr">
        <is>
          <t>B</t>
        </is>
      </c>
      <c r="C63" s="2" t="inlineStr">
        <is>
          <t>Not started</t>
        </is>
      </c>
      <c r="D63" s="2" t="inlineStr">
        <is>
          <t>2026-10-04</t>
        </is>
      </c>
      <c r="E63" s="2" t="inlineStr">
        <is>
          <t>intake 4 Oct 2026</t>
        </is>
      </c>
      <c r="F63" s="2" t="inlineStr">
        <is>
          <t>0</t>
        </is>
      </c>
      <c r="G63" s="2" t="inlineStr"/>
      <c r="H63" s="2" t="inlineStr"/>
    </row>
    <row r="64">
      <c r="A64" s="5" t="inlineStr">
        <is>
          <t>CC-075</t>
        </is>
      </c>
      <c r="B64" s="2" t="inlineStr">
        <is>
          <t>C</t>
        </is>
      </c>
      <c r="C64" s="2" t="inlineStr">
        <is>
          <t>Drafted</t>
        </is>
      </c>
      <c r="D64" s="2" t="inlineStr">
        <is>
          <t>2026-10-04</t>
        </is>
      </c>
      <c r="E64" s="2" t="inlineStr">
        <is>
          <t>intake 4 Oct 2026</t>
        </is>
      </c>
      <c r="F64" s="2" t="inlineStr">
        <is>
          <t>0</t>
        </is>
      </c>
      <c r="G64" s="2" t="inlineStr">
        <is>
          <t>2026-10-06</t>
        </is>
      </c>
      <c r="H64" s="2" t="inlineStr"/>
    </row>
    <row r="65">
      <c r="A65" s="5" t="inlineStr">
        <is>
          <t>CC-076</t>
        </is>
      </c>
      <c r="B65" s="2" t="inlineStr">
        <is>
          <t>A</t>
        </is>
      </c>
      <c r="C65" s="2" t="inlineStr">
        <is>
          <t>Drafted</t>
        </is>
      </c>
      <c r="D65" s="2" t="inlineStr">
        <is>
          <t>2026-10-04</t>
        </is>
      </c>
      <c r="E65" s="2" t="inlineStr">
        <is>
          <t>intake 4 Oct 2026</t>
        </is>
      </c>
      <c r="F65" s="2" t="inlineStr">
        <is>
          <t>1</t>
        </is>
      </c>
      <c r="G65" s="2" t="inlineStr">
        <is>
          <t>2026-10-05</t>
        </is>
      </c>
      <c r="H65" s="2" t="inlineStr"/>
    </row>
    <row r="66">
      <c r="A66" s="5" t="inlineStr">
        <is>
          <t>CC-077</t>
        </is>
      </c>
      <c r="B66" s="2" t="inlineStr">
        <is>
          <t>B</t>
        </is>
      </c>
      <c r="C66" s="2" t="inlineStr">
        <is>
          <t>Not started</t>
        </is>
      </c>
      <c r="D66" s="2" t="inlineStr">
        <is>
          <t>2026-10-04</t>
        </is>
      </c>
      <c r="E66" s="2" t="inlineStr">
        <is>
          <t>intake 4 Oct 2026</t>
        </is>
      </c>
      <c r="F66" s="2" t="inlineStr">
        <is>
          <t>0</t>
        </is>
      </c>
      <c r="G66" s="2" t="inlineStr"/>
      <c r="H66" s="2" t="inlineStr"/>
    </row>
    <row r="67">
      <c r="A67" s="5" t="inlineStr">
        <is>
          <t>CC-078</t>
        </is>
      </c>
      <c r="B67" s="2" t="inlineStr">
        <is>
          <t>C</t>
        </is>
      </c>
      <c r="C67" s="2" t="inlineStr">
        <is>
          <t>In progress</t>
        </is>
      </c>
      <c r="D67" s="2" t="inlineStr">
        <is>
          <t>2026-10-04</t>
        </is>
      </c>
      <c r="E67" s="2" t="inlineStr">
        <is>
          <t>intake 4 Oct 2026</t>
        </is>
      </c>
      <c r="F67" s="2" t="inlineStr">
        <is>
          <t>1</t>
        </is>
      </c>
      <c r="G67" s="2" t="inlineStr">
        <is>
          <t>2026-10-09</t>
        </is>
      </c>
      <c r="H67" s="2" t="inlineStr">
        <is>
          <t>source: browser-only (https://investgozo.gov.mt/investment-malta-gozo-sea-transport/): page returns 403 to scripts and WebFetch, Wayback has no copy; the 1,707 trips / more than 511,000 passengers / 35,518 trips / 6.1 million passengers wording is seen only in web-search summaries (second-hand); 'early 2029' not found in any readable text (Newsbook and Business Now, 14 Jan 2026, say 'by 2029'); NSO Q4 2025 release (403; search summary) gives 1,707 trips (3.8%) and 511,306 passengers (7.4%) for Gozo Channel PLUS the fast ferry, so the page's attribution to Gozo Channel alone needs checking; need the page text and date from a browser, and the NSO release; tried: Invest Gozo URL, Wayback, WebFetch, wp-json, ?p= id, gozochannel.com (no figures), TVM/Newsbook searches, Newsbook and Business Now articles on the EUR 130m plan, 2 web searches</t>
        </is>
      </c>
    </row>
    <row r="68">
      <c r="A68" s="5" t="inlineStr">
        <is>
          <t>CC-079</t>
        </is>
      </c>
      <c r="B68" s="2" t="inlineStr">
        <is>
          <t>A</t>
        </is>
      </c>
      <c r="C68" s="2" t="inlineStr">
        <is>
          <t>Not started</t>
        </is>
      </c>
      <c r="D68" s="2" t="inlineStr">
        <is>
          <t>2026-10-04</t>
        </is>
      </c>
      <c r="E68" s="2" t="inlineStr">
        <is>
          <t>intake 4 Oct 2026</t>
        </is>
      </c>
      <c r="F68" s="2" t="inlineStr">
        <is>
          <t>0</t>
        </is>
      </c>
      <c r="G68" s="2" t="inlineStr"/>
      <c r="H68" s="2" t="inlineStr"/>
    </row>
    <row r="69">
      <c r="A69" s="5" t="inlineStr">
        <is>
          <t>CC-080</t>
        </is>
      </c>
      <c r="B69" s="2" t="inlineStr">
        <is>
          <t>B</t>
        </is>
      </c>
      <c r="C69" s="2" t="inlineStr">
        <is>
          <t>Not started</t>
        </is>
      </c>
      <c r="D69" s="2" t="inlineStr">
        <is>
          <t>2026-10-04</t>
        </is>
      </c>
      <c r="E69" s="2" t="inlineStr">
        <is>
          <t>intake 4 Oct 2026</t>
        </is>
      </c>
      <c r="F69" s="2" t="inlineStr">
        <is>
          <t>0</t>
        </is>
      </c>
      <c r="G69" s="2" t="inlineStr"/>
      <c r="H69" s="2" t="inlineStr"/>
    </row>
    <row r="70">
      <c r="A70" s="5" t="inlineStr">
        <is>
          <t>CC-081</t>
        </is>
      </c>
      <c r="B70" s="2" t="inlineStr">
        <is>
          <t>C</t>
        </is>
      </c>
      <c r="C70" s="2" t="inlineStr">
        <is>
          <t>In progress</t>
        </is>
      </c>
      <c r="D70" s="2" t="inlineStr">
        <is>
          <t>2026-10-04</t>
        </is>
      </c>
      <c r="E70" s="2" t="inlineStr">
        <is>
          <t>intake 4 Oct 2026</t>
        </is>
      </c>
      <c r="F70" s="2" t="inlineStr">
        <is>
          <t>1</t>
        </is>
      </c>
      <c r="G70" s="2" t="inlineStr">
        <is>
          <t>2026-10-05</t>
        </is>
      </c>
      <c r="H70" s="2" t="inlineStr">
        <is>
          <t>source: the text of The Shift News article of 19 Feb 2026 (theshiftnews.com/2026/02/19/maltas-waste-management-is-going-in-reverse/) pasted into literature/CC-081/primary-source.md (page returns 404 to us). tried: direct URL, Wayback (not archived), wp-json slug/search, site search, WebFetch, web search (summary only). Numbers already reproduce: Eurostat env_wasmun landfilled/treated 78.6% (2023), 79.2% (2024); landfilled/generated 73.6%, 72.1% (see CC-111).</t>
        </is>
      </c>
    </row>
    <row r="71">
      <c r="A71" s="5" t="inlineStr">
        <is>
          <t>CC-082</t>
        </is>
      </c>
      <c r="B71" s="2" t="inlineStr">
        <is>
          <t>A</t>
        </is>
      </c>
      <c r="C71" s="2" t="inlineStr">
        <is>
          <t>Not started</t>
        </is>
      </c>
      <c r="D71" s="2" t="inlineStr">
        <is>
          <t>2026-10-04</t>
        </is>
      </c>
      <c r="E71" s="2" t="inlineStr">
        <is>
          <t>intake 4 Oct 2026</t>
        </is>
      </c>
      <c r="F71" s="2" t="inlineStr">
        <is>
          <t>0</t>
        </is>
      </c>
      <c r="G71" s="2" t="inlineStr"/>
      <c r="H71" s="2" t="inlineStr"/>
    </row>
    <row r="72">
      <c r="A72" s="5" t="inlineStr">
        <is>
          <t>CC-083</t>
        </is>
      </c>
      <c r="B72" s="2" t="inlineStr">
        <is>
          <t>B</t>
        </is>
      </c>
      <c r="C72" s="2" t="inlineStr">
        <is>
          <t>Not started</t>
        </is>
      </c>
      <c r="D72" s="2" t="inlineStr">
        <is>
          <t>2026-10-04</t>
        </is>
      </c>
      <c r="E72" s="2" t="inlineStr">
        <is>
          <t>intake 4 Oct 2026</t>
        </is>
      </c>
      <c r="F72" s="2" t="inlineStr">
        <is>
          <t>0</t>
        </is>
      </c>
      <c r="G72" s="2" t="inlineStr"/>
      <c r="H72" s="2" t="inlineStr"/>
    </row>
    <row r="73">
      <c r="A73" s="5" t="inlineStr">
        <is>
          <t>CC-084</t>
        </is>
      </c>
      <c r="B73" s="2" t="inlineStr">
        <is>
          <t>C</t>
        </is>
      </c>
      <c r="C73" s="2" t="inlineStr">
        <is>
          <t>In progress</t>
        </is>
      </c>
      <c r="D73" s="2" t="inlineStr">
        <is>
          <t>2026-10-04</t>
        </is>
      </c>
      <c r="E73" s="2" t="inlineStr">
        <is>
          <t>intake 4 Oct 2026</t>
        </is>
      </c>
      <c r="F73" s="2" t="inlineStr">
        <is>
          <t>1</t>
        </is>
      </c>
      <c r="G73" s="2" t="inlineStr">
        <is>
          <t>2026-10-05</t>
        </is>
      </c>
      <c r="H73" s="2" t="inlineStr">
        <is>
          <t>source: an ADPD/Sandra Gauci statement (English release, social post, video or interview) saying in their own words that tourist numbers tripled / are three times 2010's. tried: claim-record Lovin Malta URL (no figures in it), ADPD wp-json search and scan of all posts since 1 Feb 2026, Newsbook, web search. Only the outlet's paraphrase (Newsbook, 14 Feb 2026) carries the tripling.</t>
        </is>
      </c>
    </row>
    <row r="74">
      <c r="A74" s="5" t="inlineStr">
        <is>
          <t>CC-085</t>
        </is>
      </c>
      <c r="B74" s="2" t="inlineStr">
        <is>
          <t>A</t>
        </is>
      </c>
      <c r="C74" s="2" t="inlineStr">
        <is>
          <t>Not started</t>
        </is>
      </c>
      <c r="D74" s="2" t="inlineStr">
        <is>
          <t>2026-10-04</t>
        </is>
      </c>
      <c r="E74" s="2" t="inlineStr">
        <is>
          <t>intake 4 Oct 2026</t>
        </is>
      </c>
      <c r="F74" s="2" t="inlineStr">
        <is>
          <t>0</t>
        </is>
      </c>
      <c r="G74" s="2" t="inlineStr"/>
      <c r="H74" s="2" t="inlineStr"/>
    </row>
    <row r="75">
      <c r="A75" s="5" t="inlineStr">
        <is>
          <t>CC-086</t>
        </is>
      </c>
      <c r="B75" s="2" t="inlineStr">
        <is>
          <t>B</t>
        </is>
      </c>
      <c r="C75" s="2" t="inlineStr">
        <is>
          <t>Not started</t>
        </is>
      </c>
      <c r="D75" s="2" t="inlineStr">
        <is>
          <t>2026-10-04</t>
        </is>
      </c>
      <c r="E75" s="2" t="inlineStr">
        <is>
          <t>intake 4 Oct 2026</t>
        </is>
      </c>
      <c r="F75" s="2" t="inlineStr">
        <is>
          <t>0</t>
        </is>
      </c>
      <c r="G75" s="2" t="inlineStr"/>
      <c r="H75" s="2" t="inlineStr"/>
    </row>
    <row r="76">
      <c r="A76" s="5" t="inlineStr">
        <is>
          <t>CC-087</t>
        </is>
      </c>
      <c r="B76" s="2" t="inlineStr">
        <is>
          <t>C</t>
        </is>
      </c>
      <c r="C76" s="2" t="inlineStr">
        <is>
          <t>In progress</t>
        </is>
      </c>
      <c r="D76" s="2" t="inlineStr">
        <is>
          <t>2026-10-04</t>
        </is>
      </c>
      <c r="E76" s="2" t="inlineStr">
        <is>
          <t>intake 4 Oct 2026</t>
        </is>
      </c>
      <c r="F76" s="2" t="inlineStr">
        <is>
          <t>1</t>
        </is>
      </c>
      <c r="G76" s="2" t="inlineStr">
        <is>
          <t>2026-10-09</t>
        </is>
      </c>
      <c r="H76" s="2" t="inlineStr">
        <is>
          <t>source: browser-only (parlament.mt PQ text): the PQ answer (number, date, minister's exact wording) was not found; the only readable source is The Shift, 11 Nov 2025 (outlet text: 'this year, only 177 illegal units have been identified by the MTA, according to a recent parliamentary question'), which gives no PQ number or date; parlament.mt 403; web search found no other report of the PQ; need the PQ number/date and answer text (parlament.mt, browser); tried: Shift URL (read in full), parlament.mt, Newsbook/TVM/Lovin Malta searches (nothing), 1 web search</t>
        </is>
      </c>
    </row>
    <row r="77">
      <c r="A77" s="5" t="inlineStr">
        <is>
          <t>CC-088</t>
        </is>
      </c>
      <c r="B77" s="2" t="inlineStr">
        <is>
          <t>A</t>
        </is>
      </c>
      <c r="C77" s="2" t="inlineStr">
        <is>
          <t>Drafted</t>
        </is>
      </c>
      <c r="D77" s="2" t="inlineStr">
        <is>
          <t>2026-10-04</t>
        </is>
      </c>
      <c r="E77" s="2" t="inlineStr">
        <is>
          <t>intake 4 Oct 2026</t>
        </is>
      </c>
      <c r="F77" s="2" t="inlineStr">
        <is>
          <t>1</t>
        </is>
      </c>
      <c r="G77" s="2" t="inlineStr">
        <is>
          <t>2026-10-05</t>
        </is>
      </c>
      <c r="H77" s="2" t="inlineStr"/>
    </row>
    <row r="78">
      <c r="A78" s="5" t="inlineStr">
        <is>
          <t>CC-089</t>
        </is>
      </c>
      <c r="B78" s="2" t="inlineStr">
        <is>
          <t>B</t>
        </is>
      </c>
      <c r="C78" s="2" t="inlineStr">
        <is>
          <t>Not started</t>
        </is>
      </c>
      <c r="D78" s="2" t="inlineStr">
        <is>
          <t>2026-10-04</t>
        </is>
      </c>
      <c r="E78" s="2" t="inlineStr">
        <is>
          <t>intake 4 Oct 2026</t>
        </is>
      </c>
      <c r="F78" s="2" t="inlineStr">
        <is>
          <t>0</t>
        </is>
      </c>
      <c r="G78" s="2" t="inlineStr"/>
      <c r="H78" s="2" t="inlineStr"/>
    </row>
    <row r="79">
      <c r="A79" s="5" t="inlineStr">
        <is>
          <t>CC-090</t>
        </is>
      </c>
      <c r="B79" s="2" t="inlineStr">
        <is>
          <t>C</t>
        </is>
      </c>
      <c r="C79" s="2" t="inlineStr">
        <is>
          <t>In progress</t>
        </is>
      </c>
      <c r="D79" s="2" t="inlineStr">
        <is>
          <t>2026-10-04</t>
        </is>
      </c>
      <c r="E79" s="2" t="inlineStr">
        <is>
          <t>intake 4 Oct 2026</t>
        </is>
      </c>
      <c r="F79" s="2" t="inlineStr">
        <is>
          <t>1</t>
        </is>
      </c>
      <c r="G79" s="2" t="inlineStr">
        <is>
          <t>2026-10-10</t>
        </is>
      </c>
      <c r="H79" s="2" t="inlineStr">
        <is>
          <t>source: the Ministry for Health's own wording is not in quotation marks in any readable copy. Newsbook (13 Aug 2026, read in full; the claim record's date 'Jul 2025' is wrong: the figures are for week 30 of 2026, 20-26 Jul) says the ministry 'confirmed the figures to this newsroom' (indirect speech); Italpress/MNA (14 Aug 2026) is a three-sentence paraphrase ('health authorities have confirmed'); Momentum (26 Aug 2026) says the ministry 'confirmed' it on 13 Aug (party's paraphrase). Need the ministry's statement or reply to Newsbook (gov.mt press release or e-mailed text, browser-only) with the exact words, and the NSO/Directorate deaths-by-week series for week 30; tried: Newsbook URL, Wayback (reset), Italpress, Momentum, gov.mt (403), TVM News search, 2 web searches</t>
        </is>
      </c>
    </row>
    <row r="80">
      <c r="A80" s="5" t="inlineStr">
        <is>
          <t>CC-091</t>
        </is>
      </c>
      <c r="B80" s="2" t="inlineStr">
        <is>
          <t>A</t>
        </is>
      </c>
      <c r="C80" s="2" t="inlineStr">
        <is>
          <t>Drafted</t>
        </is>
      </c>
      <c r="D80" s="2" t="inlineStr">
        <is>
          <t>2026-10-04</t>
        </is>
      </c>
      <c r="E80" s="2" t="inlineStr">
        <is>
          <t>intake 4 Oct 2026</t>
        </is>
      </c>
      <c r="F80" s="2" t="inlineStr">
        <is>
          <t>1</t>
        </is>
      </c>
      <c r="G80" s="2" t="inlineStr">
        <is>
          <t>2026-10-05</t>
        </is>
      </c>
      <c r="H80" s="2" t="inlineStr"/>
    </row>
    <row r="81">
      <c r="A81" s="5" t="inlineStr">
        <is>
          <t>CC-092</t>
        </is>
      </c>
      <c r="B81" s="2" t="inlineStr">
        <is>
          <t>B</t>
        </is>
      </c>
      <c r="C81" s="2" t="inlineStr">
        <is>
          <t>Not started</t>
        </is>
      </c>
      <c r="D81" s="2" t="inlineStr">
        <is>
          <t>2026-10-04</t>
        </is>
      </c>
      <c r="E81" s="2" t="inlineStr">
        <is>
          <t>intake 4 Oct 2026</t>
        </is>
      </c>
      <c r="F81" s="2" t="inlineStr">
        <is>
          <t>0</t>
        </is>
      </c>
      <c r="G81" s="2" t="inlineStr"/>
      <c r="H81" s="2" t="inlineStr"/>
    </row>
    <row r="82">
      <c r="A82" s="5" t="inlineStr">
        <is>
          <t>CC-093</t>
        </is>
      </c>
      <c r="B82" s="2" t="inlineStr">
        <is>
          <t>C</t>
        </is>
      </c>
      <c r="C82" s="2" t="inlineStr">
        <is>
          <t>Not started</t>
        </is>
      </c>
      <c r="D82" s="2" t="inlineStr">
        <is>
          <t>2026-10-04</t>
        </is>
      </c>
      <c r="E82" s="2" t="inlineStr">
        <is>
          <t>intake 4 Oct 2026</t>
        </is>
      </c>
      <c r="F82" s="2" t="inlineStr">
        <is>
          <t>0</t>
        </is>
      </c>
      <c r="G82" s="2" t="inlineStr"/>
      <c r="H82" s="2" t="inlineStr"/>
    </row>
    <row r="83">
      <c r="A83" s="5" t="inlineStr">
        <is>
          <t>CC-094</t>
        </is>
      </c>
      <c r="B83" s="2" t="inlineStr">
        <is>
          <t>A</t>
        </is>
      </c>
      <c r="C83" s="2" t="inlineStr">
        <is>
          <t>Drafted</t>
        </is>
      </c>
      <c r="D83" s="2" t="inlineStr">
        <is>
          <t>2026-10-04</t>
        </is>
      </c>
      <c r="E83" s="2" t="inlineStr">
        <is>
          <t>intake 4 Oct 2026</t>
        </is>
      </c>
      <c r="F83" s="2" t="inlineStr">
        <is>
          <t>0</t>
        </is>
      </c>
      <c r="G83" s="2" t="inlineStr">
        <is>
          <t>2026-10-06</t>
        </is>
      </c>
      <c r="H83" s="2" t="inlineStr"/>
    </row>
    <row r="84">
      <c r="A84" s="5" t="inlineStr">
        <is>
          <t>CC-095</t>
        </is>
      </c>
      <c r="B84" s="2" t="inlineStr">
        <is>
          <t>B</t>
        </is>
      </c>
      <c r="C84" s="2" t="inlineStr">
        <is>
          <t>Not started</t>
        </is>
      </c>
      <c r="D84" s="2" t="inlineStr">
        <is>
          <t>2026-10-04</t>
        </is>
      </c>
      <c r="E84" s="2" t="inlineStr">
        <is>
          <t>intake 4 Oct 2026</t>
        </is>
      </c>
      <c r="F84" s="2" t="inlineStr">
        <is>
          <t>0</t>
        </is>
      </c>
      <c r="G84" s="2" t="inlineStr"/>
      <c r="H84" s="2" t="inlineStr"/>
    </row>
    <row r="85">
      <c r="A85" s="5" t="inlineStr">
        <is>
          <t>CC-096</t>
        </is>
      </c>
      <c r="B85" s="2" t="inlineStr">
        <is>
          <t>C</t>
        </is>
      </c>
      <c r="C85" s="2" t="inlineStr">
        <is>
          <t>Not started</t>
        </is>
      </c>
      <c r="D85" s="2" t="inlineStr">
        <is>
          <t>2026-10-04</t>
        </is>
      </c>
      <c r="E85" s="2" t="inlineStr">
        <is>
          <t>intake 4 Oct 2026</t>
        </is>
      </c>
      <c r="F85" s="2" t="inlineStr">
        <is>
          <t>0</t>
        </is>
      </c>
      <c r="G85" s="2" t="inlineStr"/>
      <c r="H85" s="2" t="inlineStr"/>
    </row>
    <row r="86">
      <c r="A86" s="5" t="inlineStr">
        <is>
          <t>CC-097</t>
        </is>
      </c>
      <c r="B86" s="2" t="inlineStr">
        <is>
          <t>A</t>
        </is>
      </c>
      <c r="C86" s="2" t="inlineStr">
        <is>
          <t>In progress</t>
        </is>
      </c>
      <c r="D86" s="2" t="inlineStr">
        <is>
          <t>2026-10-04</t>
        </is>
      </c>
      <c r="E86" s="2" t="inlineStr">
        <is>
          <t>intake 4 Oct 2026</t>
        </is>
      </c>
      <c r="F86" s="2" t="inlineStr">
        <is>
          <t>1</t>
        </is>
      </c>
      <c r="G86" s="2" t="inlineStr">
        <is>
          <t>2026-10-05</t>
        </is>
      </c>
      <c r="H86" s="2" t="inlineStr">
        <is>
          <t>source: Securital and ERA responses or DIER conciliation outcome; heat OHS rules/OHSA guidance and any contractor SOP in force July 2026; Malta Met Office heat warnings mid-July 2026. tried: gwu.org.mt, newsbook, web search</t>
        </is>
      </c>
    </row>
    <row r="87">
      <c r="A87" s="5" t="inlineStr">
        <is>
          <t>CC-098</t>
        </is>
      </c>
      <c r="B87" s="2" t="inlineStr">
        <is>
          <t>B</t>
        </is>
      </c>
      <c r="C87" s="2" t="inlineStr">
        <is>
          <t>Not started</t>
        </is>
      </c>
      <c r="D87" s="2" t="inlineStr">
        <is>
          <t>2026-10-04</t>
        </is>
      </c>
      <c r="E87" s="2" t="inlineStr">
        <is>
          <t>intake 4 Oct 2026</t>
        </is>
      </c>
      <c r="F87" s="2" t="inlineStr">
        <is>
          <t>0</t>
        </is>
      </c>
      <c r="G87" s="2" t="inlineStr"/>
      <c r="H87" s="2" t="inlineStr"/>
    </row>
    <row r="88">
      <c r="A88" s="5" t="inlineStr">
        <is>
          <t>CC-099</t>
        </is>
      </c>
      <c r="B88" s="2" t="inlineStr">
        <is>
          <t>C</t>
        </is>
      </c>
      <c r="C88" s="2" t="inlineStr">
        <is>
          <t>Drafted</t>
        </is>
      </c>
      <c r="D88" s="2" t="inlineStr">
        <is>
          <t>2026-10-04</t>
        </is>
      </c>
      <c r="E88" s="2" t="inlineStr">
        <is>
          <t>intake 4 Oct 2026</t>
        </is>
      </c>
      <c r="F88" s="2" t="inlineStr">
        <is>
          <t>0</t>
        </is>
      </c>
      <c r="G88" s="2" t="inlineStr">
        <is>
          <t>2026-10-06</t>
        </is>
      </c>
      <c r="H88" s="2" t="inlineStr"/>
    </row>
    <row r="89">
      <c r="A89" s="5" t="inlineStr">
        <is>
          <t>CC-100</t>
        </is>
      </c>
      <c r="B89" s="2" t="inlineStr">
        <is>
          <t>A</t>
        </is>
      </c>
      <c r="C89" s="2" t="inlineStr">
        <is>
          <t>Drafted</t>
        </is>
      </c>
      <c r="D89" s="2" t="inlineStr">
        <is>
          <t>2026-10-04</t>
        </is>
      </c>
      <c r="E89" s="2" t="inlineStr">
        <is>
          <t>intake 4 Oct 2026</t>
        </is>
      </c>
      <c r="F89" s="2" t="inlineStr">
        <is>
          <t>1</t>
        </is>
      </c>
      <c r="G89" s="2" t="inlineStr">
        <is>
          <t>2026-10-05</t>
        </is>
      </c>
      <c r="H89" s="2" t="inlineStr"/>
    </row>
    <row r="90">
      <c r="A90" s="5" t="inlineStr">
        <is>
          <t>CC-101</t>
        </is>
      </c>
      <c r="B90" s="2" t="inlineStr">
        <is>
          <t>A</t>
        </is>
      </c>
      <c r="C90" s="2" t="inlineStr">
        <is>
          <t>Drafted</t>
        </is>
      </c>
      <c r="D90" s="2" t="inlineStr">
        <is>
          <t>2026-10-04</t>
        </is>
      </c>
      <c r="E90" s="2" t="inlineStr">
        <is>
          <t>weekly intake</t>
        </is>
      </c>
      <c r="F90" s="2" t="inlineStr">
        <is>
          <t>0</t>
        </is>
      </c>
      <c r="G90" s="2" t="inlineStr">
        <is>
          <t>2026-10-06</t>
        </is>
      </c>
      <c r="H90" s="2" t="inlineStr"/>
    </row>
    <row r="91">
      <c r="A91" s="5" t="inlineStr">
        <is>
          <t>CC-102</t>
        </is>
      </c>
      <c r="B91" s="2" t="inlineStr">
        <is>
          <t>A</t>
        </is>
      </c>
      <c r="C91" s="2" t="inlineStr">
        <is>
          <t>Drafted</t>
        </is>
      </c>
      <c r="D91" s="2" t="inlineStr">
        <is>
          <t>2026-10-04</t>
        </is>
      </c>
      <c r="E91" s="2" t="inlineStr">
        <is>
          <t>weekly intake</t>
        </is>
      </c>
      <c r="F91" s="2" t="inlineStr">
        <is>
          <t>0</t>
        </is>
      </c>
      <c r="G91" s="2" t="inlineStr">
        <is>
          <t>2026-10-05</t>
        </is>
      </c>
      <c r="H91" s="2" t="inlineStr"/>
    </row>
    <row r="92">
      <c r="A92" s="5" t="inlineStr">
        <is>
          <t>CC-103</t>
        </is>
      </c>
      <c r="B92" s="2" t="inlineStr">
        <is>
          <t>B</t>
        </is>
      </c>
      <c r="C92" s="2" t="inlineStr">
        <is>
          <t>Not started</t>
        </is>
      </c>
      <c r="D92" s="2" t="inlineStr">
        <is>
          <t>2026-10-04</t>
        </is>
      </c>
      <c r="E92" s="2" t="inlineStr">
        <is>
          <t>weekly intake</t>
        </is>
      </c>
      <c r="F92" s="2" t="inlineStr">
        <is>
          <t>0</t>
        </is>
      </c>
      <c r="G92" s="2" t="inlineStr"/>
      <c r="H92" s="2" t="inlineStr"/>
    </row>
    <row r="93">
      <c r="A93" s="5" t="inlineStr">
        <is>
          <t>CC-104</t>
        </is>
      </c>
      <c r="B93" s="2" t="inlineStr">
        <is>
          <t>C</t>
        </is>
      </c>
      <c r="C93" s="2" t="inlineStr">
        <is>
          <t>In progress</t>
        </is>
      </c>
      <c r="D93" s="2" t="inlineStr">
        <is>
          <t>2026-10-04</t>
        </is>
      </c>
      <c r="E93" s="2" t="inlineStr">
        <is>
          <t>weekly intake</t>
        </is>
      </c>
      <c r="F93" s="2" t="inlineStr">
        <is>
          <t>1</t>
        </is>
      </c>
      <c r="G93" s="2" t="inlineStr">
        <is>
          <t>2026-10-05</t>
        </is>
      </c>
      <c r="H93" s="2" t="inlineStr">
        <is>
          <t>source: full text of petition 1150/2024 (Buttigieg/Agius) or the PN press release of 11-12 Oct 2024; Commission reply PETI-CM-778413. tried: EP petitions portal (summary only; notice PDF empty), newsbook (paraphrase), eppgroup.eu (general quotes), web search</t>
        </is>
      </c>
    </row>
    <row r="94">
      <c r="A94" s="5" t="inlineStr">
        <is>
          <t>CC-105</t>
        </is>
      </c>
      <c r="B94" s="2" t="inlineStr">
        <is>
          <t>A</t>
        </is>
      </c>
      <c r="C94" s="2" t="inlineStr">
        <is>
          <t>Drafted</t>
        </is>
      </c>
      <c r="D94" s="2" t="inlineStr">
        <is>
          <t>2026-10-04</t>
        </is>
      </c>
      <c r="E94" s="2" t="inlineStr">
        <is>
          <t>weekly intake</t>
        </is>
      </c>
      <c r="F94" s="2" t="inlineStr">
        <is>
          <t>1</t>
        </is>
      </c>
      <c r="G94" s="2" t="inlineStr">
        <is>
          <t>2026-10-05</t>
        </is>
      </c>
      <c r="H94" s="2" t="inlineStr"/>
    </row>
    <row r="95">
      <c r="A95" s="5" t="inlineStr">
        <is>
          <t>CC-106</t>
        </is>
      </c>
      <c r="B95" s="2" t="inlineStr">
        <is>
          <t>B</t>
        </is>
      </c>
      <c r="C95" s="2" t="inlineStr">
        <is>
          <t>Drafted</t>
        </is>
      </c>
      <c r="D95" s="2" t="inlineStr">
        <is>
          <t>2026-10-04</t>
        </is>
      </c>
      <c r="E95" s="2" t="inlineStr">
        <is>
          <t>weekly intake</t>
        </is>
      </c>
      <c r="F95" s="2" t="inlineStr">
        <is>
          <t>1</t>
        </is>
      </c>
      <c r="G95" s="2" t="inlineStr">
        <is>
          <t>2026-10-05</t>
        </is>
      </c>
      <c r="H95" s="2" t="inlineStr"/>
    </row>
    <row r="96">
      <c r="A96" s="5" t="inlineStr">
        <is>
          <t>CC-108</t>
        </is>
      </c>
      <c r="B96" s="2" t="inlineStr">
        <is>
          <t>C</t>
        </is>
      </c>
      <c r="C96" s="2" t="inlineStr">
        <is>
          <t>Not started</t>
        </is>
      </c>
      <c r="D96" s="2" t="inlineStr">
        <is>
          <t>2026-10-05</t>
        </is>
      </c>
      <c r="E96" s="2" t="inlineStr">
        <is>
          <t>maintainer request: WSC net-zero impact on groundwater (pairs with CC-009); wording browser-only</t>
        </is>
      </c>
      <c r="F96" s="2" t="inlineStr">
        <is>
          <t>0</t>
        </is>
      </c>
      <c r="G96" s="2" t="inlineStr"/>
      <c r="H96" s="2" t="inlineStr"/>
    </row>
    <row r="97">
      <c r="A97" s="5" t="inlineStr">
        <is>
          <t>CC-109</t>
        </is>
      </c>
      <c r="B97" s="2" t="inlineStr">
        <is>
          <t>C</t>
        </is>
      </c>
      <c r="C97" s="2" t="inlineStr">
        <is>
          <t>Drafted</t>
        </is>
      </c>
      <c r="D97" s="2" t="inlineStr">
        <is>
          <t>2026-10-05</t>
        </is>
      </c>
      <c r="E97" s="2" t="inlineStr">
        <is>
          <t>weekly intake</t>
        </is>
      </c>
      <c r="F97" s="2" t="inlineStr">
        <is>
          <t>0</t>
        </is>
      </c>
      <c r="G97" s="2" t="inlineStr">
        <is>
          <t>2026-10-06</t>
        </is>
      </c>
      <c r="H97" s="2" t="inlineStr"/>
    </row>
    <row r="98">
      <c r="A98" s="5" t="inlineStr">
        <is>
          <t>CC-110</t>
        </is>
      </c>
      <c r="B98" s="2" t="inlineStr">
        <is>
          <t>C</t>
        </is>
      </c>
      <c r="C98" s="2" t="inlineStr">
        <is>
          <t>Drafted</t>
        </is>
      </c>
      <c r="D98" s="2" t="inlineStr">
        <is>
          <t>2026-10-05</t>
        </is>
      </c>
      <c r="E98" s="2" t="inlineStr">
        <is>
          <t>weekly intake</t>
        </is>
      </c>
      <c r="F98" s="2" t="inlineStr">
        <is>
          <t>1</t>
        </is>
      </c>
      <c r="G98" s="2" t="inlineStr">
        <is>
          <t>2026-10-05</t>
        </is>
      </c>
      <c r="H98" s="2" t="inlineStr"/>
    </row>
    <row r="99">
      <c r="A99" s="5" t="inlineStr">
        <is>
          <t>CC-111</t>
        </is>
      </c>
      <c r="B99" s="2" t="inlineStr">
        <is>
          <t>A</t>
        </is>
      </c>
      <c r="C99" s="2" t="inlineStr">
        <is>
          <t>Drafted</t>
        </is>
      </c>
      <c r="D99" s="2" t="inlineStr">
        <is>
          <t>2026-10-05</t>
        </is>
      </c>
      <c r="E99" s="2" t="inlineStr">
        <is>
          <t>weekly intake</t>
        </is>
      </c>
      <c r="F99" s="2" t="inlineStr">
        <is>
          <t>1</t>
        </is>
      </c>
      <c r="G99" s="2" t="inlineStr">
        <is>
          <t>2026-10-05</t>
        </is>
      </c>
      <c r="H99" s="2" t="inlineStr"/>
    </row>
    <row r="100">
      <c r="A100" s="5" t="inlineStr">
        <is>
          <t>CC-112</t>
        </is>
      </c>
      <c r="B100" s="2" t="inlineStr">
        <is>
          <t>C</t>
        </is>
      </c>
      <c r="C100" s="2" t="inlineStr">
        <is>
          <t>Drafted</t>
        </is>
      </c>
      <c r="D100" s="2" t="inlineStr">
        <is>
          <t>2026-10-05</t>
        </is>
      </c>
      <c r="E100" s="2" t="inlineStr">
        <is>
          <t>weekly intake</t>
        </is>
      </c>
      <c r="F100" s="2" t="inlineStr">
        <is>
          <t>1</t>
        </is>
      </c>
      <c r="G100" s="2" t="inlineStr">
        <is>
          <t>2026-10-05</t>
        </is>
      </c>
      <c r="H100" s="2" t="inlineStr"/>
    </row>
    <row r="101">
      <c r="A101" s="5" t="inlineStr">
        <is>
          <t>CC-113</t>
        </is>
      </c>
      <c r="B101" s="2" t="inlineStr">
        <is>
          <t>A</t>
        </is>
      </c>
      <c r="C101" s="2" t="inlineStr">
        <is>
          <t>Drafted</t>
        </is>
      </c>
      <c r="D101" s="2" t="inlineStr">
        <is>
          <t>2026-10-05</t>
        </is>
      </c>
      <c r="E101" s="2" t="inlineStr">
        <is>
          <t>weekly intake</t>
        </is>
      </c>
      <c r="F101" s="2" t="inlineStr">
        <is>
          <t>0</t>
        </is>
      </c>
      <c r="G101" s="2" t="inlineStr">
        <is>
          <t>2026-10-06</t>
        </is>
      </c>
      <c r="H101" s="2" t="inlineStr"/>
    </row>
    <row r="102">
      <c r="A102" s="5" t="inlineStr">
        <is>
          <t>CC-114</t>
        </is>
      </c>
      <c r="B102" s="2" t="inlineStr">
        <is>
          <t>B</t>
        </is>
      </c>
      <c r="C102" s="2" t="inlineStr">
        <is>
          <t>Drafted</t>
        </is>
      </c>
      <c r="D102" s="2" t="inlineStr">
        <is>
          <t>2026-10-05</t>
        </is>
      </c>
      <c r="E102" s="2" t="inlineStr">
        <is>
          <t>weekly intake</t>
        </is>
      </c>
      <c r="F102" s="2" t="inlineStr">
        <is>
          <t>0</t>
        </is>
      </c>
      <c r="G102" s="2" t="inlineStr">
        <is>
          <t>2026-10-06</t>
        </is>
      </c>
      <c r="H102" s="2" t="inlineStr"/>
    </row>
    <row r="103">
      <c r="A103" s="5" t="inlineStr">
        <is>
          <t>CC-115</t>
        </is>
      </c>
      <c r="B103" s="2" t="inlineStr">
        <is>
          <t>C</t>
        </is>
      </c>
      <c r="C103" s="2" t="inlineStr">
        <is>
          <t>Drafted</t>
        </is>
      </c>
      <c r="D103" s="2" t="inlineStr">
        <is>
          <t>2026-10-05</t>
        </is>
      </c>
      <c r="E103" s="2" t="inlineStr">
        <is>
          <t>weekly intake</t>
        </is>
      </c>
      <c r="F103" s="2" t="inlineStr">
        <is>
          <t>1</t>
        </is>
      </c>
      <c r="G103" s="2" t="inlineStr">
        <is>
          <t>2026-10-05</t>
        </is>
      </c>
      <c r="H103" s="2" t="inlineStr"/>
    </row>
    <row r="104">
      <c r="A104" s="5" t="inlineStr">
        <is>
          <t>CC-116</t>
        </is>
      </c>
      <c r="B104" s="2" t="inlineStr">
        <is>
          <t>A</t>
        </is>
      </c>
      <c r="C104" s="2" t="inlineStr">
        <is>
          <t>Not started</t>
        </is>
      </c>
      <c r="D104" s="2" t="inlineStr">
        <is>
          <t>2026-10-05</t>
        </is>
      </c>
      <c r="E104" s="2" t="inlineStr">
        <is>
          <t>weekly intake</t>
        </is>
      </c>
      <c r="F104" s="2" t="inlineStr">
        <is>
          <t>0</t>
        </is>
      </c>
      <c r="G104" s="2" t="inlineStr"/>
      <c r="H104" s="2" t="inlineStr"/>
    </row>
  </sheetData>
  <autoFilter ref="A1:H104"/>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Miżien (scripts/sheets.py)</dc:creator>
  <dc:title xmlns:dc="http://purl.org/dc/elements/1.1/">Miżien claim tracker</dc:title>
  <dcterms:created xmlns:dcterms="http://purl.org/dc/terms/" xmlns:xsi="http://www.w3.org/2001/XMLSchema-instance" xsi:type="dcterms:W3CDTF">2026-01-01T00:00:00Z</dcterms:created>
  <dcterms:modified xmlns:dcterms="http://purl.org/dc/terms/" xmlns:xsi="http://www.w3.org/2001/XMLSchema-instance" xsi:type="dcterms:W3CDTF">2026-01-01T00:00:00Z</dcterms:modified>
  <cp:lastModifiedBy>Miżien (scripts/sheets.py)</cp:lastModifiedBy>
</cp:coreProperties>
</file>